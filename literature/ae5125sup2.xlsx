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SU\CompSci_PhD\Shiroye_Olukayode\PAPER2\proofs_v1\"/>
    </mc:Choice>
  </mc:AlternateContent>
  <xr:revisionPtr revIDLastSave="0" documentId="13_ncr:1_{7619250C-4C16-4F78-B2F4-CE05B876B58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le S4" sheetId="23" r:id="rId1"/>
    <sheet name="Table S5" sheetId="24" r:id="rId2"/>
    <sheet name="Table S6" sheetId="25" r:id="rId3"/>
    <sheet name="Table S7" sheetId="26" r:id="rId4"/>
    <sheet name="Table S8" sheetId="11" r:id="rId5"/>
    <sheet name="Table S9 p.1" sheetId="1" r:id="rId6"/>
    <sheet name="Table S9 p.2" sheetId="2" r:id="rId7"/>
    <sheet name="Table S9 p.3" sheetId="3" r:id="rId8"/>
    <sheet name="Table S9 p.4" sheetId="6" r:id="rId9"/>
    <sheet name="Table S9 p.5" sheetId="7" r:id="rId10"/>
    <sheet name="Table S9 p.6" sheetId="8" r:id="rId11"/>
    <sheet name="Table S9 p.7" sheetId="9" r:id="rId12"/>
    <sheet name="Table S9 p.8" sheetId="10" r:id="rId13"/>
    <sheet name="Table S10" sheetId="16" r:id="rId14"/>
    <sheet name="Table S11" sheetId="17" r:id="rId15"/>
    <sheet name="Table S12" sheetId="18" r:id="rId16"/>
    <sheet name="Table S13" sheetId="19" r:id="rId17"/>
    <sheet name="Table S14" sheetId="20" r:id="rId18"/>
    <sheet name="Table S15" sheetId="21" r:id="rId19"/>
    <sheet name="Table S16" sheetId="22" r:id="rId20"/>
    <sheet name="Table S17" sheetId="12" r:id="rId21"/>
    <sheet name="Table S18" sheetId="14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21" i="11" l="1"/>
  <c r="J321" i="11" s="1"/>
  <c r="I320" i="11"/>
  <c r="J320" i="11" s="1"/>
  <c r="I319" i="11"/>
  <c r="J319" i="11" s="1"/>
  <c r="J318" i="11"/>
  <c r="I318" i="11"/>
  <c r="I317" i="11"/>
  <c r="J317" i="11" s="1"/>
  <c r="J316" i="11"/>
  <c r="I316" i="11"/>
  <c r="J315" i="11"/>
  <c r="I315" i="11"/>
  <c r="I314" i="11"/>
  <c r="J314" i="11" s="1"/>
  <c r="I313" i="11"/>
  <c r="J313" i="11" s="1"/>
  <c r="I312" i="11"/>
  <c r="J312" i="11" s="1"/>
  <c r="I311" i="11"/>
  <c r="J311" i="11" s="1"/>
  <c r="I310" i="11"/>
  <c r="J310" i="11" s="1"/>
  <c r="J309" i="11"/>
  <c r="I309" i="11"/>
  <c r="I308" i="11"/>
  <c r="J308" i="11" s="1"/>
  <c r="I307" i="11"/>
  <c r="J307" i="11" s="1"/>
  <c r="I306" i="11"/>
  <c r="J306" i="11" s="1"/>
  <c r="I305" i="11"/>
  <c r="J305" i="11" s="1"/>
  <c r="I304" i="11"/>
  <c r="J304" i="11" s="1"/>
  <c r="I303" i="11"/>
  <c r="J303" i="11" s="1"/>
  <c r="I302" i="11"/>
  <c r="J302" i="11" s="1"/>
  <c r="I301" i="11"/>
  <c r="J301" i="11" s="1"/>
  <c r="J300" i="11"/>
  <c r="I300" i="11"/>
  <c r="I299" i="11"/>
  <c r="J299" i="11" s="1"/>
  <c r="I298" i="11"/>
  <c r="J298" i="11" s="1"/>
  <c r="I297" i="11"/>
  <c r="J297" i="11" s="1"/>
  <c r="I296" i="11"/>
  <c r="J296" i="11" s="1"/>
  <c r="I295" i="11"/>
  <c r="J295" i="11" s="1"/>
  <c r="I294" i="11"/>
  <c r="J294" i="11" s="1"/>
  <c r="I293" i="11"/>
  <c r="J293" i="11" s="1"/>
  <c r="I292" i="11"/>
  <c r="J292" i="11" s="1"/>
  <c r="I291" i="11"/>
  <c r="J291" i="11" s="1"/>
  <c r="I290" i="11"/>
  <c r="J290" i="11" s="1"/>
  <c r="I289" i="11"/>
  <c r="J289" i="11" s="1"/>
  <c r="I288" i="11"/>
  <c r="J288" i="11" s="1"/>
  <c r="I287" i="11"/>
  <c r="J287" i="11" s="1"/>
  <c r="I286" i="11"/>
  <c r="J286" i="11" s="1"/>
  <c r="I285" i="11"/>
  <c r="J285" i="11" s="1"/>
  <c r="J284" i="11"/>
  <c r="I284" i="11"/>
  <c r="I283" i="11"/>
  <c r="J283" i="11" s="1"/>
  <c r="I282" i="11"/>
  <c r="J282" i="11" s="1"/>
  <c r="I281" i="11"/>
  <c r="J281" i="11" s="1"/>
  <c r="I280" i="11"/>
  <c r="J280" i="11" s="1"/>
  <c r="I279" i="11"/>
  <c r="J279" i="11" s="1"/>
  <c r="I278" i="11"/>
  <c r="J278" i="11" s="1"/>
  <c r="I277" i="11"/>
  <c r="J277" i="11" s="1"/>
  <c r="I276" i="11"/>
  <c r="J276" i="11" s="1"/>
  <c r="I275" i="11"/>
  <c r="J275" i="11" s="1"/>
  <c r="I274" i="11"/>
  <c r="J274" i="11" s="1"/>
  <c r="I273" i="11"/>
  <c r="J273" i="11" s="1"/>
  <c r="I271" i="11"/>
  <c r="J271" i="11" s="1"/>
  <c r="I270" i="11"/>
  <c r="J270" i="11" s="1"/>
  <c r="I269" i="11"/>
  <c r="J269" i="11" s="1"/>
  <c r="I268" i="11"/>
  <c r="J268" i="11" s="1"/>
  <c r="J267" i="11"/>
  <c r="I267" i="11"/>
  <c r="I266" i="11"/>
  <c r="J266" i="11" s="1"/>
  <c r="I265" i="11"/>
  <c r="J265" i="11" s="1"/>
  <c r="I264" i="11"/>
  <c r="J264" i="11" s="1"/>
  <c r="I263" i="11"/>
  <c r="J263" i="11" s="1"/>
  <c r="I262" i="11"/>
  <c r="J262" i="11" s="1"/>
  <c r="I261" i="11"/>
  <c r="J261" i="11" s="1"/>
  <c r="I260" i="11"/>
  <c r="J260" i="11" s="1"/>
  <c r="I259" i="11"/>
  <c r="J259" i="11" s="1"/>
  <c r="I258" i="11"/>
  <c r="J258" i="11" s="1"/>
  <c r="I257" i="11"/>
  <c r="J257" i="11" s="1"/>
  <c r="I256" i="11"/>
  <c r="J256" i="11" s="1"/>
  <c r="I255" i="11"/>
  <c r="J255" i="11" s="1"/>
  <c r="I254" i="11"/>
  <c r="J254" i="11" s="1"/>
  <c r="I253" i="11"/>
  <c r="J253" i="11" s="1"/>
  <c r="I252" i="11"/>
  <c r="J252" i="11" s="1"/>
  <c r="J251" i="11"/>
  <c r="I251" i="11"/>
  <c r="I250" i="11"/>
  <c r="J250" i="11" s="1"/>
  <c r="I249" i="11"/>
  <c r="J249" i="11" s="1"/>
  <c r="I248" i="11"/>
  <c r="J248" i="11" s="1"/>
  <c r="I247" i="11"/>
  <c r="J247" i="11" s="1"/>
  <c r="I246" i="11"/>
  <c r="J246" i="11" s="1"/>
  <c r="I245" i="11"/>
  <c r="J245" i="11" s="1"/>
  <c r="I244" i="11"/>
  <c r="J244" i="11" s="1"/>
  <c r="I243" i="11"/>
  <c r="J243" i="11" s="1"/>
  <c r="I242" i="11"/>
  <c r="J242" i="11" s="1"/>
  <c r="I241" i="11"/>
  <c r="J241" i="11" s="1"/>
  <c r="I240" i="11"/>
  <c r="J240" i="11" s="1"/>
  <c r="I239" i="11"/>
  <c r="J239" i="11" s="1"/>
  <c r="J238" i="11"/>
  <c r="I238" i="11"/>
  <c r="I237" i="11"/>
  <c r="J237" i="11" s="1"/>
  <c r="I236" i="11"/>
  <c r="J236" i="11" s="1"/>
  <c r="J235" i="11"/>
  <c r="I235" i="11"/>
  <c r="I234" i="11"/>
  <c r="J234" i="11" s="1"/>
  <c r="I233" i="11"/>
  <c r="J233" i="11" s="1"/>
  <c r="I232" i="11"/>
  <c r="J232" i="11" s="1"/>
  <c r="I231" i="11"/>
  <c r="J231" i="11" s="1"/>
  <c r="I230" i="11"/>
  <c r="J230" i="11" s="1"/>
  <c r="I229" i="11"/>
  <c r="J229" i="11" s="1"/>
  <c r="I228" i="11"/>
  <c r="J228" i="11" s="1"/>
  <c r="I227" i="11"/>
  <c r="J227" i="11" s="1"/>
  <c r="I226" i="11"/>
  <c r="J226" i="11" s="1"/>
  <c r="I225" i="11"/>
  <c r="J225" i="11" s="1"/>
  <c r="I224" i="11"/>
  <c r="J224" i="11" s="1"/>
  <c r="I223" i="11"/>
  <c r="J223" i="11" s="1"/>
  <c r="J222" i="11"/>
  <c r="I222" i="11"/>
  <c r="I221" i="11"/>
  <c r="J221" i="11" s="1"/>
  <c r="I220" i="11"/>
  <c r="J220" i="11" s="1"/>
  <c r="J219" i="11"/>
  <c r="I219" i="11"/>
  <c r="I218" i="11"/>
  <c r="J218" i="11" s="1"/>
  <c r="I217" i="11"/>
  <c r="J217" i="11" s="1"/>
  <c r="I216" i="11"/>
  <c r="J216" i="11" s="1"/>
  <c r="I215" i="11"/>
  <c r="J215" i="11" s="1"/>
  <c r="I214" i="11"/>
  <c r="J214" i="11" s="1"/>
  <c r="I213" i="11"/>
  <c r="J213" i="11" s="1"/>
  <c r="I212" i="11"/>
  <c r="J212" i="11" s="1"/>
  <c r="I211" i="11"/>
  <c r="J211" i="11" s="1"/>
  <c r="I210" i="11"/>
  <c r="J210" i="11" s="1"/>
  <c r="I209" i="11"/>
  <c r="J209" i="11" s="1"/>
  <c r="I208" i="11"/>
  <c r="J208" i="11" s="1"/>
  <c r="I207" i="11"/>
  <c r="J207" i="11" s="1"/>
  <c r="J206" i="11"/>
  <c r="I206" i="11"/>
  <c r="I205" i="11"/>
  <c r="J205" i="11" s="1"/>
  <c r="I204" i="11"/>
  <c r="J204" i="11" s="1"/>
  <c r="J203" i="11"/>
  <c r="I203" i="11"/>
  <c r="I202" i="11"/>
  <c r="J202" i="11" s="1"/>
  <c r="I201" i="11"/>
  <c r="J201" i="11" s="1"/>
  <c r="I200" i="11"/>
  <c r="J200" i="11" s="1"/>
  <c r="I199" i="11"/>
  <c r="J199" i="11" s="1"/>
  <c r="I198" i="11"/>
  <c r="J198" i="11" s="1"/>
  <c r="I197" i="11"/>
  <c r="J197" i="11" s="1"/>
  <c r="I196" i="11"/>
  <c r="J196" i="11" s="1"/>
  <c r="I195" i="11"/>
  <c r="J195" i="11" s="1"/>
  <c r="I194" i="11"/>
  <c r="J194" i="11" s="1"/>
  <c r="I193" i="11"/>
  <c r="J193" i="11" s="1"/>
  <c r="I192" i="11"/>
  <c r="J192" i="11" s="1"/>
  <c r="J191" i="11"/>
  <c r="I191" i="11"/>
  <c r="J190" i="11"/>
  <c r="I190" i="11"/>
  <c r="I189" i="11"/>
  <c r="J189" i="11" s="1"/>
  <c r="I188" i="11"/>
  <c r="J188" i="11" s="1"/>
  <c r="J187" i="11"/>
  <c r="I187" i="11"/>
  <c r="I186" i="11"/>
  <c r="J186" i="11" s="1"/>
  <c r="I185" i="11"/>
  <c r="J185" i="11" s="1"/>
  <c r="I184" i="11"/>
  <c r="J184" i="11" s="1"/>
  <c r="I183" i="11"/>
  <c r="J183" i="11" s="1"/>
  <c r="I182" i="11"/>
  <c r="J182" i="11" s="1"/>
  <c r="I181" i="11"/>
  <c r="J181" i="11" s="1"/>
  <c r="I180" i="11"/>
  <c r="J180" i="11" s="1"/>
  <c r="I179" i="11"/>
  <c r="J179" i="11" s="1"/>
  <c r="F178" i="11"/>
  <c r="G178" i="11" s="1"/>
  <c r="I177" i="11"/>
  <c r="J177" i="11" s="1"/>
  <c r="I176" i="11"/>
  <c r="J176" i="11" s="1"/>
  <c r="J175" i="11"/>
  <c r="I175" i="11"/>
  <c r="J174" i="11"/>
  <c r="I174" i="11"/>
  <c r="I173" i="11"/>
  <c r="J173" i="11" s="1"/>
  <c r="I172" i="11"/>
  <c r="J172" i="11" s="1"/>
  <c r="J171" i="11"/>
  <c r="I171" i="11"/>
  <c r="I170" i="11"/>
  <c r="J170" i="11" s="1"/>
  <c r="I169" i="11"/>
  <c r="J169" i="11" s="1"/>
  <c r="F169" i="11"/>
  <c r="G169" i="11" s="1"/>
  <c r="I168" i="11"/>
  <c r="J168" i="11" s="1"/>
  <c r="F168" i="11"/>
  <c r="G168" i="11" s="1"/>
  <c r="I167" i="11"/>
  <c r="J167" i="11" s="1"/>
  <c r="F167" i="11"/>
  <c r="G167" i="11" s="1"/>
  <c r="I166" i="11"/>
  <c r="J166" i="11" s="1"/>
  <c r="F166" i="11"/>
  <c r="G166" i="11" s="1"/>
  <c r="I165" i="11"/>
  <c r="J165" i="11" s="1"/>
  <c r="F165" i="11"/>
  <c r="G165" i="11" s="1"/>
  <c r="J164" i="11"/>
  <c r="I164" i="11"/>
  <c r="J163" i="11"/>
  <c r="I163" i="11"/>
  <c r="I162" i="11"/>
  <c r="J162" i="11" s="1"/>
  <c r="F162" i="11"/>
  <c r="G162" i="11" s="1"/>
  <c r="J161" i="11"/>
  <c r="I161" i="11"/>
  <c r="I160" i="11"/>
  <c r="J160" i="11" s="1"/>
  <c r="F160" i="11"/>
  <c r="G160" i="11" s="1"/>
  <c r="I159" i="11"/>
  <c r="J159" i="11" s="1"/>
  <c r="F159" i="11"/>
  <c r="G159" i="11" s="1"/>
  <c r="I158" i="11"/>
  <c r="J158" i="11" s="1"/>
  <c r="F158" i="11"/>
  <c r="G158" i="11" s="1"/>
  <c r="I157" i="11"/>
  <c r="J157" i="11" s="1"/>
  <c r="F157" i="11"/>
  <c r="G157" i="11" s="1"/>
  <c r="I156" i="11"/>
  <c r="J156" i="11" s="1"/>
  <c r="I155" i="11"/>
  <c r="J155" i="11" s="1"/>
  <c r="I154" i="11"/>
  <c r="J154" i="11" s="1"/>
  <c r="G154" i="11"/>
  <c r="F154" i="11"/>
  <c r="J153" i="11"/>
  <c r="I153" i="11"/>
  <c r="F153" i="11"/>
  <c r="G153" i="11" s="1"/>
  <c r="I152" i="11"/>
  <c r="J152" i="11" s="1"/>
  <c r="J151" i="11"/>
  <c r="I151" i="11"/>
  <c r="I150" i="11"/>
  <c r="J150" i="11" s="1"/>
  <c r="I149" i="11"/>
  <c r="J149" i="11" s="1"/>
  <c r="I148" i="11"/>
  <c r="J148" i="11" s="1"/>
  <c r="I147" i="11"/>
  <c r="J147" i="11" s="1"/>
  <c r="I146" i="11"/>
  <c r="J146" i="11" s="1"/>
  <c r="F146" i="11"/>
  <c r="G146" i="11" s="1"/>
  <c r="I145" i="11"/>
  <c r="J145" i="11" s="1"/>
  <c r="F145" i="11"/>
  <c r="G145" i="11" s="1"/>
  <c r="I144" i="11"/>
  <c r="J144" i="11" s="1"/>
  <c r="I143" i="11"/>
  <c r="J143" i="11" s="1"/>
  <c r="I142" i="11"/>
  <c r="J142" i="11" s="1"/>
  <c r="J141" i="11"/>
  <c r="I141" i="11"/>
  <c r="J140" i="11"/>
  <c r="I140" i="11"/>
  <c r="I139" i="11"/>
  <c r="J139" i="11" s="1"/>
  <c r="I138" i="11"/>
  <c r="J138" i="11" s="1"/>
  <c r="J137" i="11"/>
  <c r="I137" i="11"/>
  <c r="I136" i="11"/>
  <c r="J136" i="11" s="1"/>
  <c r="I135" i="11"/>
  <c r="J135" i="11" s="1"/>
  <c r="F135" i="11"/>
  <c r="G135" i="11" s="1"/>
  <c r="I134" i="11"/>
  <c r="J134" i="11" s="1"/>
  <c r="I133" i="11"/>
  <c r="J133" i="11" s="1"/>
  <c r="I132" i="11"/>
  <c r="J132" i="11" s="1"/>
  <c r="F132" i="11"/>
  <c r="G132" i="11" s="1"/>
  <c r="I131" i="11"/>
  <c r="J131" i="11" s="1"/>
  <c r="I130" i="11"/>
  <c r="J130" i="11" s="1"/>
  <c r="I129" i="11"/>
  <c r="J129" i="11" s="1"/>
  <c r="F129" i="11"/>
  <c r="G129" i="11" s="1"/>
  <c r="J128" i="11"/>
  <c r="I128" i="11"/>
  <c r="J127" i="11"/>
  <c r="I127" i="11"/>
  <c r="F127" i="11"/>
  <c r="G127" i="11" s="1"/>
  <c r="I126" i="11"/>
  <c r="J126" i="11" s="1"/>
  <c r="J125" i="11"/>
  <c r="I125" i="11"/>
  <c r="F125" i="11"/>
  <c r="G125" i="11" s="1"/>
  <c r="I124" i="11"/>
  <c r="J124" i="11" s="1"/>
  <c r="I123" i="11"/>
  <c r="J123" i="11" s="1"/>
  <c r="I122" i="11"/>
  <c r="J122" i="11" s="1"/>
  <c r="I121" i="11"/>
  <c r="J121" i="11" s="1"/>
  <c r="F121" i="11"/>
  <c r="G121" i="11" s="1"/>
  <c r="I120" i="11"/>
  <c r="J120" i="11" s="1"/>
  <c r="I119" i="11"/>
  <c r="J119" i="11" s="1"/>
  <c r="F119" i="11"/>
  <c r="G119" i="11" s="1"/>
  <c r="I118" i="11"/>
  <c r="J118" i="11" s="1"/>
  <c r="F118" i="11"/>
  <c r="G118" i="11" s="1"/>
  <c r="J117" i="11"/>
  <c r="I117" i="11"/>
  <c r="G116" i="11"/>
  <c r="F116" i="11"/>
  <c r="I115" i="11"/>
  <c r="J115" i="11" s="1"/>
  <c r="I114" i="11"/>
  <c r="J114" i="11" s="1"/>
  <c r="J113" i="11"/>
  <c r="I113" i="11"/>
  <c r="I112" i="11"/>
  <c r="J112" i="11" s="1"/>
  <c r="I111" i="11"/>
  <c r="J111" i="11" s="1"/>
  <c r="I110" i="11"/>
  <c r="J110" i="11" s="1"/>
  <c r="I109" i="11"/>
  <c r="J109" i="11" s="1"/>
  <c r="I108" i="11"/>
  <c r="J108" i="11" s="1"/>
  <c r="I107" i="11"/>
  <c r="J107" i="11" s="1"/>
  <c r="I106" i="11"/>
  <c r="J106" i="11" s="1"/>
  <c r="I105" i="11"/>
  <c r="J105" i="11" s="1"/>
  <c r="I104" i="11"/>
  <c r="J104" i="11" s="1"/>
  <c r="F104" i="11"/>
  <c r="G104" i="11" s="1"/>
  <c r="I103" i="11"/>
  <c r="J103" i="11" s="1"/>
  <c r="J102" i="11"/>
  <c r="I102" i="11"/>
  <c r="J101" i="11"/>
  <c r="I101" i="11"/>
  <c r="I100" i="11"/>
  <c r="J100" i="11" s="1"/>
  <c r="F100" i="11"/>
  <c r="G100" i="11" s="1"/>
  <c r="J99" i="11"/>
  <c r="I99" i="11"/>
  <c r="I98" i="11"/>
  <c r="J98" i="11" s="1"/>
  <c r="I97" i="11"/>
  <c r="J97" i="11" s="1"/>
  <c r="F97" i="11"/>
  <c r="G97" i="11" s="1"/>
  <c r="I96" i="11"/>
  <c r="J96" i="11" s="1"/>
  <c r="I95" i="11"/>
  <c r="J95" i="11" s="1"/>
  <c r="I94" i="11"/>
  <c r="J94" i="11" s="1"/>
  <c r="F94" i="11"/>
  <c r="G94" i="11" s="1"/>
  <c r="I93" i="11"/>
  <c r="J93" i="11" s="1"/>
  <c r="F93" i="11"/>
  <c r="G93" i="11" s="1"/>
  <c r="I92" i="11"/>
  <c r="J92" i="11" s="1"/>
  <c r="I91" i="11"/>
  <c r="J91" i="11" s="1"/>
  <c r="G91" i="11"/>
  <c r="F91" i="11"/>
  <c r="J90" i="11"/>
  <c r="I90" i="11"/>
  <c r="F90" i="11"/>
  <c r="G90" i="11" s="1"/>
  <c r="I89" i="11"/>
  <c r="J89" i="11" s="1"/>
  <c r="J88" i="11"/>
  <c r="I88" i="11"/>
  <c r="I87" i="11"/>
  <c r="J87" i="11" s="1"/>
  <c r="I86" i="11"/>
  <c r="J86" i="11" s="1"/>
  <c r="F86" i="11"/>
  <c r="G86" i="11" s="1"/>
  <c r="I85" i="11"/>
  <c r="J85" i="11" s="1"/>
  <c r="F85" i="11"/>
  <c r="G85" i="11" s="1"/>
  <c r="I84" i="11"/>
  <c r="J84" i="11" s="1"/>
  <c r="I83" i="11"/>
  <c r="J83" i="11" s="1"/>
  <c r="I82" i="11"/>
  <c r="J82" i="11" s="1"/>
  <c r="I81" i="11"/>
  <c r="J81" i="11" s="1"/>
  <c r="I80" i="11"/>
  <c r="J80" i="11" s="1"/>
  <c r="F80" i="11"/>
  <c r="G80" i="11" s="1"/>
  <c r="J79" i="11"/>
  <c r="I79" i="11"/>
  <c r="G79" i="11"/>
  <c r="F79" i="11"/>
  <c r="I78" i="11"/>
  <c r="J78" i="11" s="1"/>
  <c r="I77" i="11"/>
  <c r="J77" i="11" s="1"/>
  <c r="J76" i="11"/>
  <c r="I76" i="11"/>
  <c r="I75" i="11"/>
  <c r="J75" i="11" s="1"/>
  <c r="I74" i="11"/>
  <c r="J74" i="11" s="1"/>
  <c r="F74" i="11"/>
  <c r="G74" i="11" s="1"/>
  <c r="I73" i="11"/>
  <c r="J73" i="11" s="1"/>
  <c r="F73" i="11"/>
  <c r="G73" i="11" s="1"/>
  <c r="I72" i="11"/>
  <c r="J72" i="11" s="1"/>
  <c r="F72" i="11"/>
  <c r="G72" i="11" s="1"/>
  <c r="I71" i="11"/>
  <c r="J71" i="11" s="1"/>
  <c r="I70" i="11"/>
  <c r="J70" i="11" s="1"/>
  <c r="I69" i="11"/>
  <c r="J69" i="11" s="1"/>
  <c r="I68" i="11"/>
  <c r="J68" i="11" s="1"/>
  <c r="J67" i="11"/>
  <c r="I67" i="11"/>
  <c r="G67" i="11"/>
  <c r="F67" i="11"/>
  <c r="I66" i="11"/>
  <c r="J66" i="11" s="1"/>
  <c r="F66" i="11"/>
  <c r="G66" i="11" s="1"/>
  <c r="J65" i="11"/>
  <c r="I65" i="11"/>
  <c r="I64" i="11"/>
  <c r="J64" i="11" s="1"/>
  <c r="F64" i="11"/>
  <c r="G64" i="11" s="1"/>
  <c r="I63" i="11"/>
  <c r="J63" i="11" s="1"/>
  <c r="I62" i="11"/>
  <c r="J62" i="11" s="1"/>
  <c r="F62" i="11"/>
  <c r="G62" i="11" s="1"/>
  <c r="I61" i="11"/>
  <c r="J61" i="11" s="1"/>
  <c r="F61" i="11"/>
  <c r="G61" i="11" s="1"/>
  <c r="I60" i="11"/>
  <c r="J60" i="11" s="1"/>
  <c r="I59" i="11"/>
  <c r="J59" i="11" s="1"/>
  <c r="F59" i="11"/>
  <c r="G59" i="11" s="1"/>
  <c r="I58" i="11"/>
  <c r="J58" i="11" s="1"/>
  <c r="G58" i="11"/>
  <c r="F58" i="11"/>
  <c r="J57" i="11"/>
  <c r="I57" i="11"/>
  <c r="F57" i="11"/>
  <c r="G57" i="11" s="1"/>
  <c r="I56" i="11"/>
  <c r="J56" i="11" s="1"/>
  <c r="G56" i="11"/>
  <c r="F56" i="11"/>
  <c r="I55" i="11"/>
  <c r="J55" i="11" s="1"/>
  <c r="I54" i="11"/>
  <c r="J54" i="11" s="1"/>
  <c r="I53" i="11"/>
  <c r="J53" i="11" s="1"/>
  <c r="F53" i="11"/>
  <c r="G53" i="11" s="1"/>
  <c r="I52" i="11"/>
  <c r="J52" i="11" s="1"/>
  <c r="F52" i="11"/>
  <c r="G52" i="11" s="1"/>
  <c r="L51" i="11"/>
  <c r="M51" i="11" s="1"/>
  <c r="F51" i="11"/>
  <c r="G51" i="11" s="1"/>
  <c r="I50" i="11"/>
  <c r="J50" i="11" s="1"/>
  <c r="I49" i="11"/>
  <c r="J49" i="11" s="1"/>
  <c r="I48" i="11"/>
  <c r="J48" i="11" s="1"/>
  <c r="J47" i="11"/>
  <c r="I47" i="11"/>
  <c r="J46" i="11"/>
  <c r="I46" i="11"/>
  <c r="I45" i="11"/>
  <c r="J45" i="11" s="1"/>
  <c r="I44" i="11"/>
  <c r="J44" i="11" s="1"/>
  <c r="J43" i="11"/>
  <c r="I43" i="11"/>
  <c r="I42" i="11"/>
  <c r="J42" i="11" s="1"/>
  <c r="I41" i="11"/>
  <c r="J41" i="11" s="1"/>
  <c r="I40" i="11"/>
  <c r="J40" i="11" s="1"/>
  <c r="I39" i="11"/>
  <c r="J39" i="11" s="1"/>
  <c r="I38" i="11"/>
  <c r="J38" i="11" s="1"/>
  <c r="I37" i="11"/>
  <c r="J37" i="11" s="1"/>
  <c r="I36" i="11"/>
  <c r="J36" i="11" s="1"/>
  <c r="I35" i="11"/>
  <c r="J35" i="11" s="1"/>
  <c r="I34" i="11"/>
  <c r="J34" i="11" s="1"/>
  <c r="I33" i="11"/>
  <c r="J33" i="11" s="1"/>
  <c r="L32" i="11"/>
  <c r="M32" i="11" s="1"/>
  <c r="G32" i="11"/>
  <c r="F32" i="11"/>
  <c r="J31" i="11"/>
  <c r="I31" i="11"/>
  <c r="F31" i="11"/>
  <c r="G31" i="11" s="1"/>
  <c r="I30" i="11"/>
  <c r="J30" i="11" s="1"/>
  <c r="J29" i="11"/>
  <c r="I29" i="11"/>
  <c r="I28" i="11"/>
  <c r="J28" i="11" s="1"/>
  <c r="I27" i="11"/>
  <c r="J27" i="11" s="1"/>
  <c r="F27" i="11"/>
  <c r="G27" i="11" s="1"/>
  <c r="I26" i="11"/>
  <c r="J26" i="11" s="1"/>
  <c r="L25" i="11"/>
  <c r="M25" i="11" s="1"/>
  <c r="I25" i="11"/>
  <c r="J25" i="11" s="1"/>
  <c r="F25" i="11"/>
  <c r="G25" i="11" s="1"/>
  <c r="L24" i="11"/>
  <c r="M24" i="11" s="1"/>
  <c r="I24" i="11"/>
  <c r="J24" i="11" s="1"/>
  <c r="F24" i="11"/>
  <c r="G24" i="11" s="1"/>
  <c r="L23" i="11"/>
  <c r="M23" i="11" s="1"/>
  <c r="G23" i="11"/>
  <c r="F23" i="11"/>
  <c r="G22" i="11"/>
  <c r="F22" i="11"/>
  <c r="I21" i="11"/>
  <c r="J21" i="11" s="1"/>
  <c r="I20" i="11"/>
  <c r="J20" i="11" s="1"/>
  <c r="J18" i="11"/>
  <c r="I18" i="11"/>
  <c r="I17" i="11"/>
  <c r="J17" i="11" s="1"/>
  <c r="I16" i="11"/>
  <c r="J16" i="11" s="1"/>
  <c r="I15" i="11"/>
  <c r="J15" i="11" s="1"/>
  <c r="L14" i="11"/>
  <c r="M14" i="11" s="1"/>
  <c r="F14" i="11"/>
  <c r="G14" i="11" s="1"/>
  <c r="I12" i="11"/>
  <c r="J12" i="11" s="1"/>
  <c r="I11" i="11"/>
  <c r="J11" i="11" s="1"/>
  <c r="I10" i="11"/>
  <c r="J10" i="11" s="1"/>
  <c r="I8" i="11"/>
  <c r="J8" i="11" s="1"/>
  <c r="J7" i="11"/>
  <c r="I7" i="11"/>
  <c r="L6" i="11"/>
  <c r="M6" i="11" s="1"/>
  <c r="F6" i="11"/>
  <c r="G6" i="11" s="1"/>
  <c r="M5" i="11"/>
  <c r="L5" i="11"/>
  <c r="F5" i="11"/>
  <c r="G5" i="11" s="1"/>
  <c r="V7" i="11" l="1"/>
  <c r="V9" i="11"/>
  <c r="V8" i="11"/>
  <c r="S7" i="11"/>
  <c r="X4" i="11"/>
  <c r="S9" i="11"/>
  <c r="S8" i="11"/>
  <c r="T10" i="1"/>
  <c r="U10" i="1" s="1"/>
  <c r="T5" i="1"/>
  <c r="U5" i="1" s="1"/>
  <c r="F5" i="1"/>
  <c r="M13" i="8" l="1"/>
  <c r="M14" i="8"/>
  <c r="M15" i="8"/>
  <c r="M16" i="8"/>
  <c r="L6" i="6"/>
  <c r="M6" i="6" s="1"/>
  <c r="M22" i="3"/>
  <c r="M33" i="3"/>
  <c r="M51" i="3"/>
  <c r="M52" i="3"/>
  <c r="M53" i="3"/>
  <c r="H32" i="3"/>
  <c r="H33" i="3"/>
  <c r="M7" i="2"/>
  <c r="M36" i="2"/>
  <c r="L5" i="10"/>
  <c r="M5" i="10" s="1"/>
  <c r="L5" i="9"/>
  <c r="M5" i="9" s="1"/>
  <c r="L6" i="10"/>
  <c r="M6" i="10" s="1"/>
  <c r="G6" i="10"/>
  <c r="H6" i="10" s="1"/>
  <c r="G5" i="10"/>
  <c r="H5" i="10" s="1"/>
  <c r="L12" i="9"/>
  <c r="M12" i="9" s="1"/>
  <c r="G12" i="9"/>
  <c r="L11" i="9"/>
  <c r="M11" i="9" s="1"/>
  <c r="G11" i="9"/>
  <c r="L10" i="9"/>
  <c r="M10" i="9" s="1"/>
  <c r="G10" i="9"/>
  <c r="L9" i="9"/>
  <c r="M9" i="9" s="1"/>
  <c r="G9" i="9"/>
  <c r="L8" i="9"/>
  <c r="M8" i="9" s="1"/>
  <c r="G8" i="9"/>
  <c r="L7" i="9"/>
  <c r="M7" i="9" s="1"/>
  <c r="G7" i="9"/>
  <c r="L6" i="9"/>
  <c r="M6" i="9" s="1"/>
  <c r="G6" i="9"/>
  <c r="G5" i="9"/>
  <c r="L23" i="8"/>
  <c r="M23" i="8" s="1"/>
  <c r="G23" i="8"/>
  <c r="L22" i="8"/>
  <c r="M22" i="8" s="1"/>
  <c r="G22" i="8"/>
  <c r="L21" i="8"/>
  <c r="M21" i="8" s="1"/>
  <c r="G21" i="8"/>
  <c r="L20" i="8"/>
  <c r="M20" i="8" s="1"/>
  <c r="G20" i="8"/>
  <c r="L19" i="8"/>
  <c r="M19" i="8" s="1"/>
  <c r="G19" i="8"/>
  <c r="L18" i="8"/>
  <c r="M18" i="8" s="1"/>
  <c r="G18" i="8"/>
  <c r="L17" i="8"/>
  <c r="M17" i="8" s="1"/>
  <c r="G17" i="8"/>
  <c r="L16" i="8"/>
  <c r="G16" i="8"/>
  <c r="L15" i="8"/>
  <c r="G15" i="8"/>
  <c r="L14" i="8"/>
  <c r="G14" i="8"/>
  <c r="L13" i="8"/>
  <c r="G13" i="8"/>
  <c r="L12" i="8"/>
  <c r="M12" i="8" s="1"/>
  <c r="G12" i="8"/>
  <c r="L11" i="8"/>
  <c r="M11" i="8" s="1"/>
  <c r="G11" i="8"/>
  <c r="L10" i="8"/>
  <c r="M10" i="8" s="1"/>
  <c r="G10" i="8"/>
  <c r="L9" i="8"/>
  <c r="M9" i="8" s="1"/>
  <c r="G9" i="8"/>
  <c r="L8" i="8"/>
  <c r="M8" i="8" s="1"/>
  <c r="G8" i="8"/>
  <c r="L7" i="8"/>
  <c r="M7" i="8" s="1"/>
  <c r="G7" i="8"/>
  <c r="L6" i="8"/>
  <c r="M6" i="8" s="1"/>
  <c r="G6" i="8"/>
  <c r="G5" i="8"/>
  <c r="H5" i="8" s="1" a="1"/>
  <c r="L31" i="7"/>
  <c r="M31" i="7" s="1"/>
  <c r="G31" i="7"/>
  <c r="H31" i="7" s="1"/>
  <c r="L30" i="7"/>
  <c r="M30" i="7" s="1"/>
  <c r="G30" i="7"/>
  <c r="H30" i="7" s="1"/>
  <c r="L29" i="7"/>
  <c r="M29" i="7" s="1"/>
  <c r="G29" i="7"/>
  <c r="H29" i="7" s="1"/>
  <c r="L28" i="7"/>
  <c r="M28" i="7" s="1"/>
  <c r="G28" i="7"/>
  <c r="H28" i="7" s="1"/>
  <c r="L27" i="7"/>
  <c r="M27" i="7" s="1"/>
  <c r="G27" i="7"/>
  <c r="H27" i="7" s="1"/>
  <c r="L26" i="7"/>
  <c r="M26" i="7" s="1"/>
  <c r="G26" i="7"/>
  <c r="H26" i="7" s="1"/>
  <c r="L25" i="7"/>
  <c r="M25" i="7" s="1"/>
  <c r="G25" i="7"/>
  <c r="H25" i="7" s="1"/>
  <c r="L24" i="7"/>
  <c r="M24" i="7" s="1"/>
  <c r="G24" i="7"/>
  <c r="H24" i="7" s="1"/>
  <c r="L23" i="7"/>
  <c r="M23" i="7" s="1"/>
  <c r="G23" i="7"/>
  <c r="H23" i="7" s="1"/>
  <c r="L22" i="7"/>
  <c r="M22" i="7" s="1"/>
  <c r="G22" i="7"/>
  <c r="H22" i="7" s="1"/>
  <c r="L21" i="7"/>
  <c r="M21" i="7" s="1"/>
  <c r="G21" i="7"/>
  <c r="H21" i="7" s="1"/>
  <c r="L20" i="7"/>
  <c r="M20" i="7" s="1"/>
  <c r="G20" i="7"/>
  <c r="H20" i="7" s="1"/>
  <c r="L19" i="7"/>
  <c r="M19" i="7" s="1"/>
  <c r="G19" i="7"/>
  <c r="H19" i="7" s="1"/>
  <c r="L18" i="7"/>
  <c r="M18" i="7" s="1"/>
  <c r="G18" i="7"/>
  <c r="H18" i="7" s="1"/>
  <c r="L17" i="7"/>
  <c r="M17" i="7" s="1"/>
  <c r="G17" i="7"/>
  <c r="H17" i="7" s="1"/>
  <c r="L16" i="7"/>
  <c r="M16" i="7" s="1"/>
  <c r="G16" i="7"/>
  <c r="H16" i="7" s="1"/>
  <c r="L15" i="7"/>
  <c r="M15" i="7" s="1"/>
  <c r="G15" i="7"/>
  <c r="H15" i="7" s="1"/>
  <c r="L14" i="7"/>
  <c r="M14" i="7" s="1"/>
  <c r="G14" i="7"/>
  <c r="H14" i="7" s="1"/>
  <c r="L13" i="7"/>
  <c r="M13" i="7" s="1"/>
  <c r="G13" i="7"/>
  <c r="H13" i="7" s="1"/>
  <c r="L12" i="7"/>
  <c r="M12" i="7" s="1"/>
  <c r="G12" i="7"/>
  <c r="H12" i="7" s="1"/>
  <c r="L11" i="7"/>
  <c r="M11" i="7" s="1"/>
  <c r="G11" i="7"/>
  <c r="H11" i="7" s="1"/>
  <c r="L10" i="7"/>
  <c r="M10" i="7" s="1"/>
  <c r="G10" i="7"/>
  <c r="H10" i="7" s="1"/>
  <c r="L9" i="7"/>
  <c r="M9" i="7" s="1"/>
  <c r="G9" i="7"/>
  <c r="H9" i="7" s="1"/>
  <c r="L8" i="7"/>
  <c r="M8" i="7" s="1"/>
  <c r="G8" i="7"/>
  <c r="H8" i="7" s="1"/>
  <c r="L7" i="7"/>
  <c r="M7" i="7" s="1"/>
  <c r="G7" i="7"/>
  <c r="H7" i="7" s="1"/>
  <c r="L6" i="7"/>
  <c r="M6" i="7" s="1"/>
  <c r="G6" i="7"/>
  <c r="H6" i="7" s="1"/>
  <c r="G5" i="7"/>
  <c r="H5" i="7" s="1"/>
  <c r="L7" i="6"/>
  <c r="M7" i="6" s="1"/>
  <c r="L8" i="6"/>
  <c r="M8" i="6" s="1"/>
  <c r="L9" i="6"/>
  <c r="M9" i="6" s="1"/>
  <c r="L10" i="6"/>
  <c r="M10" i="6" s="1"/>
  <c r="L11" i="6"/>
  <c r="M11" i="6" s="1"/>
  <c r="L12" i="6"/>
  <c r="M12" i="6" s="1"/>
  <c r="L13" i="6"/>
  <c r="M13" i="6" s="1"/>
  <c r="L14" i="6"/>
  <c r="M14" i="6" s="1"/>
  <c r="L15" i="6"/>
  <c r="M15" i="6" s="1"/>
  <c r="L16" i="6"/>
  <c r="M16" i="6" s="1"/>
  <c r="L17" i="6"/>
  <c r="M17" i="6" s="1"/>
  <c r="L18" i="6"/>
  <c r="M18" i="6" s="1"/>
  <c r="L19" i="6"/>
  <c r="M19" i="6" s="1"/>
  <c r="L20" i="6"/>
  <c r="M20" i="6" s="1"/>
  <c r="L21" i="6"/>
  <c r="M21" i="6" s="1"/>
  <c r="L22" i="6"/>
  <c r="M22" i="6" s="1"/>
  <c r="L23" i="6"/>
  <c r="M23" i="6" s="1"/>
  <c r="L24" i="6"/>
  <c r="M24" i="6" s="1"/>
  <c r="L25" i="6"/>
  <c r="M25" i="6" s="1"/>
  <c r="L26" i="6"/>
  <c r="M26" i="6" s="1"/>
  <c r="L27" i="6"/>
  <c r="M27" i="6" s="1"/>
  <c r="L28" i="6"/>
  <c r="M28" i="6" s="1"/>
  <c r="L29" i="6"/>
  <c r="M29" i="6" s="1"/>
  <c r="L30" i="6"/>
  <c r="M30" i="6" s="1"/>
  <c r="L31" i="6"/>
  <c r="M31" i="6" s="1"/>
  <c r="L32" i="6"/>
  <c r="M32" i="6" s="1"/>
  <c r="L33" i="6"/>
  <c r="M33" i="6" s="1"/>
  <c r="L34" i="6"/>
  <c r="M34" i="6" s="1"/>
  <c r="L35" i="6"/>
  <c r="M35" i="6" s="1"/>
  <c r="L36" i="6"/>
  <c r="M36" i="6" s="1"/>
  <c r="L37" i="6"/>
  <c r="M37" i="6" s="1"/>
  <c r="L38" i="6"/>
  <c r="M38" i="6" s="1"/>
  <c r="L39" i="6"/>
  <c r="M39" i="6" s="1"/>
  <c r="L40" i="6"/>
  <c r="M40" i="6" s="1"/>
  <c r="L41" i="6"/>
  <c r="M41" i="6" s="1"/>
  <c r="L42" i="6"/>
  <c r="M42" i="6" s="1"/>
  <c r="L43" i="6"/>
  <c r="M43" i="6" s="1"/>
  <c r="L44" i="6"/>
  <c r="M44" i="6" s="1"/>
  <c r="P26" i="6"/>
  <c r="Q26" i="6" s="1"/>
  <c r="R26" i="6" s="1"/>
  <c r="P25" i="6"/>
  <c r="Q25" i="6" s="1"/>
  <c r="R25" i="6" s="1"/>
  <c r="P14" i="6"/>
  <c r="Q14" i="6" s="1"/>
  <c r="R14" i="6" s="1"/>
  <c r="R28" i="6" s="1"/>
  <c r="P11" i="6"/>
  <c r="Q11" i="6" s="1"/>
  <c r="R11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T27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5" i="6"/>
  <c r="H5" i="6" s="1"/>
  <c r="P19" i="3"/>
  <c r="Q19" i="3" s="1"/>
  <c r="R19" i="3" s="1"/>
  <c r="P18" i="3"/>
  <c r="Q18" i="3" s="1"/>
  <c r="R18" i="3" s="1"/>
  <c r="P17" i="3"/>
  <c r="Q17" i="3" s="1"/>
  <c r="R17" i="3" s="1"/>
  <c r="P16" i="3"/>
  <c r="Q16" i="3" s="1"/>
  <c r="R16" i="3" s="1"/>
  <c r="P15" i="3"/>
  <c r="Q15" i="3" s="1"/>
  <c r="R15" i="3" s="1"/>
  <c r="P14" i="3"/>
  <c r="Q14" i="3" s="1"/>
  <c r="R14" i="3" s="1"/>
  <c r="P13" i="3"/>
  <c r="Q13" i="3" s="1"/>
  <c r="R13" i="3" s="1"/>
  <c r="P20" i="2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L52" i="3"/>
  <c r="L53" i="3"/>
  <c r="L54" i="3"/>
  <c r="M54" i="3" s="1"/>
  <c r="L55" i="3"/>
  <c r="M55" i="3" s="1"/>
  <c r="L56" i="3"/>
  <c r="M5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L36" i="3"/>
  <c r="M36" i="3" s="1"/>
  <c r="G36" i="3"/>
  <c r="H36" i="3" s="1"/>
  <c r="L35" i="3"/>
  <c r="M35" i="3" s="1"/>
  <c r="G35" i="3"/>
  <c r="H35" i="3" s="1"/>
  <c r="L34" i="3"/>
  <c r="M34" i="3" s="1"/>
  <c r="G34" i="3"/>
  <c r="H34" i="3" s="1"/>
  <c r="L33" i="3"/>
  <c r="G33" i="3"/>
  <c r="L32" i="3"/>
  <c r="M32" i="3" s="1"/>
  <c r="G32" i="3"/>
  <c r="L31" i="3"/>
  <c r="M31" i="3" s="1"/>
  <c r="G31" i="3"/>
  <c r="H31" i="3" s="1"/>
  <c r="L30" i="3"/>
  <c r="M30" i="3" s="1"/>
  <c r="G30" i="3"/>
  <c r="H30" i="3" s="1"/>
  <c r="L29" i="3"/>
  <c r="M29" i="3" s="1"/>
  <c r="G29" i="3"/>
  <c r="H29" i="3" s="1"/>
  <c r="L28" i="3"/>
  <c r="M28" i="3" s="1"/>
  <c r="G28" i="3"/>
  <c r="H28" i="3" s="1"/>
  <c r="L27" i="3"/>
  <c r="M27" i="3" s="1"/>
  <c r="G27" i="3"/>
  <c r="H27" i="3" s="1"/>
  <c r="L26" i="3"/>
  <c r="M26" i="3" s="1"/>
  <c r="G26" i="3"/>
  <c r="H26" i="3" s="1"/>
  <c r="L25" i="3"/>
  <c r="M25" i="3" s="1"/>
  <c r="G25" i="3"/>
  <c r="H25" i="3" s="1"/>
  <c r="L24" i="3"/>
  <c r="M24" i="3" s="1"/>
  <c r="G24" i="3"/>
  <c r="H24" i="3" s="1"/>
  <c r="L23" i="3"/>
  <c r="M23" i="3" s="1"/>
  <c r="G23" i="3"/>
  <c r="H23" i="3" s="1"/>
  <c r="L22" i="3"/>
  <c r="G22" i="3"/>
  <c r="H22" i="3" s="1"/>
  <c r="L21" i="3"/>
  <c r="M21" i="3" s="1"/>
  <c r="G21" i="3"/>
  <c r="H21" i="3" s="1"/>
  <c r="L20" i="3"/>
  <c r="M20" i="3" s="1"/>
  <c r="G20" i="3"/>
  <c r="H20" i="3" s="1"/>
  <c r="L19" i="3"/>
  <c r="M19" i="3" s="1"/>
  <c r="G19" i="3"/>
  <c r="H19" i="3" s="1"/>
  <c r="L18" i="3"/>
  <c r="M18" i="3" s="1"/>
  <c r="G18" i="3"/>
  <c r="H18" i="3" s="1"/>
  <c r="L17" i="3"/>
  <c r="M17" i="3" s="1"/>
  <c r="G17" i="3"/>
  <c r="H17" i="3" s="1"/>
  <c r="L16" i="3"/>
  <c r="M16" i="3" s="1"/>
  <c r="G16" i="3"/>
  <c r="H16" i="3" s="1"/>
  <c r="L15" i="3"/>
  <c r="M15" i="3" s="1"/>
  <c r="G15" i="3"/>
  <c r="H15" i="3" s="1"/>
  <c r="L14" i="3"/>
  <c r="M14" i="3" s="1"/>
  <c r="G14" i="3"/>
  <c r="H14" i="3" s="1"/>
  <c r="L13" i="3"/>
  <c r="M13" i="3" s="1"/>
  <c r="G13" i="3"/>
  <c r="H13" i="3" s="1"/>
  <c r="L12" i="3"/>
  <c r="M12" i="3" s="1"/>
  <c r="G12" i="3"/>
  <c r="H12" i="3" s="1"/>
  <c r="L11" i="3"/>
  <c r="M11" i="3" s="1"/>
  <c r="G11" i="3"/>
  <c r="H11" i="3" s="1"/>
  <c r="L10" i="3"/>
  <c r="M10" i="3" s="1"/>
  <c r="G10" i="3"/>
  <c r="H10" i="3" s="1"/>
  <c r="L9" i="3"/>
  <c r="M9" i="3" s="1"/>
  <c r="G9" i="3"/>
  <c r="H9" i="3" s="1"/>
  <c r="L8" i="3"/>
  <c r="M8" i="3" s="1"/>
  <c r="G8" i="3"/>
  <c r="H8" i="3" s="1"/>
  <c r="L7" i="3"/>
  <c r="M7" i="3" s="1"/>
  <c r="G7" i="3"/>
  <c r="H7" i="3" s="1"/>
  <c r="L6" i="3"/>
  <c r="M6" i="3" s="1"/>
  <c r="G6" i="3"/>
  <c r="H6" i="3" s="1"/>
  <c r="G5" i="3"/>
  <c r="H5" i="3" s="1"/>
  <c r="P28" i="2"/>
  <c r="K48" i="1"/>
  <c r="L36" i="2"/>
  <c r="L7" i="2"/>
  <c r="M21" i="9" l="1"/>
  <c r="M17" i="9"/>
  <c r="M14" i="9"/>
  <c r="M19" i="9"/>
  <c r="M16" i="9"/>
  <c r="M20" i="9"/>
  <c r="H5" i="9" a="1"/>
  <c r="H5" i="9" s="1"/>
  <c r="M13" i="9"/>
  <c r="M32" i="8"/>
  <c r="M27" i="8"/>
  <c r="M30" i="8"/>
  <c r="M28" i="8"/>
  <c r="M31" i="8"/>
  <c r="M24" i="8"/>
  <c r="M25" i="8"/>
  <c r="H5" i="8"/>
  <c r="H31" i="8"/>
  <c r="H30" i="8"/>
  <c r="H32" i="8"/>
  <c r="H33" i="7"/>
  <c r="M33" i="7"/>
  <c r="H32" i="7"/>
  <c r="M32" i="7"/>
  <c r="M37" i="7"/>
  <c r="M35" i="7"/>
  <c r="M36" i="7"/>
  <c r="H37" i="7"/>
  <c r="H35" i="7"/>
  <c r="H36" i="7"/>
  <c r="U28" i="6"/>
  <c r="T28" i="6"/>
  <c r="U27" i="6"/>
  <c r="M45" i="6"/>
  <c r="M49" i="6"/>
  <c r="M46" i="6"/>
  <c r="M50" i="6"/>
  <c r="M48" i="6"/>
  <c r="H48" i="6"/>
  <c r="H45" i="6"/>
  <c r="H50" i="6"/>
  <c r="H46" i="6"/>
  <c r="H49" i="6"/>
  <c r="R27" i="6"/>
  <c r="M57" i="3"/>
  <c r="M58" i="3"/>
  <c r="M59" i="3"/>
  <c r="H58" i="3"/>
  <c r="H57" i="3"/>
  <c r="H59" i="3"/>
  <c r="T21" i="3"/>
  <c r="T20" i="3"/>
  <c r="U21" i="3"/>
  <c r="U20" i="3"/>
  <c r="R21" i="3"/>
  <c r="R20" i="3"/>
  <c r="H21" i="9" l="1"/>
  <c r="H19" i="9"/>
  <c r="H17" i="9"/>
  <c r="H14" i="9"/>
  <c r="H13" i="9"/>
  <c r="H20" i="9"/>
  <c r="H16" i="9"/>
  <c r="H24" i="8"/>
  <c r="H25" i="8"/>
  <c r="H27" i="8"/>
  <c r="H28" i="8"/>
  <c r="G36" i="2"/>
  <c r="H36" i="2" s="1"/>
  <c r="L35" i="2"/>
  <c r="M35" i="2" s="1"/>
  <c r="G35" i="2"/>
  <c r="H35" i="2" s="1"/>
  <c r="L34" i="2"/>
  <c r="M34" i="2" s="1"/>
  <c r="G34" i="2"/>
  <c r="H34" i="2" s="1"/>
  <c r="L33" i="2"/>
  <c r="M33" i="2" s="1"/>
  <c r="G33" i="2"/>
  <c r="H33" i="2" s="1"/>
  <c r="L32" i="2"/>
  <c r="M32" i="2" s="1"/>
  <c r="G32" i="2"/>
  <c r="H32" i="2" s="1"/>
  <c r="L31" i="2"/>
  <c r="M31" i="2" s="1"/>
  <c r="G31" i="2"/>
  <c r="H31" i="2" s="1"/>
  <c r="L30" i="2"/>
  <c r="M30" i="2" s="1"/>
  <c r="G30" i="2"/>
  <c r="H30" i="2" s="1"/>
  <c r="L29" i="2"/>
  <c r="M29" i="2" s="1"/>
  <c r="G29" i="2"/>
  <c r="H29" i="2" s="1"/>
  <c r="L28" i="2"/>
  <c r="M28" i="2" s="1"/>
  <c r="Q28" i="2"/>
  <c r="G28" i="2"/>
  <c r="H28" i="2" s="1"/>
  <c r="L27" i="2"/>
  <c r="M27" i="2" s="1"/>
  <c r="G27" i="2"/>
  <c r="H27" i="2" s="1"/>
  <c r="L26" i="2"/>
  <c r="M26" i="2" s="1"/>
  <c r="G26" i="2"/>
  <c r="H26" i="2" s="1"/>
  <c r="L25" i="2"/>
  <c r="M25" i="2" s="1"/>
  <c r="G25" i="2"/>
  <c r="H25" i="2" s="1"/>
  <c r="L24" i="2"/>
  <c r="M24" i="2" s="1"/>
  <c r="G24" i="2"/>
  <c r="H24" i="2" s="1"/>
  <c r="L23" i="2"/>
  <c r="M23" i="2" s="1"/>
  <c r="G23" i="2"/>
  <c r="H23" i="2" s="1"/>
  <c r="L22" i="2"/>
  <c r="M22" i="2" s="1"/>
  <c r="G22" i="2"/>
  <c r="H22" i="2" s="1"/>
  <c r="L21" i="2"/>
  <c r="M21" i="2" s="1"/>
  <c r="G21" i="2"/>
  <c r="H21" i="2" s="1"/>
  <c r="L20" i="2"/>
  <c r="M20" i="2" s="1"/>
  <c r="Q20" i="2"/>
  <c r="G20" i="2"/>
  <c r="H20" i="2" s="1"/>
  <c r="L19" i="2"/>
  <c r="M19" i="2" s="1"/>
  <c r="G19" i="2"/>
  <c r="H19" i="2" s="1"/>
  <c r="L18" i="2"/>
  <c r="M18" i="2" s="1"/>
  <c r="G18" i="2"/>
  <c r="H18" i="2" s="1"/>
  <c r="L17" i="2"/>
  <c r="M17" i="2" s="1"/>
  <c r="G17" i="2"/>
  <c r="H17" i="2" s="1"/>
  <c r="L16" i="2"/>
  <c r="M16" i="2" s="1"/>
  <c r="G16" i="2"/>
  <c r="H16" i="2" s="1"/>
  <c r="L15" i="2"/>
  <c r="M15" i="2" s="1"/>
  <c r="G15" i="2"/>
  <c r="H15" i="2" s="1"/>
  <c r="L14" i="2"/>
  <c r="M14" i="2" s="1"/>
  <c r="G14" i="2"/>
  <c r="H14" i="2" s="1"/>
  <c r="L13" i="2"/>
  <c r="M13" i="2" s="1"/>
  <c r="G13" i="2"/>
  <c r="H13" i="2" s="1"/>
  <c r="L12" i="2"/>
  <c r="M12" i="2" s="1"/>
  <c r="G12" i="2"/>
  <c r="H12" i="2" s="1"/>
  <c r="L11" i="2"/>
  <c r="M11" i="2" s="1"/>
  <c r="G11" i="2"/>
  <c r="H11" i="2" s="1"/>
  <c r="L10" i="2"/>
  <c r="M10" i="2" s="1"/>
  <c r="G10" i="2"/>
  <c r="H10" i="2" s="1"/>
  <c r="L9" i="2"/>
  <c r="M9" i="2" s="1"/>
  <c r="G9" i="2"/>
  <c r="H9" i="2" s="1"/>
  <c r="L8" i="2"/>
  <c r="M8" i="2" s="1"/>
  <c r="G8" i="2"/>
  <c r="H8" i="2" s="1"/>
  <c r="G7" i="2"/>
  <c r="H7" i="2" s="1"/>
  <c r="L6" i="2"/>
  <c r="M6" i="2" s="1"/>
  <c r="G6" i="2"/>
  <c r="H6" i="2" s="1"/>
  <c r="L5" i="2"/>
  <c r="M5" i="2" s="1"/>
  <c r="G5" i="2"/>
  <c r="H5" i="2" s="1"/>
  <c r="K7" i="1"/>
  <c r="K9" i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K38" i="1"/>
  <c r="L38" i="1" s="1"/>
  <c r="M38" i="1" s="1"/>
  <c r="K39" i="1"/>
  <c r="L39" i="1" s="1"/>
  <c r="M39" i="1" s="1"/>
  <c r="K40" i="1"/>
  <c r="K41" i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K46" i="1"/>
  <c r="L46" i="1" s="1"/>
  <c r="M46" i="1" s="1"/>
  <c r="K47" i="1"/>
  <c r="L47" i="1" s="1"/>
  <c r="M47" i="1" s="1"/>
  <c r="L48" i="1"/>
  <c r="M48" i="1" s="1"/>
  <c r="K6" i="1"/>
  <c r="L7" i="1"/>
  <c r="M7" i="1" s="1"/>
  <c r="L9" i="1"/>
  <c r="M9" i="1" s="1"/>
  <c r="L40" i="1"/>
  <c r="M40" i="1" s="1"/>
  <c r="L41" i="1"/>
  <c r="M41" i="1" s="1"/>
  <c r="P10" i="1"/>
  <c r="Q10" i="1" s="1"/>
  <c r="P5" i="1"/>
  <c r="Q5" i="1" s="1"/>
  <c r="L6" i="1"/>
  <c r="M6" i="1" s="1"/>
  <c r="P16" i="1"/>
  <c r="Q16" i="1" s="1"/>
  <c r="P34" i="1"/>
  <c r="Q34" i="1" s="1"/>
  <c r="P28" i="1"/>
  <c r="Q28" i="1" s="1"/>
  <c r="P24" i="1"/>
  <c r="Q24" i="1" s="1"/>
  <c r="G5" i="1"/>
  <c r="H5" i="1" s="1"/>
  <c r="M39" i="2" l="1"/>
  <c r="M37" i="2"/>
  <c r="M38" i="2"/>
  <c r="H37" i="2"/>
  <c r="H39" i="2"/>
  <c r="M51" i="1"/>
  <c r="M49" i="1"/>
  <c r="M50" i="1"/>
  <c r="H38" i="2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F48" i="1"/>
  <c r="G48" i="1" s="1"/>
  <c r="H48" i="1" s="1"/>
  <c r="H49" i="1" l="1"/>
  <c r="H51" i="1"/>
  <c r="H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487C6CA9-BBBB-4AF4-BF93-2261A5ADC0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</t>
        </r>
      </text>
    </comment>
    <comment ref="N4" authorId="0" shapeId="0" xr:uid="{76C1F6DC-3739-4793-A047-FE7715C25D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Taken from the Su &amp; Coppens (1997) paper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23A8B0DE-9992-4CD2-BD4C-E6EDEDE163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J33" authorId="0" shapeId="0" xr:uid="{4EA0AC27-E0A9-4DC7-AB93-07BB915716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different state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202DE1AA-0EFC-46CE-A923-A04288999F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C44" authorId="0" shapeId="0" xr:uid="{F3FAE07F-B424-4346-BE5B-E4A33DAB57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1.6 eV</t>
        </r>
      </text>
    </comment>
    <comment ref="C46" authorId="0" shapeId="0" xr:uid="{F0A45BDC-C6B1-4D7F-A69B-9671EAD176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1.6 eV</t>
        </r>
      </text>
    </comment>
    <comment ref="C47" authorId="0" shapeId="0" xr:uid="{B3549A5B-D8BD-4A52-BE8A-ED94E6A3F0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1.6 eV</t>
        </r>
      </text>
    </comment>
    <comment ref="C48" authorId="0" shapeId="0" xr:uid="{30157BBD-876B-4737-ADF8-DB791A35F5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1.6 eV</t>
        </r>
      </text>
    </comment>
    <comment ref="C49" authorId="0" shapeId="0" xr:uid="{D1F1ACEA-840A-4373-9B5A-57C7AEC2AD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1.6 eV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E9BE6A85-F315-4E2C-A544-08C205E31E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C24" authorId="0" shapeId="0" xr:uid="{4AE3D001-8368-4267-95E4-49921BF3EB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  <comment ref="C25" authorId="0" shapeId="0" xr:uid="{6B8930E9-6E52-4AC9-A9B2-42B8C31566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  <comment ref="C26" authorId="0" shapeId="0" xr:uid="{ED123471-0186-4922-8657-F142F8880A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  <comment ref="C31" authorId="0" shapeId="0" xr:uid="{B1F76CB1-2F9E-4AA2-861B-1667EB3DCF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  <comment ref="C33" authorId="0" shapeId="0" xr:uid="{6652922E-B0A8-4AE1-8C68-2EB5180E23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  <comment ref="C34" authorId="0" shapeId="0" xr:uid="{987A3BD9-86FF-4588-8F52-65893D3EA8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  <comment ref="C35" authorId="0" shapeId="0" xr:uid="{9D0A2886-4AB3-4A04-8C38-800104AB51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1.7 eV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61FF5DA3-59D8-48BE-9469-AF2A949980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C17" authorId="0" shapeId="0" xr:uid="{B526A822-B47D-4605-9A2C-F570152325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18" authorId="0" shapeId="0" xr:uid="{3BDD2BED-8FB9-400E-BA92-A2006917F1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19" authorId="0" shapeId="0" xr:uid="{A2342092-1DEE-4776-961D-787D6F921D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23" authorId="0" shapeId="0" xr:uid="{313ED3E1-A058-4FCF-8078-6989B0909B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24" authorId="0" shapeId="0" xr:uid="{FD73541B-50DD-4BB4-A732-28BD414C74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25" authorId="0" shapeId="0" xr:uid="{84918631-5E00-4759-BF41-828136E786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26" authorId="0" shapeId="0" xr:uid="{67E64272-A1FD-4BE9-ADB7-9B65515044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28" authorId="0" shapeId="0" xr:uid="{812E21F3-820C-4E58-A157-312559F4EC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29" authorId="0" shapeId="0" xr:uid="{7E092FD3-D814-48E2-85FA-F1D67019F9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30" authorId="0" shapeId="0" xr:uid="{9788DAAE-31AF-4D7E-A5C3-D28AD4EF39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  <comment ref="C31" authorId="0" shapeId="0" xr:uid="{0509B496-CE8D-4E65-AD7C-706E99B49C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1.9 eV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4A44BF86-BA42-41C1-9B89-743FFE1E16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C11" authorId="0" shapeId="0" xr:uid="{2E3DB1F9-7C84-4FFB-8ABD-ACD471E35F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2" authorId="0" shapeId="0" xr:uid="{0AD5249D-47D6-40F5-8C76-CAC0F5A9D4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3" authorId="0" shapeId="0" xr:uid="{F1955B1D-21F7-4FEC-B839-340EC02E1E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4" authorId="0" shapeId="0" xr:uid="{DF9F60F4-9E84-4442-9F66-976501D944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6" authorId="0" shapeId="0" xr:uid="{999307F8-878F-4523-AC19-BF9D17BE1A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7" authorId="0" shapeId="0" xr:uid="{F60EC95B-9276-4F96-9364-D04B8A5288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8" authorId="0" shapeId="0" xr:uid="{BF9F3E97-547F-44D5-B376-3CF6E0D59A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9" authorId="0" shapeId="0" xr:uid="{87ECBF42-42D3-421A-BA14-125D92B964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20" authorId="0" shapeId="0" xr:uid="{05205A0B-176F-4D74-9160-3EB2AD259C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uncertainty = 1.6 eV</t>
        </r>
      </text>
    </comment>
    <comment ref="C21" authorId="0" shapeId="0" xr:uid="{B5491E50-EAFE-4994-8E90-D53FE8ACAF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22" authorId="0" shapeId="0" xr:uid="{436D4593-4304-4524-A56C-FB0D760681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1970 theoretical study; uncertainty = 4 eV</t>
        </r>
      </text>
    </comment>
    <comment ref="C23" authorId="0" shapeId="0" xr:uid="{911CDA2F-7B5D-4BE2-916E-9F0D9B56D4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CFE83D34-A0CE-4AE0-90B2-B8263D1441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C7" authorId="0" shapeId="0" xr:uid="{0B2424A9-FA30-40D0-93AB-DC2426BB5F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8" authorId="0" shapeId="0" xr:uid="{90AB7B4E-F4E4-4BF2-BF27-4112C66D98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0" authorId="0" shapeId="0" xr:uid="{A5B87C7A-A276-468B-9F4F-471C12DECF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2.0 eV</t>
        </r>
      </text>
    </comment>
    <comment ref="C11" authorId="0" shapeId="0" xr:uid="{0D5AAFA6-D1D3-4AD3-B691-4868837AB0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1970 theoretical study; uncertainty = 5 eV</t>
        </r>
      </text>
    </comment>
    <comment ref="C12" authorId="0" shapeId="0" xr:uid="{7CF6975A-C4DE-4D1B-81AD-326C7676BE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1970 theoretical study; uncertainty = 5 eV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BD3454A3-CE40-4B68-B05C-8A31A8ADEB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taken from Kramida et al. (2021)
https://www.nist.gov/pml/ground-levels-and-ionization-energies-neutral-atoms
</t>
        </r>
      </text>
    </comment>
    <comment ref="C5" authorId="0" shapeId="0" xr:uid="{92149460-6CAF-4328-A547-8E7FC7329B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Rodrigues' value; uncertainty = 2.1 eV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<sst xmlns="http://schemas.openxmlformats.org/spreadsheetml/2006/main" count="19951" uniqueCount="504">
  <si>
    <t>Z</t>
  </si>
  <si>
    <t>Ion/Atom</t>
  </si>
  <si>
    <t>Li(1+)</t>
  </si>
  <si>
    <t>B(1+)</t>
  </si>
  <si>
    <t>B(2+)</t>
  </si>
  <si>
    <t>B(3+)</t>
  </si>
  <si>
    <t>C(1+)</t>
  </si>
  <si>
    <t>C(2+)</t>
  </si>
  <si>
    <t>C(3+)</t>
  </si>
  <si>
    <t>C(4+)</t>
  </si>
  <si>
    <t>N(1+)</t>
  </si>
  <si>
    <t>N(2+)</t>
  </si>
  <si>
    <t>N(3+)</t>
  </si>
  <si>
    <t>N(4+)</t>
  </si>
  <si>
    <t>N(5+)</t>
  </si>
  <si>
    <t>O(1+)</t>
  </si>
  <si>
    <t>O(2+)</t>
  </si>
  <si>
    <t>Na(1+)</t>
  </si>
  <si>
    <t>Al(1+)</t>
  </si>
  <si>
    <t>Si(1+)</t>
  </si>
  <si>
    <t>Si(2+)</t>
  </si>
  <si>
    <t>Si(3+)</t>
  </si>
  <si>
    <t>Si(4+)</t>
  </si>
  <si>
    <t>P(1+)</t>
  </si>
  <si>
    <t>P(2+)</t>
  </si>
  <si>
    <t>P(3+)</t>
  </si>
  <si>
    <t>P(4+)</t>
  </si>
  <si>
    <t>P(5+)</t>
  </si>
  <si>
    <t>S(1+)</t>
  </si>
  <si>
    <t>S(2+)</t>
  </si>
  <si>
    <t>S(3+)</t>
  </si>
  <si>
    <t>S(4+)</t>
  </si>
  <si>
    <t>S(5+)</t>
  </si>
  <si>
    <t>S(6+)</t>
  </si>
  <si>
    <t>Cl(1+)</t>
  </si>
  <si>
    <t>Cl(2+)</t>
  </si>
  <si>
    <t>Cl(3+)</t>
  </si>
  <si>
    <t>Cl(4+)</t>
  </si>
  <si>
    <t>Cl(5+)</t>
  </si>
  <si>
    <t>Cl(6+)</t>
  </si>
  <si>
    <t>Cl(7+)</t>
  </si>
  <si>
    <t>K(1+)</t>
  </si>
  <si>
    <t>Sc(1+)</t>
  </si>
  <si>
    <t>Sc(2+)</t>
  </si>
  <si>
    <t>Sc(3+)</t>
  </si>
  <si>
    <t>Ti(3+)</t>
  </si>
  <si>
    <t>Ti(4+)</t>
  </si>
  <si>
    <t>V(1+)</t>
  </si>
  <si>
    <t>V(2+)</t>
  </si>
  <si>
    <t>V(3+)</t>
  </si>
  <si>
    <t>V(4+)</t>
  </si>
  <si>
    <t>V(5+)</t>
  </si>
  <si>
    <t>Cr(1+)</t>
  </si>
  <si>
    <t>Cr(2+)</t>
  </si>
  <si>
    <t>Cr(3+)</t>
  </si>
  <si>
    <t>Cr(4+)</t>
  </si>
  <si>
    <t>Cr(5+)</t>
  </si>
  <si>
    <t>Cr(6+)</t>
  </si>
  <si>
    <t>Mn(1+)</t>
  </si>
  <si>
    <t>Mn(2+)</t>
  </si>
  <si>
    <t>Mn(3+)</t>
  </si>
  <si>
    <t>Mn(4+)</t>
  </si>
  <si>
    <t>Mn(5+)</t>
  </si>
  <si>
    <t>Mn(6+)</t>
  </si>
  <si>
    <t>Mn(7+)</t>
  </si>
  <si>
    <t>Fe(1+)</t>
  </si>
  <si>
    <t>Fe(2+)</t>
  </si>
  <si>
    <t>Fe(3+)</t>
  </si>
  <si>
    <t>Fe(4+)</t>
  </si>
  <si>
    <t>Fe(5+)</t>
  </si>
  <si>
    <t>Fe(6+)</t>
  </si>
  <si>
    <t>Co(1+)</t>
  </si>
  <si>
    <t>Co(2+)</t>
  </si>
  <si>
    <t>Co(3+)</t>
  </si>
  <si>
    <t>Co(4+)</t>
  </si>
  <si>
    <t>Co(5+)</t>
  </si>
  <si>
    <t>Ni(1+)</t>
  </si>
  <si>
    <t>Ni(2+)</t>
  </si>
  <si>
    <t>Ni(3+)</t>
  </si>
  <si>
    <t>Ni(4+)</t>
  </si>
  <si>
    <t>Cu(1+)</t>
  </si>
  <si>
    <t>Cu(2+)</t>
  </si>
  <si>
    <t>Cu(3+)</t>
  </si>
  <si>
    <t>Cu(4+)</t>
  </si>
  <si>
    <t>Ga(1+)</t>
  </si>
  <si>
    <t>Ga(2+)</t>
  </si>
  <si>
    <t>Ga(3+)</t>
  </si>
  <si>
    <t>Ge(1+)</t>
  </si>
  <si>
    <t>Ge(2+)</t>
  </si>
  <si>
    <t>Ge(3+)</t>
  </si>
  <si>
    <t>Ge(4+)</t>
  </si>
  <si>
    <t>As(3+)</t>
  </si>
  <si>
    <t>Br(1+)</t>
  </si>
  <si>
    <t>Br(4+)</t>
  </si>
  <si>
    <t>Br(5+)</t>
  </si>
  <si>
    <t>Rb(1+)</t>
  </si>
  <si>
    <t>Y(3+)</t>
  </si>
  <si>
    <t>Zr(1+)</t>
  </si>
  <si>
    <t>Zr(2+)</t>
  </si>
  <si>
    <t>Zr(3+)</t>
  </si>
  <si>
    <t>Zr(4+)</t>
  </si>
  <si>
    <t>Nb(3+)</t>
  </si>
  <si>
    <t>Nb(4+)</t>
  </si>
  <si>
    <t>Nb(5+)</t>
  </si>
  <si>
    <t>Mo(1+)</t>
  </si>
  <si>
    <t>Mo(2+)</t>
  </si>
  <si>
    <t>Mo(3+)</t>
  </si>
  <si>
    <t>Mo(4+)</t>
  </si>
  <si>
    <t>Mo(5+)</t>
  </si>
  <si>
    <t>Mo(6+)</t>
  </si>
  <si>
    <t>Tc(1+)</t>
  </si>
  <si>
    <t>Tc(2+)</t>
  </si>
  <si>
    <t>Tc(3+)</t>
  </si>
  <si>
    <t>Tc(4+)</t>
  </si>
  <si>
    <t>Tc(5+)</t>
  </si>
  <si>
    <t>Tc(6+)</t>
  </si>
  <si>
    <t>Tc(7+)</t>
  </si>
  <si>
    <t>Ru(1+)</t>
  </si>
  <si>
    <t>Ru(2+)</t>
  </si>
  <si>
    <t>Ru(3+)</t>
  </si>
  <si>
    <t>Ru(4+)</t>
  </si>
  <si>
    <t>Ru(5+)</t>
  </si>
  <si>
    <t>Ru(6+)</t>
  </si>
  <si>
    <t>Ru(7+)</t>
  </si>
  <si>
    <t>Ru(8+)</t>
  </si>
  <si>
    <t>Rh(1+)</t>
  </si>
  <si>
    <t>Rh(2+)</t>
  </si>
  <si>
    <t>Rh(3+)</t>
  </si>
  <si>
    <t>Rh(4+)</t>
  </si>
  <si>
    <t>Rh(5+)</t>
  </si>
  <si>
    <t>Rh(6+)</t>
  </si>
  <si>
    <t>Ag(1+)</t>
  </si>
  <si>
    <t>Ag(2+)</t>
  </si>
  <si>
    <t>Ag(3+)</t>
  </si>
  <si>
    <t>In(1+)</t>
  </si>
  <si>
    <t>In(2+)</t>
  </si>
  <si>
    <t>In(3+)</t>
  </si>
  <si>
    <t>Te(5+)</t>
  </si>
  <si>
    <t>Te(6+)</t>
  </si>
  <si>
    <t>I(1+)</t>
  </si>
  <si>
    <t>Cs(1+)</t>
  </si>
  <si>
    <t>La(3+)</t>
  </si>
  <si>
    <t>Ce(3+)</t>
  </si>
  <si>
    <t>Ce(4+)</t>
  </si>
  <si>
    <t>Pr(3+)</t>
  </si>
  <si>
    <t>Pr(4+)</t>
  </si>
  <si>
    <t>Nd(3+)</t>
  </si>
  <si>
    <t>Sm(3+)</t>
  </si>
  <si>
    <t>Eu(3+)</t>
  </si>
  <si>
    <t>Gd(1+)</t>
  </si>
  <si>
    <t>Gd(2+)</t>
  </si>
  <si>
    <t>Gd(3+)</t>
  </si>
  <si>
    <t>Tb(1+)</t>
  </si>
  <si>
    <t>Tb(4+)</t>
  </si>
  <si>
    <t>Dy(3+)</t>
  </si>
  <si>
    <t>Tm(3+)</t>
  </si>
  <si>
    <t>Yb(3+)</t>
  </si>
  <si>
    <t>Hf(3+)</t>
  </si>
  <si>
    <t>Hf(4+)</t>
  </si>
  <si>
    <t>Ta(3+)</t>
  </si>
  <si>
    <t>Ta(4+)</t>
  </si>
  <si>
    <t>Ta(5+)</t>
  </si>
  <si>
    <t>W(1+)</t>
  </si>
  <si>
    <t>W(2+)</t>
  </si>
  <si>
    <t>W(3+)</t>
  </si>
  <si>
    <t>W(4+)</t>
  </si>
  <si>
    <t>W(5+)</t>
  </si>
  <si>
    <t>W(6+)</t>
  </si>
  <si>
    <t>Re(1+)</t>
  </si>
  <si>
    <t>Re(2+)</t>
  </si>
  <si>
    <t>Re(3+)</t>
  </si>
  <si>
    <t>Re(4+)</t>
  </si>
  <si>
    <t>Re(5+)</t>
  </si>
  <si>
    <t>Re(6+)</t>
  </si>
  <si>
    <t>Re(7+)</t>
  </si>
  <si>
    <t>Os(1+)</t>
  </si>
  <si>
    <t>Os(2+)</t>
  </si>
  <si>
    <t>Os(3+)</t>
  </si>
  <si>
    <t>Os(4+)</t>
  </si>
  <si>
    <t>Os(5+)</t>
  </si>
  <si>
    <t>Os(6+)</t>
  </si>
  <si>
    <t>Os(7+)</t>
  </si>
  <si>
    <t>Os(8+)</t>
  </si>
  <si>
    <t>Ir(1+)</t>
  </si>
  <si>
    <t>Ir(2+)</t>
  </si>
  <si>
    <t>Ir(3+)</t>
  </si>
  <si>
    <t>Ir(4+)</t>
  </si>
  <si>
    <t>Ir(5+)</t>
  </si>
  <si>
    <t>Ir(6+)</t>
  </si>
  <si>
    <t>Pt(5+)</t>
  </si>
  <si>
    <t>Pt(6+)</t>
  </si>
  <si>
    <t>Au(1+)</t>
  </si>
  <si>
    <t>Au(2+)</t>
  </si>
  <si>
    <t>Au(3+)</t>
  </si>
  <si>
    <t>Hg(1+)</t>
  </si>
  <si>
    <t>Hg(2+)</t>
  </si>
  <si>
    <t>Tl(1+)</t>
  </si>
  <si>
    <t>At(1+)</t>
  </si>
  <si>
    <t>Fr(1+)</t>
  </si>
  <si>
    <t>Th(3+)</t>
  </si>
  <si>
    <t>Th(4+)</t>
  </si>
  <si>
    <t>Pa(4+)</t>
  </si>
  <si>
    <t>Pa(5+)</t>
  </si>
  <si>
    <t>U(4+)</t>
  </si>
  <si>
    <t>U(5+)</t>
  </si>
  <si>
    <t>U(6+)</t>
  </si>
  <si>
    <t>Np(4+)</t>
  </si>
  <si>
    <t>Np(5+)</t>
  </si>
  <si>
    <t>Np(6+)</t>
  </si>
  <si>
    <t>Np(7+)</t>
  </si>
  <si>
    <t>Pu(4+)</t>
  </si>
  <si>
    <t>Pu(5+)</t>
  </si>
  <si>
    <t>Pu(6+)</t>
  </si>
  <si>
    <t>Pu(7+)</t>
  </si>
  <si>
    <t>Am(3+)</t>
  </si>
  <si>
    <t>Am(4+)</t>
  </si>
  <si>
    <t>Am(5+)</t>
  </si>
  <si>
    <t>Am(6+)</t>
  </si>
  <si>
    <t>Cm(4+)</t>
  </si>
  <si>
    <t>Bk(4+)</t>
  </si>
  <si>
    <t>Cf(3+)</t>
  </si>
  <si>
    <t>Cf(4+)</t>
  </si>
  <si>
    <t>Es(3+)</t>
  </si>
  <si>
    <t>Fm(3+)</t>
  </si>
  <si>
    <t>Md(3+)</t>
  </si>
  <si>
    <t>No(3+)</t>
  </si>
  <si>
    <t>Macchi &amp; Coppens (2001)</t>
  </si>
  <si>
    <t>Rodrigues et al. (2004)</t>
  </si>
  <si>
    <t>This work</t>
  </si>
  <si>
    <r>
      <rPr>
        <b/>
        <i/>
        <sz val="11"/>
        <color rgb="FFFF0000"/>
        <rFont val="Calibri"/>
        <family val="2"/>
        <scheme val="minor"/>
      </rPr>
      <t xml:space="preserve">I  </t>
    </r>
    <r>
      <rPr>
        <b/>
        <sz val="11"/>
        <color rgb="FFFF0000"/>
        <rFont val="Calibri"/>
        <family val="2"/>
        <scheme val="minor"/>
      </rPr>
      <t>(eV)</t>
    </r>
  </si>
  <si>
    <r>
      <rPr>
        <b/>
        <sz val="11"/>
        <color rgb="FFFF0000"/>
        <rFont val="Symbol"/>
        <family val="1"/>
        <charset val="2"/>
      </rPr>
      <t>D</t>
    </r>
    <r>
      <rPr>
        <b/>
        <i/>
        <sz val="11"/>
        <color rgb="FFFF0000"/>
        <rFont val="Calibri"/>
        <family val="2"/>
      </rPr>
      <t>I</t>
    </r>
    <r>
      <rPr>
        <b/>
        <sz val="11"/>
        <color rgb="FFFF0000"/>
        <rFont val="Calibri"/>
        <family val="2"/>
      </rPr>
      <t xml:space="preserve"> (eV)</t>
    </r>
  </si>
  <si>
    <r>
      <rPr>
        <b/>
        <i/>
        <sz val="11"/>
        <color rgb="FF0000FF"/>
        <rFont val="Calibri"/>
        <family val="2"/>
        <scheme val="minor"/>
      </rPr>
      <t xml:space="preserve">I  </t>
    </r>
    <r>
      <rPr>
        <b/>
        <sz val="11"/>
        <color rgb="FF0000FF"/>
        <rFont val="Calibri"/>
        <family val="2"/>
        <scheme val="minor"/>
      </rPr>
      <t>(eV)</t>
    </r>
  </si>
  <si>
    <r>
      <rPr>
        <b/>
        <sz val="11"/>
        <color rgb="FF0000FF"/>
        <rFont val="Symbol"/>
        <family val="1"/>
        <charset val="2"/>
      </rPr>
      <t>D</t>
    </r>
    <r>
      <rPr>
        <b/>
        <i/>
        <sz val="11"/>
        <color rgb="FF0000FF"/>
        <rFont val="Calibri"/>
        <family val="2"/>
      </rPr>
      <t>I</t>
    </r>
    <r>
      <rPr>
        <b/>
        <sz val="11"/>
        <color rgb="FF0000FF"/>
        <rFont val="Calibri"/>
        <family val="2"/>
      </rPr>
      <t xml:space="preserve"> (eV)</t>
    </r>
  </si>
  <si>
    <t>NOT LISTED</t>
  </si>
  <si>
    <r>
      <rPr>
        <b/>
        <i/>
        <sz val="11"/>
        <color rgb="FF7030A0"/>
        <rFont val="Calibri"/>
        <family val="2"/>
        <scheme val="minor"/>
      </rPr>
      <t>E</t>
    </r>
    <r>
      <rPr>
        <b/>
        <sz val="11"/>
        <color rgb="FF7030A0"/>
        <rFont val="Calibri"/>
        <family val="2"/>
        <scheme val="minor"/>
      </rPr>
      <t>(4+)</t>
    </r>
    <r>
      <rPr>
        <b/>
        <i/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(au)</t>
    </r>
  </si>
  <si>
    <r>
      <rPr>
        <b/>
        <i/>
        <sz val="11"/>
        <color rgb="FF7030A0"/>
        <rFont val="Calibri"/>
        <family val="2"/>
        <scheme val="minor"/>
      </rPr>
      <t xml:space="preserve">I  </t>
    </r>
    <r>
      <rPr>
        <b/>
        <sz val="11"/>
        <color rgb="FF7030A0"/>
        <rFont val="Calibri"/>
        <family val="2"/>
        <scheme val="minor"/>
      </rPr>
      <t>(eV)</t>
    </r>
  </si>
  <si>
    <r>
      <rPr>
        <b/>
        <sz val="11"/>
        <color rgb="FF7030A0"/>
        <rFont val="Symbol"/>
        <family val="1"/>
        <charset val="2"/>
      </rPr>
      <t>D</t>
    </r>
    <r>
      <rPr>
        <b/>
        <i/>
        <sz val="11"/>
        <color rgb="FF7030A0"/>
        <rFont val="Calibri"/>
        <family val="2"/>
      </rPr>
      <t>I</t>
    </r>
    <r>
      <rPr>
        <b/>
        <sz val="11"/>
        <color rgb="FF7030A0"/>
        <rFont val="Calibri"/>
        <family val="2"/>
      </rPr>
      <t xml:space="preserve"> (eV)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</si>
  <si>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(5+)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(eV)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</si>
  <si>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(6+)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(eV)</t>
    </r>
  </si>
  <si>
    <t>Literature</t>
  </si>
  <si>
    <r>
      <rPr>
        <b/>
        <i/>
        <sz val="11"/>
        <color theme="1"/>
        <rFont val="Calibri"/>
        <family val="2"/>
        <scheme val="minor"/>
      </rPr>
      <t xml:space="preserve">I </t>
    </r>
    <r>
      <rPr>
        <b/>
        <sz val="11"/>
        <color theme="1"/>
        <rFont val="Calibri"/>
        <family val="2"/>
        <scheme val="minor"/>
      </rPr>
      <t>(eV)</t>
    </r>
  </si>
  <si>
    <r>
      <rPr>
        <b/>
        <i/>
        <sz val="11"/>
        <color rgb="FFCCCCFF"/>
        <rFont val="Calibri"/>
        <family val="2"/>
        <scheme val="minor"/>
      </rPr>
      <t>E</t>
    </r>
    <r>
      <rPr>
        <b/>
        <sz val="11"/>
        <color rgb="FFCCCCFF"/>
        <rFont val="Calibri"/>
        <family val="2"/>
        <scheme val="minor"/>
      </rPr>
      <t>(neutral)</t>
    </r>
    <r>
      <rPr>
        <b/>
        <i/>
        <sz val="11"/>
        <color rgb="FFCCCCFF"/>
        <rFont val="Calibri"/>
        <family val="2"/>
        <scheme val="minor"/>
      </rPr>
      <t xml:space="preserve"> </t>
    </r>
    <r>
      <rPr>
        <b/>
        <sz val="11"/>
        <color rgb="FFCCCCFF"/>
        <rFont val="Calibri"/>
        <family val="2"/>
        <scheme val="minor"/>
      </rPr>
      <t>(au)</t>
    </r>
  </si>
  <si>
    <r>
      <rPr>
        <b/>
        <i/>
        <sz val="11"/>
        <color rgb="FFCCCCFF"/>
        <rFont val="Calibri"/>
        <family val="2"/>
        <scheme val="minor"/>
      </rPr>
      <t>E</t>
    </r>
    <r>
      <rPr>
        <b/>
        <sz val="11"/>
        <color rgb="FFCCCCFF"/>
        <rFont val="Calibri"/>
        <family val="2"/>
        <scheme val="minor"/>
      </rPr>
      <t>(1+) (au)</t>
    </r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</si>
  <si>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(neutral)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</si>
  <si>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(1+) (au)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</si>
  <si>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(neutral)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(au)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</si>
  <si>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(1+) (au)</t>
    </r>
  </si>
  <si>
    <r>
      <rPr>
        <b/>
        <i/>
        <sz val="11"/>
        <color rgb="FFFF0000"/>
        <rFont val="Calibri"/>
        <family val="2"/>
        <scheme val="minor"/>
      </rPr>
      <t xml:space="preserve">I </t>
    </r>
    <r>
      <rPr>
        <b/>
        <sz val="11"/>
        <color rgb="FFFF0000"/>
        <rFont val="Calibri"/>
        <family val="2"/>
        <scheme val="minor"/>
      </rPr>
      <t>(eV)</t>
    </r>
  </si>
  <si>
    <r>
      <rPr>
        <b/>
        <i/>
        <sz val="11"/>
        <color rgb="FF7030A0"/>
        <rFont val="Calibri"/>
        <family val="2"/>
        <scheme val="minor"/>
      </rPr>
      <t>E</t>
    </r>
    <r>
      <rPr>
        <b/>
        <sz val="11"/>
        <color rgb="FF7030A0"/>
        <rFont val="Calibri"/>
        <family val="2"/>
        <scheme val="minor"/>
      </rPr>
      <t>(1+) (au)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</si>
  <si>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(1+) (eV)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</si>
  <si>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(2+) (eV)</t>
    </r>
  </si>
  <si>
    <r>
      <rPr>
        <b/>
        <i/>
        <sz val="11"/>
        <color rgb="FF7030A0"/>
        <rFont val="Calibri"/>
        <family val="2"/>
        <scheme val="minor"/>
      </rPr>
      <t>E</t>
    </r>
    <r>
      <rPr>
        <b/>
        <sz val="11"/>
        <color rgb="FF7030A0"/>
        <rFont val="Calibri"/>
        <family val="2"/>
        <scheme val="minor"/>
      </rPr>
      <t>(2+) (au)</t>
    </r>
  </si>
  <si>
    <r>
      <rPr>
        <b/>
        <i/>
        <sz val="11"/>
        <color rgb="FFCCCCFF"/>
        <rFont val="Calibri"/>
        <family val="2"/>
        <scheme val="minor"/>
      </rPr>
      <t>E</t>
    </r>
    <r>
      <rPr>
        <b/>
        <sz val="11"/>
        <color rgb="FFCCCCFF"/>
        <rFont val="Calibri"/>
        <family val="2"/>
        <scheme val="minor"/>
      </rPr>
      <t>(2+)</t>
    </r>
    <r>
      <rPr>
        <b/>
        <i/>
        <sz val="11"/>
        <color rgb="FFCCCCFF"/>
        <rFont val="Calibri"/>
        <family val="2"/>
        <scheme val="minor"/>
      </rPr>
      <t xml:space="preserve"> </t>
    </r>
    <r>
      <rPr>
        <b/>
        <sz val="11"/>
        <color rgb="FFCCCCFF"/>
        <rFont val="Calibri"/>
        <family val="2"/>
        <scheme val="minor"/>
      </rPr>
      <t>(au)</t>
    </r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</si>
  <si>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(2+)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</si>
  <si>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r>
      <rPr>
        <b/>
        <sz val="11"/>
        <color rgb="FFFF0000"/>
        <rFont val="Symbol"/>
        <family val="1"/>
        <charset val="2"/>
      </rPr>
      <t>|D</t>
    </r>
    <r>
      <rPr>
        <b/>
        <i/>
        <sz val="11"/>
        <color rgb="FFFF0000"/>
        <rFont val="Calibri"/>
        <family val="2"/>
      </rPr>
      <t>I</t>
    </r>
    <r>
      <rPr>
        <b/>
        <sz val="11"/>
        <color rgb="FFFF0000"/>
        <rFont val="Calibri"/>
        <family val="2"/>
      </rPr>
      <t>|(eV)</t>
    </r>
  </si>
  <si>
    <r>
      <t>max |</t>
    </r>
    <r>
      <rPr>
        <b/>
        <sz val="11"/>
        <color theme="1"/>
        <rFont val="Symbol"/>
        <family val="1"/>
        <charset val="2"/>
      </rPr>
      <t>D|</t>
    </r>
  </si>
  <si>
    <r>
      <t>mean |</t>
    </r>
    <r>
      <rPr>
        <b/>
        <sz val="11"/>
        <color theme="1"/>
        <rFont val="Symbol"/>
        <family val="1"/>
        <charset val="2"/>
      </rPr>
      <t>D|</t>
    </r>
  </si>
  <si>
    <r>
      <rPr>
        <b/>
        <sz val="11"/>
        <color rgb="FF0000FF"/>
        <rFont val="Symbol"/>
        <family val="1"/>
        <charset val="2"/>
      </rPr>
      <t>|D</t>
    </r>
    <r>
      <rPr>
        <b/>
        <i/>
        <sz val="11"/>
        <color rgb="FF0000FF"/>
        <rFont val="Calibri"/>
        <family val="2"/>
      </rPr>
      <t>I</t>
    </r>
    <r>
      <rPr>
        <b/>
        <sz val="11"/>
        <color rgb="FF0000FF"/>
        <rFont val="Calibri"/>
        <family val="2"/>
      </rPr>
      <t>|(eV)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</si>
  <si>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(2+)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(eV)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</si>
  <si>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(3+)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(eV)</t>
    </r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</si>
  <si>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(3+)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</si>
  <si>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r>
      <rPr>
        <b/>
        <i/>
        <sz val="11"/>
        <color rgb="FF7030A0"/>
        <rFont val="Calibri"/>
        <family val="2"/>
        <scheme val="minor"/>
      </rPr>
      <t>E</t>
    </r>
    <r>
      <rPr>
        <b/>
        <sz val="11"/>
        <color rgb="FF7030A0"/>
        <rFont val="Calibri"/>
        <family val="2"/>
        <scheme val="minor"/>
      </rPr>
      <t>(3+)</t>
    </r>
    <r>
      <rPr>
        <b/>
        <i/>
        <sz val="11"/>
        <color rgb="FF7030A0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(au)</t>
    </r>
  </si>
  <si>
    <r>
      <rPr>
        <b/>
        <i/>
        <sz val="11"/>
        <color rgb="FFCCCCFF"/>
        <rFont val="Calibri"/>
        <family val="2"/>
        <scheme val="minor"/>
      </rPr>
      <t>E</t>
    </r>
    <r>
      <rPr>
        <b/>
        <sz val="11"/>
        <color rgb="FFCCCCFF"/>
        <rFont val="Calibri"/>
        <family val="2"/>
        <scheme val="minor"/>
      </rPr>
      <t>(3+)</t>
    </r>
    <r>
      <rPr>
        <b/>
        <i/>
        <sz val="11"/>
        <color rgb="FFCCCCFF"/>
        <rFont val="Calibri"/>
        <family val="2"/>
        <scheme val="minor"/>
      </rPr>
      <t xml:space="preserve"> </t>
    </r>
    <r>
      <rPr>
        <b/>
        <sz val="11"/>
        <color rgb="FFCCCCFF"/>
        <rFont val="Calibri"/>
        <family val="2"/>
        <scheme val="minor"/>
      </rPr>
      <t>(au)</t>
    </r>
  </si>
  <si>
    <r>
      <rPr>
        <b/>
        <sz val="11"/>
        <color rgb="FF7030A0"/>
        <rFont val="Symbol"/>
        <family val="1"/>
        <charset val="2"/>
      </rPr>
      <t>|D</t>
    </r>
    <r>
      <rPr>
        <b/>
        <i/>
        <sz val="11"/>
        <color rgb="FF7030A0"/>
        <rFont val="Calibri"/>
        <family val="2"/>
      </rPr>
      <t>I</t>
    </r>
    <r>
      <rPr>
        <b/>
        <sz val="11"/>
        <color rgb="FF7030A0"/>
        <rFont val="Calibri"/>
        <family val="2"/>
      </rPr>
      <t>|(eV)</t>
    </r>
  </si>
  <si>
    <t>our work</t>
  </si>
  <si>
    <t>Rodrigues</t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</si>
  <si>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(4+)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</si>
  <si>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(4+)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(eV)</t>
    </r>
  </si>
  <si>
    <t>excluding atoms w/Rodrigues' values:</t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</si>
  <si>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(5+)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</si>
  <si>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(6+)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</si>
  <si>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t>excluding U :</t>
  </si>
  <si>
    <r>
      <rPr>
        <b/>
        <i/>
        <sz val="11"/>
        <color rgb="FFFF0000"/>
        <rFont val="Calibri"/>
        <family val="2"/>
        <scheme val="minor"/>
      </rPr>
      <t>E</t>
    </r>
    <r>
      <rPr>
        <b/>
        <sz val="11"/>
        <color rgb="FFFF0000"/>
        <rFont val="Calibri"/>
        <family val="2"/>
        <scheme val="minor"/>
      </rPr>
      <t>(7+)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(au)</t>
    </r>
  </si>
  <si>
    <r>
      <rPr>
        <b/>
        <i/>
        <sz val="11"/>
        <color rgb="FFCCECFF"/>
        <rFont val="Calibri"/>
        <family val="2"/>
        <scheme val="minor"/>
      </rPr>
      <t>E</t>
    </r>
    <r>
      <rPr>
        <b/>
        <sz val="11"/>
        <color rgb="FFCCECFF"/>
        <rFont val="Calibri"/>
        <family val="2"/>
        <scheme val="minor"/>
      </rPr>
      <t>(7+)</t>
    </r>
    <r>
      <rPr>
        <b/>
        <i/>
        <sz val="11"/>
        <color rgb="FFCCECFF"/>
        <rFont val="Calibri"/>
        <family val="2"/>
        <scheme val="minor"/>
      </rPr>
      <t xml:space="preserve"> </t>
    </r>
    <r>
      <rPr>
        <b/>
        <sz val="11"/>
        <color rgb="FFCCECFF"/>
        <rFont val="Calibri"/>
        <family val="2"/>
        <scheme val="minor"/>
      </rPr>
      <t>(eV)</t>
    </r>
  </si>
  <si>
    <r>
      <rPr>
        <b/>
        <i/>
        <sz val="11"/>
        <color rgb="FFFED6D2"/>
        <rFont val="Calibri"/>
        <family val="2"/>
        <scheme val="minor"/>
      </rPr>
      <t>E</t>
    </r>
    <r>
      <rPr>
        <b/>
        <sz val="11"/>
        <color rgb="FFFED6D2"/>
        <rFont val="Calibri"/>
        <family val="2"/>
        <scheme val="minor"/>
      </rPr>
      <t>(7+)</t>
    </r>
    <r>
      <rPr>
        <b/>
        <i/>
        <sz val="11"/>
        <color rgb="FFFED6D2"/>
        <rFont val="Calibri"/>
        <family val="2"/>
        <scheme val="minor"/>
      </rPr>
      <t xml:space="preserve"> </t>
    </r>
    <r>
      <rPr>
        <b/>
        <sz val="11"/>
        <color rgb="FFFED6D2"/>
        <rFont val="Calibri"/>
        <family val="2"/>
        <scheme val="minor"/>
      </rPr>
      <t>(au)</t>
    </r>
  </si>
  <si>
    <r>
      <rPr>
        <b/>
        <i/>
        <sz val="11"/>
        <color rgb="FFFF0000"/>
        <rFont val="Calibri"/>
        <family val="2"/>
        <scheme val="minor"/>
      </rPr>
      <t>E</t>
    </r>
    <r>
      <rPr>
        <b/>
        <sz val="11"/>
        <color rgb="FFFF0000"/>
        <rFont val="Calibri"/>
        <family val="2"/>
        <scheme val="minor"/>
      </rPr>
      <t>(8+)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(au)</t>
    </r>
  </si>
  <si>
    <t>excluding Np &amp; Pu  :</t>
  </si>
  <si>
    <t>excluding Np, Pu &amp; atoms w/Rodrigues' values:</t>
  </si>
  <si>
    <t>count</t>
  </si>
  <si>
    <t>excluding Pu &amp; atoms w/Rodrigues' values:</t>
  </si>
  <si>
    <t>Wang et al. (1996)</t>
  </si>
  <si>
    <r>
      <rPr>
        <b/>
        <i/>
        <sz val="11"/>
        <color rgb="FF99FFCC"/>
        <rFont val="Calibri"/>
        <family val="2"/>
        <scheme val="minor"/>
      </rPr>
      <t>E</t>
    </r>
    <r>
      <rPr>
        <b/>
        <sz val="11"/>
        <color rgb="FF99FFCC"/>
        <rFont val="Calibri"/>
        <family val="2"/>
        <scheme val="minor"/>
      </rPr>
      <t>(neutral)</t>
    </r>
    <r>
      <rPr>
        <b/>
        <i/>
        <sz val="11"/>
        <color rgb="FF99FFCC"/>
        <rFont val="Calibri"/>
        <family val="2"/>
        <scheme val="minor"/>
      </rPr>
      <t xml:space="preserve"> </t>
    </r>
    <r>
      <rPr>
        <b/>
        <sz val="11"/>
        <color rgb="FF99FFCC"/>
        <rFont val="Calibri"/>
        <family val="2"/>
        <scheme val="minor"/>
      </rPr>
      <t>(au)</t>
    </r>
  </si>
  <si>
    <r>
      <rPr>
        <b/>
        <i/>
        <sz val="11"/>
        <color rgb="FF99FFCC"/>
        <rFont val="Calibri"/>
        <family val="2"/>
        <scheme val="minor"/>
      </rPr>
      <t>E</t>
    </r>
    <r>
      <rPr>
        <b/>
        <sz val="11"/>
        <color rgb="FF99FFCC"/>
        <rFont val="Calibri"/>
        <family val="2"/>
        <scheme val="minor"/>
      </rPr>
      <t>(1+) (au)</t>
    </r>
  </si>
  <si>
    <r>
      <rPr>
        <b/>
        <i/>
        <sz val="11"/>
        <color rgb="FF006600"/>
        <rFont val="Calibri"/>
        <family val="2"/>
        <scheme val="minor"/>
      </rPr>
      <t xml:space="preserve">I  </t>
    </r>
    <r>
      <rPr>
        <b/>
        <sz val="11"/>
        <color rgb="FF006600"/>
        <rFont val="Calibri"/>
        <family val="2"/>
        <scheme val="minor"/>
      </rPr>
      <t>(eV)</t>
    </r>
  </si>
  <si>
    <r>
      <rPr>
        <b/>
        <sz val="11"/>
        <color rgb="FF006600"/>
        <rFont val="Symbol"/>
        <family val="1"/>
        <charset val="2"/>
      </rPr>
      <t>D</t>
    </r>
    <r>
      <rPr>
        <b/>
        <i/>
        <sz val="11"/>
        <color rgb="FF006600"/>
        <rFont val="Calibri"/>
        <family val="2"/>
      </rPr>
      <t>I</t>
    </r>
    <r>
      <rPr>
        <b/>
        <sz val="11"/>
        <color rgb="FF006600"/>
        <rFont val="Calibri"/>
        <family val="2"/>
      </rPr>
      <t xml:space="preserve"> (eV)</t>
    </r>
  </si>
  <si>
    <t>Table S08. Electronic energies</t>
  </si>
  <si>
    <t>N.</t>
  </si>
  <si>
    <r>
      <rPr>
        <b/>
        <i/>
        <sz val="11"/>
        <color rgb="FFFF0000"/>
        <rFont val="Calibri"/>
        <family val="2"/>
        <scheme val="minor"/>
      </rPr>
      <t xml:space="preserve">E </t>
    </r>
    <r>
      <rPr>
        <b/>
        <sz val="11"/>
        <color rgb="FFFF0000"/>
        <rFont val="Calibri"/>
        <family val="2"/>
        <scheme val="minor"/>
      </rPr>
      <t>(au)</t>
    </r>
  </si>
  <si>
    <r>
      <t xml:space="preserve"> E </t>
    </r>
    <r>
      <rPr>
        <b/>
        <sz val="11"/>
        <color rgb="FF7030A0"/>
        <rFont val="Calibri"/>
        <family val="2"/>
        <scheme val="minor"/>
      </rPr>
      <t>(au)</t>
    </r>
  </si>
  <si>
    <r>
      <rPr>
        <b/>
        <sz val="11"/>
        <color rgb="FF7030A0"/>
        <rFont val="Symbol"/>
        <family val="1"/>
        <charset val="2"/>
      </rPr>
      <t>D</t>
    </r>
    <r>
      <rPr>
        <b/>
        <i/>
        <sz val="11"/>
        <color rgb="FF7030A0"/>
        <rFont val="Calibri"/>
        <family val="2"/>
      </rPr>
      <t xml:space="preserve">E </t>
    </r>
    <r>
      <rPr>
        <b/>
        <sz val="11"/>
        <color rgb="FF7030A0"/>
        <rFont val="Calibri"/>
        <family val="2"/>
      </rPr>
      <t>(au)</t>
    </r>
  </si>
  <si>
    <r>
      <rPr>
        <b/>
        <sz val="11"/>
        <color rgb="FF7030A0"/>
        <rFont val="Symbol"/>
        <family val="1"/>
        <charset val="2"/>
      </rPr>
      <t>|D</t>
    </r>
    <r>
      <rPr>
        <b/>
        <i/>
        <sz val="11"/>
        <color rgb="FF7030A0"/>
        <rFont val="Calibri"/>
        <family val="2"/>
      </rPr>
      <t>E</t>
    </r>
    <r>
      <rPr>
        <b/>
        <sz val="11"/>
        <color rgb="FF7030A0"/>
        <rFont val="Calibri"/>
        <family val="2"/>
      </rPr>
      <t>| (au)</t>
    </r>
  </si>
  <si>
    <r>
      <t xml:space="preserve"> E </t>
    </r>
    <r>
      <rPr>
        <b/>
        <sz val="11"/>
        <color rgb="FF0000FF"/>
        <rFont val="Calibri"/>
        <family val="2"/>
        <scheme val="minor"/>
      </rPr>
      <t>(au)</t>
    </r>
  </si>
  <si>
    <r>
      <rPr>
        <b/>
        <sz val="11"/>
        <color rgb="FF0000FF"/>
        <rFont val="Symbol"/>
        <family val="1"/>
        <charset val="2"/>
      </rPr>
      <t>D</t>
    </r>
    <r>
      <rPr>
        <b/>
        <i/>
        <sz val="11"/>
        <color rgb="FF0000FF"/>
        <rFont val="Calibri"/>
        <family val="2"/>
      </rPr>
      <t xml:space="preserve">E </t>
    </r>
    <r>
      <rPr>
        <b/>
        <sz val="11"/>
        <color rgb="FF0000FF"/>
        <rFont val="Calibri"/>
        <family val="2"/>
      </rPr>
      <t>(au)</t>
    </r>
  </si>
  <si>
    <r>
      <rPr>
        <b/>
        <sz val="11"/>
        <color rgb="FF0000FF"/>
        <rFont val="Symbol"/>
        <family val="1"/>
        <charset val="2"/>
      </rPr>
      <t>|D</t>
    </r>
    <r>
      <rPr>
        <b/>
        <i/>
        <sz val="11"/>
        <color rgb="FF0000FF"/>
        <rFont val="Calibri"/>
        <family val="2"/>
      </rPr>
      <t>E</t>
    </r>
    <r>
      <rPr>
        <b/>
        <sz val="11"/>
        <color rgb="FF0000FF"/>
        <rFont val="Calibri"/>
        <family val="2"/>
      </rPr>
      <t>| (au)</t>
    </r>
  </si>
  <si>
    <r>
      <t xml:space="preserve"> E </t>
    </r>
    <r>
      <rPr>
        <b/>
        <sz val="11"/>
        <color rgb="FF006600"/>
        <rFont val="Calibri"/>
        <family val="2"/>
        <scheme val="minor"/>
      </rPr>
      <t>(au)</t>
    </r>
  </si>
  <si>
    <r>
      <rPr>
        <b/>
        <sz val="11"/>
        <color rgb="FF006600"/>
        <rFont val="Symbol"/>
        <family val="1"/>
        <charset val="2"/>
      </rPr>
      <t>D</t>
    </r>
    <r>
      <rPr>
        <b/>
        <i/>
        <sz val="11"/>
        <color rgb="FF006600"/>
        <rFont val="Calibri"/>
        <family val="2"/>
      </rPr>
      <t xml:space="preserve">E </t>
    </r>
    <r>
      <rPr>
        <b/>
        <sz val="11"/>
        <color rgb="FF006600"/>
        <rFont val="Calibri"/>
        <family val="2"/>
      </rPr>
      <t>(au)</t>
    </r>
  </si>
  <si>
    <r>
      <rPr>
        <b/>
        <sz val="11"/>
        <color rgb="FF006600"/>
        <rFont val="Symbol"/>
        <family val="1"/>
        <charset val="2"/>
      </rPr>
      <t>|D</t>
    </r>
    <r>
      <rPr>
        <b/>
        <i/>
        <sz val="11"/>
        <color rgb="FF006600"/>
        <rFont val="Calibri"/>
        <family val="2"/>
      </rPr>
      <t>E</t>
    </r>
    <r>
      <rPr>
        <b/>
        <sz val="11"/>
        <color rgb="FF006600"/>
        <rFont val="Calibri"/>
        <family val="2"/>
      </rPr>
      <t>| (au)</t>
    </r>
  </si>
  <si>
    <t># of common ions for  this work, Macchi &amp; Coppens (2001) and Rodrigues et al. (2004)    =</t>
  </si>
  <si>
    <t>Be(2+)</t>
  </si>
  <si>
    <r>
      <t>average  |</t>
    </r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Symbol"/>
        <family val="1"/>
        <charset val="2"/>
      </rPr>
      <t>E</t>
    </r>
    <r>
      <rPr>
        <b/>
        <sz val="11"/>
        <color theme="1"/>
        <rFont val="Symbol"/>
        <family val="1"/>
        <charset val="2"/>
      </rPr>
      <t>|</t>
    </r>
    <r>
      <rPr>
        <b/>
        <sz val="11"/>
        <color theme="1"/>
        <rFont val="Calibri"/>
        <family val="2"/>
        <scheme val="minor"/>
      </rPr>
      <t xml:space="preserve">  for common ions (au) :</t>
    </r>
  </si>
  <si>
    <t>standard deviation of the average (au) :</t>
  </si>
  <si>
    <r>
      <t>max  |</t>
    </r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Symbol"/>
        <family val="1"/>
        <charset val="2"/>
      </rPr>
      <t>E</t>
    </r>
    <r>
      <rPr>
        <b/>
        <sz val="11"/>
        <color theme="1"/>
        <rFont val="Symbol"/>
        <family val="1"/>
        <charset val="2"/>
      </rPr>
      <t>|</t>
    </r>
    <r>
      <rPr>
        <b/>
        <sz val="11"/>
        <color theme="1"/>
        <rFont val="Calibri"/>
        <family val="2"/>
        <scheme val="minor"/>
      </rPr>
      <t xml:space="preserve">  for common ions (au) :</t>
    </r>
  </si>
  <si>
    <t>Code used</t>
  </si>
  <si>
    <t>DBSR_HF</t>
  </si>
  <si>
    <t>GRASP92</t>
  </si>
  <si>
    <t>MCDFGME?</t>
  </si>
  <si>
    <t>C(val)</t>
  </si>
  <si>
    <t>Method</t>
  </si>
  <si>
    <t>Dirac-Hartree-Fock</t>
  </si>
  <si>
    <t>Level</t>
  </si>
  <si>
    <t>EAL</t>
  </si>
  <si>
    <t>OL</t>
  </si>
  <si>
    <t>Nuclear model</t>
  </si>
  <si>
    <t>Fermi</t>
  </si>
  <si>
    <r>
      <t xml:space="preserve">uniform charge for </t>
    </r>
    <r>
      <rPr>
        <i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Calibri"/>
        <family val="2"/>
      </rPr>
      <t xml:space="preserve"> 42, Fermi otherwise</t>
    </r>
  </si>
  <si>
    <t>Breit correction</t>
  </si>
  <si>
    <t>yes</t>
  </si>
  <si>
    <t>Vacuum polarization</t>
  </si>
  <si>
    <t>energy only</t>
  </si>
  <si>
    <t>yes (self-consistently?)</t>
  </si>
  <si>
    <t>Self-energy</t>
  </si>
  <si>
    <t>likely, no</t>
  </si>
  <si>
    <t>Uelhing contribution</t>
  </si>
  <si>
    <t>no</t>
  </si>
  <si>
    <t>Wichmann and Kroll</t>
  </si>
  <si>
    <t>yes (perturbatively)</t>
  </si>
  <si>
    <t>O(1-)</t>
  </si>
  <si>
    <t>Kallen and Sabry</t>
  </si>
  <si>
    <t>F(1-)</t>
  </si>
  <si>
    <t>Mg(2+)</t>
  </si>
  <si>
    <t>Al(3+)</t>
  </si>
  <si>
    <t>Si(val)</t>
  </si>
  <si>
    <t>Cl(1-)</t>
  </si>
  <si>
    <t>Ca(2+)</t>
  </si>
  <si>
    <t>Ti(2+)</t>
  </si>
  <si>
    <t>Zn(2+)</t>
  </si>
  <si>
    <t>As(2+)</t>
  </si>
  <si>
    <t>As(5+)</t>
  </si>
  <si>
    <t>Se(2+)</t>
  </si>
  <si>
    <t>Se(4+)</t>
  </si>
  <si>
    <t>Se(6+)</t>
  </si>
  <si>
    <t>Br(3+)</t>
  </si>
  <si>
    <t>Br(7+)</t>
  </si>
  <si>
    <t>Br(1-)</t>
  </si>
  <si>
    <t>Kr(2+)</t>
  </si>
  <si>
    <t>Sr(2+)</t>
  </si>
  <si>
    <t>Y(2+)</t>
  </si>
  <si>
    <t>Nb(2+)</t>
  </si>
  <si>
    <t>Pd(2+)</t>
  </si>
  <si>
    <t>Pd(4+)</t>
  </si>
  <si>
    <t>Cd(2+)</t>
  </si>
  <si>
    <t>Sn(2+)</t>
  </si>
  <si>
    <t>Sn(4+)</t>
  </si>
  <si>
    <t>Sb(3+)</t>
  </si>
  <si>
    <t>Sb(5+)</t>
  </si>
  <si>
    <t>Te(2+)</t>
  </si>
  <si>
    <t>Te(4+)</t>
  </si>
  <si>
    <t>I(3+)</t>
  </si>
  <si>
    <t>I(5+)</t>
  </si>
  <si>
    <t>I(7+)</t>
  </si>
  <si>
    <t>I(1-)</t>
  </si>
  <si>
    <t>Xe(2+)</t>
  </si>
  <si>
    <t>Xe(4+)</t>
  </si>
  <si>
    <t>Xe(6+)</t>
  </si>
  <si>
    <t>Xe(8+)</t>
  </si>
  <si>
    <t>Ba(2+)</t>
  </si>
  <si>
    <t>La(2+)</t>
  </si>
  <si>
    <t>Ce(2+)</t>
  </si>
  <si>
    <t>Pr(2+)</t>
  </si>
  <si>
    <t>Nd(2+)</t>
  </si>
  <si>
    <t>Pm(3+)</t>
  </si>
  <si>
    <t>Sm(2+)</t>
  </si>
  <si>
    <t>Eu(2+)</t>
  </si>
  <si>
    <t>Tb(3+)</t>
  </si>
  <si>
    <t>Dy(2+)</t>
  </si>
  <si>
    <t>Ho(3+)</t>
  </si>
  <si>
    <t>Er(3+)</t>
  </si>
  <si>
    <t>Tm(2+)</t>
  </si>
  <si>
    <t>Yb(2+)</t>
  </si>
  <si>
    <t>Lu(3+)</t>
  </si>
  <si>
    <t>Hf(2+)</t>
  </si>
  <si>
    <t>Ta(2+)</t>
  </si>
  <si>
    <t>Pt(2+)</t>
  </si>
  <si>
    <t>Pt(4+)</t>
  </si>
  <si>
    <t>Au(5+)</t>
  </si>
  <si>
    <t>Tl(3+)</t>
  </si>
  <si>
    <t>Pb(2+)</t>
  </si>
  <si>
    <t>Pb(4+)</t>
  </si>
  <si>
    <t>Bi(3+)</t>
  </si>
  <si>
    <t>Bi(5+)</t>
  </si>
  <si>
    <t>Po(2+)</t>
  </si>
  <si>
    <t>Po(4+)</t>
  </si>
  <si>
    <t>Po(6+)</t>
  </si>
  <si>
    <t>At(3+)</t>
  </si>
  <si>
    <t>At(5+)</t>
  </si>
  <si>
    <t>At(7+)</t>
  </si>
  <si>
    <t>At(1-)</t>
  </si>
  <si>
    <t>Ra(2+)</t>
  </si>
  <si>
    <t>Ac(3+)</t>
  </si>
  <si>
    <t>Th(2+)</t>
  </si>
  <si>
    <t>Pa(3+)</t>
  </si>
  <si>
    <t>U(3+)</t>
  </si>
  <si>
    <t>Np(3+)</t>
  </si>
  <si>
    <t>Pu(3+)</t>
  </si>
  <si>
    <t>Am(2+)</t>
  </si>
  <si>
    <t>Cm(3+)</t>
  </si>
  <si>
    <t>Bk(3+)</t>
  </si>
  <si>
    <t>Cf(2+)</t>
  </si>
  <si>
    <t>Es(2+)</t>
  </si>
  <si>
    <t>Fm(2+)</t>
  </si>
  <si>
    <t>Md(2+)</t>
  </si>
  <si>
    <t>No(2+)</t>
  </si>
  <si>
    <t>Lr(3+)</t>
  </si>
  <si>
    <t>Rf(4+)</t>
  </si>
  <si>
    <t>Db(5+)</t>
  </si>
  <si>
    <t>Sg(6+)</t>
  </si>
  <si>
    <t>Bh(7+)</t>
  </si>
  <si>
    <t>Hs(8+)</t>
  </si>
  <si>
    <t>Cn(2+)</t>
  </si>
  <si>
    <t>Table S17. Numbering of species in Figures 6 and 7a</t>
  </si>
  <si>
    <t xml:space="preserve">  N.</t>
  </si>
  <si>
    <t>Atom</t>
  </si>
  <si>
    <t>Table S9. 1st ionization energies</t>
  </si>
  <si>
    <t>Table S9. 2nd ionization energies</t>
  </si>
  <si>
    <t>Table S9. 3rd ionization energies</t>
  </si>
  <si>
    <t>Table S9. 4th ionization energies</t>
  </si>
  <si>
    <t>Table S9. 5th ionization energies</t>
  </si>
  <si>
    <t>Table S9. 6th ionization energies</t>
  </si>
  <si>
    <t>Table S9. 7th ionization energies</t>
  </si>
  <si>
    <t>Table S9. 8th ionization energies</t>
  </si>
  <si>
    <t>Table S18 .Common ions for this work, Macchi &amp; Coppens (2001), and Rodrigues et al. (2004)</t>
  </si>
  <si>
    <t>Table S10. Energies of the CORE orbitals (subshells) (in atomic units)</t>
  </si>
  <si>
    <t>DATE = 2022-08-11     TIME = 19:01:30</t>
  </si>
  <si>
    <t>Orbitals</t>
  </si>
  <si>
    <t>1s</t>
  </si>
  <si>
    <t>2s</t>
  </si>
  <si>
    <t>2p1/2</t>
  </si>
  <si>
    <t>2p3/2</t>
  </si>
  <si>
    <t>3s</t>
  </si>
  <si>
    <t>3p1/2</t>
  </si>
  <si>
    <t>3p3/2</t>
  </si>
  <si>
    <t>3d3/2</t>
  </si>
  <si>
    <t>3d5/2</t>
  </si>
  <si>
    <t>4s</t>
  </si>
  <si>
    <t>4p1/2</t>
  </si>
  <si>
    <t>4p3/2</t>
  </si>
  <si>
    <t>4d3/2</t>
  </si>
  <si>
    <t>4d5/2</t>
  </si>
  <si>
    <t>5s</t>
  </si>
  <si>
    <t>5p1/2</t>
  </si>
  <si>
    <t>5p3/2</t>
  </si>
  <si>
    <t>4f5/2</t>
  </si>
  <si>
    <t>4f7/2</t>
  </si>
  <si>
    <t>5d3/2</t>
  </si>
  <si>
    <t>5d5/2</t>
  </si>
  <si>
    <t>6s</t>
  </si>
  <si>
    <t>6p1/2</t>
  </si>
  <si>
    <t>6p3/2</t>
  </si>
  <si>
    <t>5f5/2</t>
  </si>
  <si>
    <t>5f7/2</t>
  </si>
  <si>
    <t>6d3/2</t>
  </si>
  <si>
    <t>6d5/2</t>
  </si>
  <si>
    <t>Table S11. Energies of the VALENCE orbitals (subshells) (in atomic units)</t>
  </si>
  <si>
    <t>Si(val</t>
  </si>
  <si>
    <t>)          1s</t>
  </si>
  <si>
    <t>Table S12.  Mean radii &lt;r&gt; (bohr) of the CORE orbitals (subshells)</t>
  </si>
  <si>
    <t>)          3s</t>
  </si>
  <si>
    <t>Table S13.  Mean radii &lt;r&gt; (bohr) of the VALENCE orbitals (subshells)</t>
  </si>
  <si>
    <t>)     1s</t>
  </si>
  <si>
    <t>Table S14. Radii of maximum change density (bohr) for the CORE orbitals (subshells)</t>
  </si>
  <si>
    <t>)     3s</t>
  </si>
  <si>
    <t>Table S15. Radii of maximum change density (bohr) for the VALENCE orbitals (subshells)</t>
  </si>
  <si>
    <t>Mean radius</t>
  </si>
  <si>
    <t>Mean spherical radius</t>
  </si>
  <si>
    <t>Table S16. Atomic mean radii and atomic mean spherical radii (all in atomic units)</t>
  </si>
  <si>
    <t>a1</t>
  </si>
  <si>
    <t>b1</t>
  </si>
  <si>
    <t>a2</t>
  </si>
  <si>
    <t>b2</t>
  </si>
  <si>
    <t>a3</t>
  </si>
  <si>
    <t>b3</t>
  </si>
  <si>
    <t>a4</t>
  </si>
  <si>
    <t>b4</t>
  </si>
  <si>
    <t>c</t>
  </si>
  <si>
    <t>STL</t>
  </si>
  <si>
    <t>.</t>
  </si>
  <si>
    <t>DHF</t>
  </si>
  <si>
    <t>Table S4. Coefficients for analytical approximation to the scattering factors in the 0 &lt;= sin(theta)/lambda (STL) &lt;= 2 reciprocal angstroms range using expansion (1) with m=4.</t>
  </si>
  <si>
    <t>DATE = 2022-07-29     TIME = 20:53:12</t>
  </si>
  <si>
    <t>Max.Error.</t>
  </si>
  <si>
    <t>Mean.Error</t>
  </si>
  <si>
    <t>a5</t>
  </si>
  <si>
    <t>b5</t>
  </si>
  <si>
    <t>Table S5. Coefficients for analytical approximation to the scattering factors in the 0 &lt;= sin(theta)/lambda (STL) &lt;= 2 reciprocal angstroms range using expansion (1) with m=5.</t>
  </si>
  <si>
    <t>DATE = 2022-07-29     TIME = 20:35:31</t>
  </si>
  <si>
    <t>a0</t>
  </si>
  <si>
    <t>a2*10</t>
  </si>
  <si>
    <t>a3*100</t>
  </si>
  <si>
    <t>C</t>
  </si>
  <si>
    <t>Species</t>
  </si>
  <si>
    <t>Table S6. Coefficients for analytical approximation to the scattering factors  in the 2 &lt;= sin(theta)/lambda (STL) &lt;= 6 reciprocal angstroms range using expansion (2) with n=3.</t>
  </si>
  <si>
    <t>DATE = 2023-03-11     TIME = 14:38:47</t>
  </si>
  <si>
    <t>DATE = 2023-03-11     TIME = 14:52:22</t>
  </si>
  <si>
    <t>Table S7. Coefficients for analytical approximation to the scattering factors in the 2 &lt;= sin(theta)/lambda (STL) &lt;= 6 reciprocal angstroms range using expansion (2) with n=4.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</si>
</sst>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00"/>
    <numFmt numFmtId="165" formatCode="0.00000000"/>
    <numFmt numFmtId="166" formatCode="0.000"/>
    <numFmt numFmtId="167" formatCode="0.0000"/>
    <numFmt numFmtId="168" formatCode="0.0"/>
    <numFmt numFmtId="169" formatCode="0.00000"/>
    <numFmt numFmtId="170" formatCode="0.0000000E+00"/>
    <numFmt numFmtId="171" formatCode="0.00000000E+00"/>
    <numFmt numFmtId="172" formatCode="0.000000000"/>
    <numFmt numFmtId="173" formatCode="0.000000E+00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A50021"/>
      <name val="Calibri"/>
      <family val="2"/>
      <scheme val="minor"/>
    </font>
    <font>
      <sz val="11"/>
      <color rgb="FFFF0000"/>
      <name val="Calibri"/>
      <family val="1"/>
      <charset val="2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1"/>
      <charset val="2"/>
    </font>
    <font>
      <b/>
      <sz val="11"/>
      <color rgb="FFFF0000"/>
      <name val="Symbol"/>
      <family val="1"/>
      <charset val="2"/>
    </font>
    <font>
      <b/>
      <i/>
      <sz val="11"/>
      <color rgb="FFFF0000"/>
      <name val="Calibri"/>
      <family val="2"/>
    </font>
    <font>
      <b/>
      <i/>
      <sz val="11"/>
      <color rgb="FF0000FF"/>
      <name val="Calibri"/>
      <family val="2"/>
      <scheme val="minor"/>
    </font>
    <font>
      <b/>
      <sz val="11"/>
      <color rgb="FF0000FF"/>
      <name val="Calibri"/>
      <family val="1"/>
      <charset val="2"/>
    </font>
    <font>
      <b/>
      <sz val="11"/>
      <color rgb="FF0000FF"/>
      <name val="Symbol"/>
      <family val="1"/>
      <charset val="2"/>
    </font>
    <font>
      <b/>
      <i/>
      <sz val="11"/>
      <color rgb="FF0000FF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theme="1"/>
      <name val="Symbol"/>
      <family val="1"/>
      <charset val="2"/>
    </font>
    <font>
      <b/>
      <i/>
      <sz val="11"/>
      <color theme="1"/>
      <name val="Calibri"/>
      <family val="2"/>
      <scheme val="minor"/>
    </font>
    <font>
      <sz val="11"/>
      <color rgb="FFFFD0B9"/>
      <name val="Calibri"/>
      <family val="2"/>
      <scheme val="minor"/>
    </font>
    <font>
      <sz val="11"/>
      <color rgb="FFFED6D2"/>
      <name val="Calibri"/>
      <family val="2"/>
      <scheme val="minor"/>
    </font>
    <font>
      <sz val="11"/>
      <color rgb="FF0000FF"/>
      <name val="Calibri"/>
      <family val="2"/>
    </font>
    <font>
      <b/>
      <sz val="11"/>
      <color rgb="FFFED6D2"/>
      <name val="Calibri"/>
      <family val="2"/>
      <scheme val="minor"/>
    </font>
    <font>
      <b/>
      <i/>
      <sz val="11"/>
      <color rgb="FFFED6D2"/>
      <name val="Calibri"/>
      <family val="2"/>
      <scheme val="minor"/>
    </font>
    <font>
      <b/>
      <sz val="11"/>
      <color rgb="FFCCECFF"/>
      <name val="Calibri"/>
      <family val="2"/>
      <scheme val="minor"/>
    </font>
    <font>
      <b/>
      <i/>
      <sz val="11"/>
      <color rgb="FFCCECFF"/>
      <name val="Calibri"/>
      <family val="2"/>
      <scheme val="minor"/>
    </font>
    <font>
      <sz val="11"/>
      <color rgb="FFCCEC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1"/>
      <charset val="2"/>
    </font>
    <font>
      <b/>
      <i/>
      <sz val="11"/>
      <color rgb="FF7030A0"/>
      <name val="Calibri"/>
      <family val="2"/>
      <scheme val="minor"/>
    </font>
    <font>
      <b/>
      <sz val="11"/>
      <color rgb="FF7030A0"/>
      <name val="Calibri"/>
      <family val="1"/>
      <charset val="2"/>
    </font>
    <font>
      <b/>
      <sz val="11"/>
      <color rgb="FF7030A0"/>
      <name val="Symbol"/>
      <family val="1"/>
      <charset val="2"/>
    </font>
    <font>
      <b/>
      <i/>
      <sz val="11"/>
      <color rgb="FF7030A0"/>
      <name val="Calibri"/>
      <family val="2"/>
    </font>
    <font>
      <b/>
      <sz val="11"/>
      <color rgb="FF7030A0"/>
      <name val="Calibri"/>
      <family val="2"/>
    </font>
    <font>
      <sz val="11"/>
      <color rgb="FF7030A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b/>
      <i/>
      <sz val="11"/>
      <color rgb="FFCCCCFF"/>
      <name val="Calibri"/>
      <family val="2"/>
      <scheme val="minor"/>
    </font>
    <font>
      <sz val="11"/>
      <color rgb="FFCCCC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1"/>
      <charset val="2"/>
    </font>
    <font>
      <b/>
      <sz val="11"/>
      <color rgb="FF99FFCC"/>
      <name val="Calibri"/>
      <family val="2"/>
      <scheme val="minor"/>
    </font>
    <font>
      <b/>
      <i/>
      <sz val="11"/>
      <color rgb="FF99FFCC"/>
      <name val="Calibri"/>
      <family val="2"/>
      <scheme val="minor"/>
    </font>
    <font>
      <b/>
      <i/>
      <sz val="11"/>
      <color rgb="FF006600"/>
      <name val="Calibri"/>
      <family val="2"/>
      <scheme val="minor"/>
    </font>
    <font>
      <b/>
      <sz val="11"/>
      <color rgb="FF006600"/>
      <name val="Calibri"/>
      <family val="1"/>
      <charset val="2"/>
    </font>
    <font>
      <b/>
      <sz val="11"/>
      <color rgb="FF006600"/>
      <name val="Symbol"/>
      <family val="1"/>
      <charset val="2"/>
    </font>
    <font>
      <b/>
      <i/>
      <sz val="11"/>
      <color rgb="FF006600"/>
      <name val="Calibri"/>
      <family val="2"/>
    </font>
    <font>
      <b/>
      <sz val="11"/>
      <color rgb="FF006600"/>
      <name val="Calibri"/>
      <family val="2"/>
    </font>
    <font>
      <sz val="11"/>
      <color rgb="FF99FFCC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00FF"/>
      <name val="Calibri"/>
      <family val="1"/>
      <charset val="2"/>
    </font>
    <font>
      <b/>
      <i/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0B9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6">
    <xf numFmtId="0" fontId="0" fillId="0" borderId="0" xfId="0"/>
    <xf numFmtId="0" fontId="0" fillId="0" borderId="0" xfId="0" applyAlignment="1">
      <alignment horizontal="center"/>
    </xf>
    <xf numFmtId="166" fontId="19" fillId="0" borderId="0" xfId="0" applyNumberFormat="1" applyFont="1"/>
    <xf numFmtId="165" fontId="14" fillId="0" borderId="0" xfId="0" applyNumberFormat="1" applyFont="1" applyAlignment="1">
      <alignment horizontal="right" vertical="center"/>
    </xf>
    <xf numFmtId="2" fontId="0" fillId="0" borderId="0" xfId="0" applyNumberFormat="1"/>
    <xf numFmtId="0" fontId="16" fillId="0" borderId="0" xfId="0" applyFont="1"/>
    <xf numFmtId="1" fontId="0" fillId="0" borderId="0" xfId="0" applyNumberFormat="1"/>
    <xf numFmtId="0" fontId="16" fillId="0" borderId="0" xfId="0" applyFont="1" applyAlignment="1">
      <alignment horizontal="left"/>
    </xf>
    <xf numFmtId="2" fontId="0" fillId="0" borderId="0" xfId="0" applyNumberFormat="1" applyAlignment="1">
      <alignment horizontal="right" vertical="center"/>
    </xf>
    <xf numFmtId="0" fontId="21" fillId="0" borderId="0" xfId="0" applyFont="1"/>
    <xf numFmtId="0" fontId="16" fillId="0" borderId="11" xfId="0" applyFont="1" applyBorder="1" applyAlignment="1">
      <alignment horizontal="center"/>
    </xf>
    <xf numFmtId="165" fontId="22" fillId="0" borderId="0" xfId="0" applyNumberFormat="1" applyFont="1" applyAlignment="1">
      <alignment horizontal="right" vertical="center"/>
    </xf>
    <xf numFmtId="0" fontId="34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166" fontId="0" fillId="0" borderId="11" xfId="0" applyNumberFormat="1" applyBorder="1" applyAlignment="1">
      <alignment horizontal="right"/>
    </xf>
    <xf numFmtId="166" fontId="21" fillId="0" borderId="0" xfId="0" applyNumberFormat="1" applyFont="1"/>
    <xf numFmtId="164" fontId="14" fillId="0" borderId="0" xfId="0" applyNumberFormat="1" applyFont="1" applyAlignment="1">
      <alignment horizontal="right" vertical="center"/>
    </xf>
    <xf numFmtId="0" fontId="20" fillId="0" borderId="12" xfId="0" applyFont="1" applyBorder="1" applyAlignment="1">
      <alignment horizontal="right" vertical="center"/>
    </xf>
    <xf numFmtId="0" fontId="24" fillId="0" borderId="16" xfId="0" applyFont="1" applyBorder="1" applyAlignment="1">
      <alignment horizontal="right" vertical="center"/>
    </xf>
    <xf numFmtId="166" fontId="14" fillId="0" borderId="0" xfId="0" applyNumberFormat="1" applyFont="1"/>
    <xf numFmtId="165" fontId="36" fillId="0" borderId="0" xfId="0" applyNumberFormat="1" applyFont="1" applyAlignment="1">
      <alignment horizontal="right" vertical="center"/>
    </xf>
    <xf numFmtId="0" fontId="19" fillId="0" borderId="0" xfId="0" applyFont="1"/>
    <xf numFmtId="0" fontId="28" fillId="0" borderId="16" xfId="0" applyFont="1" applyBorder="1" applyAlignment="1">
      <alignment horizontal="right" vertical="center"/>
    </xf>
    <xf numFmtId="2" fontId="18" fillId="0" borderId="12" xfId="0" applyNumberFormat="1" applyFont="1" applyBorder="1" applyAlignment="1">
      <alignment horizontal="right" vertical="center"/>
    </xf>
    <xf numFmtId="168" fontId="18" fillId="0" borderId="10" xfId="0" applyNumberFormat="1" applyFont="1" applyBorder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168" fontId="19" fillId="0" borderId="0" xfId="0" applyNumberFormat="1" applyFont="1" applyAlignment="1">
      <alignment horizontal="right" vertical="center"/>
    </xf>
    <xf numFmtId="2" fontId="19" fillId="0" borderId="0" xfId="0" applyNumberFormat="1" applyFont="1"/>
    <xf numFmtId="168" fontId="19" fillId="0" borderId="0" xfId="0" applyNumberFormat="1" applyFont="1"/>
    <xf numFmtId="0" fontId="38" fillId="0" borderId="12" xfId="0" applyFont="1" applyBorder="1" applyAlignment="1">
      <alignment horizontal="right" vertical="center"/>
    </xf>
    <xf numFmtId="1" fontId="42" fillId="0" borderId="10" xfId="0" applyNumberFormat="1" applyFont="1" applyBorder="1" applyAlignment="1">
      <alignment horizontal="right" vertical="center"/>
    </xf>
    <xf numFmtId="1" fontId="42" fillId="0" borderId="0" xfId="0" applyNumberFormat="1" applyFont="1" applyAlignment="1">
      <alignment horizontal="right" vertical="center"/>
    </xf>
    <xf numFmtId="1" fontId="42" fillId="0" borderId="0" xfId="0" applyNumberFormat="1" applyFont="1" applyAlignment="1">
      <alignment horizontal="right"/>
    </xf>
    <xf numFmtId="166" fontId="0" fillId="35" borderId="11" xfId="0" applyNumberFormat="1" applyFill="1" applyBorder="1" applyAlignment="1">
      <alignment horizontal="right"/>
    </xf>
    <xf numFmtId="0" fontId="40" fillId="0" borderId="12" xfId="0" applyFont="1" applyBorder="1" applyAlignment="1">
      <alignment horizontal="right" vertical="center"/>
    </xf>
    <xf numFmtId="0" fontId="24" fillId="0" borderId="12" xfId="0" applyFont="1" applyBorder="1" applyAlignment="1">
      <alignment horizontal="right" vertical="center"/>
    </xf>
    <xf numFmtId="0" fontId="40" fillId="0" borderId="14" xfId="0" applyFont="1" applyBorder="1" applyAlignment="1">
      <alignment horizontal="right" vertical="center"/>
    </xf>
    <xf numFmtId="164" fontId="14" fillId="0" borderId="10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11" xfId="0" applyNumberFormat="1" applyBorder="1" applyAlignment="1">
      <alignment horizontal="right"/>
    </xf>
    <xf numFmtId="168" fontId="0" fillId="0" borderId="11" xfId="0" applyNumberFormat="1" applyBorder="1" applyAlignment="1">
      <alignment horizontal="right"/>
    </xf>
    <xf numFmtId="168" fontId="0" fillId="35" borderId="11" xfId="0" applyNumberFormat="1" applyFill="1" applyBorder="1" applyAlignment="1">
      <alignment horizontal="right"/>
    </xf>
    <xf numFmtId="0" fontId="42" fillId="0" borderId="10" xfId="0" applyFont="1" applyBorder="1"/>
    <xf numFmtId="0" fontId="42" fillId="0" borderId="0" xfId="0" applyFont="1"/>
    <xf numFmtId="166" fontId="14" fillId="0" borderId="15" xfId="0" applyNumberFormat="1" applyFont="1" applyBorder="1"/>
    <xf numFmtId="0" fontId="35" fillId="0" borderId="0" xfId="0" applyFont="1"/>
    <xf numFmtId="165" fontId="46" fillId="0" borderId="0" xfId="0" applyNumberFormat="1" applyFont="1" applyAlignment="1">
      <alignment horizontal="right" vertical="center"/>
    </xf>
    <xf numFmtId="0" fontId="45" fillId="0" borderId="12" xfId="0" applyFont="1" applyBorder="1" applyAlignment="1">
      <alignment horizontal="right" vertical="center"/>
    </xf>
    <xf numFmtId="0" fontId="48" fillId="0" borderId="12" xfId="0" applyFont="1" applyBorder="1" applyAlignment="1">
      <alignment horizontal="right" vertical="center"/>
    </xf>
    <xf numFmtId="164" fontId="52" fillId="0" borderId="0" xfId="0" applyNumberFormat="1" applyFont="1" applyAlignment="1">
      <alignment horizontal="right" vertical="center" wrapText="1"/>
    </xf>
    <xf numFmtId="164" fontId="52" fillId="0" borderId="0" xfId="0" applyNumberFormat="1" applyFont="1" applyAlignment="1">
      <alignment horizontal="right" vertical="center"/>
    </xf>
    <xf numFmtId="165" fontId="52" fillId="0" borderId="0" xfId="0" applyNumberFormat="1" applyFont="1" applyAlignment="1">
      <alignment horizontal="right" vertical="center"/>
    </xf>
    <xf numFmtId="166" fontId="52" fillId="0" borderId="0" xfId="0" applyNumberFormat="1" applyFont="1"/>
    <xf numFmtId="164" fontId="36" fillId="0" borderId="0" xfId="0" applyNumberFormat="1" applyFont="1" applyAlignment="1">
      <alignment horizontal="right" vertical="center"/>
    </xf>
    <xf numFmtId="168" fontId="14" fillId="0" borderId="11" xfId="0" applyNumberFormat="1" applyFont="1" applyBorder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8" fontId="14" fillId="0" borderId="0" xfId="0" applyNumberFormat="1" applyFont="1" applyAlignment="1">
      <alignment horizontal="right"/>
    </xf>
    <xf numFmtId="0" fontId="42" fillId="0" borderId="17" xfId="0" applyFont="1" applyBorder="1"/>
    <xf numFmtId="0" fontId="42" fillId="0" borderId="18" xfId="0" applyFont="1" applyBorder="1"/>
    <xf numFmtId="0" fontId="28" fillId="0" borderId="12" xfId="0" applyFont="1" applyBorder="1" applyAlignment="1">
      <alignment horizontal="right" vertical="center"/>
    </xf>
    <xf numFmtId="164" fontId="36" fillId="0" borderId="10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 wrapText="1"/>
    </xf>
    <xf numFmtId="0" fontId="14" fillId="0" borderId="0" xfId="0" applyFont="1"/>
    <xf numFmtId="0" fontId="20" fillId="0" borderId="0" xfId="0" applyFont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64" fontId="36" fillId="0" borderId="0" xfId="0" applyNumberFormat="1" applyFont="1"/>
    <xf numFmtId="0" fontId="48" fillId="0" borderId="16" xfId="0" applyFont="1" applyBorder="1" applyAlignment="1">
      <alignment horizontal="right" vertical="center"/>
    </xf>
    <xf numFmtId="164" fontId="52" fillId="0" borderId="10" xfId="0" applyNumberFormat="1" applyFont="1" applyBorder="1" applyAlignment="1">
      <alignment horizontal="right" vertical="center" wrapText="1"/>
    </xf>
    <xf numFmtId="0" fontId="53" fillId="0" borderId="12" xfId="0" applyFont="1" applyBorder="1" applyAlignment="1">
      <alignment horizontal="right" vertical="center"/>
    </xf>
    <xf numFmtId="164" fontId="55" fillId="33" borderId="10" xfId="0" applyNumberFormat="1" applyFont="1" applyFill="1" applyBorder="1" applyAlignment="1">
      <alignment horizontal="right" vertical="center" wrapText="1"/>
    </xf>
    <xf numFmtId="164" fontId="55" fillId="0" borderId="0" xfId="0" applyNumberFormat="1" applyFont="1" applyAlignment="1">
      <alignment horizontal="right" vertical="center" wrapText="1"/>
    </xf>
    <xf numFmtId="164" fontId="55" fillId="0" borderId="10" xfId="0" applyNumberFormat="1" applyFont="1" applyBorder="1" applyAlignment="1">
      <alignment horizontal="right" vertical="center" wrapText="1"/>
    </xf>
    <xf numFmtId="164" fontId="55" fillId="0" borderId="0" xfId="0" applyNumberFormat="1" applyFont="1" applyAlignment="1">
      <alignment horizontal="right" vertical="center"/>
    </xf>
    <xf numFmtId="0" fontId="36" fillId="0" borderId="0" xfId="0" applyFont="1"/>
    <xf numFmtId="164" fontId="45" fillId="0" borderId="10" xfId="0" applyNumberFormat="1" applyFont="1" applyBorder="1" applyAlignment="1">
      <alignment horizontal="left" vertical="center"/>
    </xf>
    <xf numFmtId="0" fontId="45" fillId="0" borderId="14" xfId="0" applyFont="1" applyBorder="1" applyAlignment="1">
      <alignment horizontal="right" vertical="center"/>
    </xf>
    <xf numFmtId="164" fontId="52" fillId="0" borderId="10" xfId="0" applyNumberFormat="1" applyFont="1" applyBorder="1" applyAlignment="1">
      <alignment horizontal="right" vertical="center"/>
    </xf>
    <xf numFmtId="166" fontId="52" fillId="33" borderId="0" xfId="0" applyNumberFormat="1" applyFont="1" applyFill="1"/>
    <xf numFmtId="0" fontId="42" fillId="36" borderId="0" xfId="0" applyFont="1" applyFill="1"/>
    <xf numFmtId="0" fontId="16" fillId="0" borderId="0" xfId="0" applyFont="1" applyAlignment="1">
      <alignment horizontal="right" vertical="center"/>
    </xf>
    <xf numFmtId="166" fontId="0" fillId="0" borderId="0" xfId="0" applyNumberFormat="1"/>
    <xf numFmtId="166" fontId="19" fillId="0" borderId="19" xfId="0" applyNumberFormat="1" applyFont="1" applyBorder="1"/>
    <xf numFmtId="166" fontId="14" fillId="0" borderId="19" xfId="0" applyNumberFormat="1" applyFont="1" applyBorder="1"/>
    <xf numFmtId="166" fontId="14" fillId="0" borderId="20" xfId="0" applyNumberFormat="1" applyFont="1" applyBorder="1"/>
    <xf numFmtId="168" fontId="18" fillId="0" borderId="0" xfId="0" applyNumberFormat="1" applyFont="1" applyAlignment="1">
      <alignment horizontal="left" vertical="center"/>
    </xf>
    <xf numFmtId="0" fontId="53" fillId="0" borderId="14" xfId="0" applyFont="1" applyBorder="1" applyAlignment="1">
      <alignment horizontal="right" vertical="center"/>
    </xf>
    <xf numFmtId="167" fontId="0" fillId="0" borderId="11" xfId="0" applyNumberFormat="1" applyBorder="1" applyAlignment="1">
      <alignment horizontal="right"/>
    </xf>
    <xf numFmtId="167" fontId="0" fillId="0" borderId="21" xfId="0" applyNumberFormat="1" applyBorder="1"/>
    <xf numFmtId="167" fontId="0" fillId="0" borderId="11" xfId="0" applyNumberFormat="1" applyBorder="1"/>
    <xf numFmtId="167" fontId="0" fillId="0" borderId="0" xfId="0" applyNumberFormat="1"/>
    <xf numFmtId="0" fontId="14" fillId="0" borderId="15" xfId="0" applyFont="1" applyBorder="1"/>
    <xf numFmtId="164" fontId="55" fillId="0" borderId="10" xfId="0" applyNumberFormat="1" applyFont="1" applyBorder="1" applyAlignment="1">
      <alignment horizontal="right" vertical="center"/>
    </xf>
    <xf numFmtId="0" fontId="0" fillId="35" borderId="0" xfId="0" applyFill="1" applyAlignment="1">
      <alignment horizontal="center"/>
    </xf>
    <xf numFmtId="0" fontId="0" fillId="35" borderId="0" xfId="0" applyFill="1"/>
    <xf numFmtId="0" fontId="36" fillId="35" borderId="0" xfId="0" applyFont="1" applyFill="1"/>
    <xf numFmtId="0" fontId="14" fillId="35" borderId="0" xfId="0" applyFont="1" applyFill="1"/>
    <xf numFmtId="166" fontId="14" fillId="35" borderId="0" xfId="0" applyNumberFormat="1" applyFont="1" applyFill="1"/>
    <xf numFmtId="166" fontId="14" fillId="35" borderId="15" xfId="0" applyNumberFormat="1" applyFont="1" applyFill="1" applyBorder="1"/>
    <xf numFmtId="0" fontId="42" fillId="35" borderId="10" xfId="0" applyFont="1" applyFill="1" applyBorder="1"/>
    <xf numFmtId="0" fontId="42" fillId="35" borderId="0" xfId="0" applyFont="1" applyFill="1"/>
    <xf numFmtId="0" fontId="19" fillId="35" borderId="0" xfId="0" applyFont="1" applyFill="1"/>
    <xf numFmtId="166" fontId="19" fillId="35" borderId="0" xfId="0" applyNumberFormat="1" applyFont="1" applyFill="1"/>
    <xf numFmtId="166" fontId="19" fillId="0" borderId="20" xfId="0" applyNumberFormat="1" applyFont="1" applyBorder="1"/>
    <xf numFmtId="164" fontId="36" fillId="35" borderId="0" xfId="0" applyNumberFormat="1" applyFont="1" applyFill="1"/>
    <xf numFmtId="0" fontId="0" fillId="35" borderId="0" xfId="0" applyFill="1" applyAlignment="1">
      <alignment horizontal="center" vertical="center"/>
    </xf>
    <xf numFmtId="2" fontId="14" fillId="0" borderId="0" xfId="0" applyNumberFormat="1" applyFont="1"/>
    <xf numFmtId="2" fontId="14" fillId="0" borderId="15" xfId="0" applyNumberFormat="1" applyFont="1" applyBorder="1"/>
    <xf numFmtId="2" fontId="14" fillId="35" borderId="0" xfId="0" applyNumberFormat="1" applyFont="1" applyFill="1"/>
    <xf numFmtId="2" fontId="14" fillId="35" borderId="15" xfId="0" applyNumberFormat="1" applyFont="1" applyFill="1" applyBorder="1"/>
    <xf numFmtId="2" fontId="19" fillId="35" borderId="0" xfId="0" applyNumberFormat="1" applyFont="1" applyFill="1"/>
    <xf numFmtId="2" fontId="16" fillId="0" borderId="0" xfId="0" applyNumberFormat="1" applyFont="1" applyAlignment="1">
      <alignment horizontal="right" vertical="center"/>
    </xf>
    <xf numFmtId="2" fontId="21" fillId="0" borderId="0" xfId="0" applyNumberFormat="1" applyFont="1"/>
    <xf numFmtId="2" fontId="42" fillId="0" borderId="0" xfId="0" applyNumberFormat="1" applyFont="1"/>
    <xf numFmtId="2" fontId="14" fillId="0" borderId="19" xfId="0" applyNumberFormat="1" applyFont="1" applyBorder="1"/>
    <xf numFmtId="2" fontId="14" fillId="0" borderId="20" xfId="0" applyNumberFormat="1" applyFont="1" applyBorder="1"/>
    <xf numFmtId="2" fontId="19" fillId="0" borderId="19" xfId="0" applyNumberFormat="1" applyFont="1" applyBorder="1"/>
    <xf numFmtId="2" fontId="19" fillId="0" borderId="20" xfId="0" applyNumberFormat="1" applyFont="1" applyBorder="1"/>
    <xf numFmtId="2" fontId="52" fillId="34" borderId="0" xfId="0" applyNumberFormat="1" applyFont="1" applyFill="1"/>
    <xf numFmtId="2" fontId="52" fillId="0" borderId="0" xfId="0" applyNumberFormat="1" applyFont="1" applyAlignment="1">
      <alignment horizontal="right" vertical="center"/>
    </xf>
    <xf numFmtId="2" fontId="52" fillId="0" borderId="0" xfId="0" applyNumberFormat="1" applyFont="1"/>
    <xf numFmtId="168" fontId="0" fillId="0" borderId="0" xfId="0" applyNumberFormat="1"/>
    <xf numFmtId="0" fontId="16" fillId="0" borderId="0" xfId="0" applyFont="1" applyAlignment="1">
      <alignment horizontal="right"/>
    </xf>
    <xf numFmtId="164" fontId="56" fillId="0" borderId="10" xfId="0" applyNumberFormat="1" applyFont="1" applyBorder="1" applyAlignment="1">
      <alignment horizontal="left" vertical="center"/>
    </xf>
    <xf numFmtId="165" fontId="57" fillId="0" borderId="0" xfId="0" applyNumberFormat="1" applyFont="1" applyAlignment="1">
      <alignment horizontal="right" vertical="center"/>
    </xf>
    <xf numFmtId="164" fontId="65" fillId="0" borderId="10" xfId="0" applyNumberFormat="1" applyFont="1" applyBorder="1" applyAlignment="1">
      <alignment horizontal="right" vertical="center" wrapText="1"/>
    </xf>
    <xf numFmtId="164" fontId="65" fillId="0" borderId="0" xfId="0" applyNumberFormat="1" applyFont="1" applyAlignment="1">
      <alignment horizontal="right" vertical="center"/>
    </xf>
    <xf numFmtId="165" fontId="66" fillId="0" borderId="0" xfId="0" applyNumberFormat="1" applyFont="1" applyAlignment="1">
      <alignment horizontal="right" vertical="center"/>
    </xf>
    <xf numFmtId="0" fontId="0" fillId="0" borderId="19" xfId="0" applyBorder="1"/>
    <xf numFmtId="166" fontId="0" fillId="0" borderId="22" xfId="0" applyNumberFormat="1" applyBorder="1" applyAlignment="1">
      <alignment horizontal="right"/>
    </xf>
    <xf numFmtId="164" fontId="36" fillId="0" borderId="23" xfId="0" applyNumberFormat="1" applyFont="1" applyBorder="1"/>
    <xf numFmtId="2" fontId="14" fillId="0" borderId="23" xfId="0" applyNumberFormat="1" applyFont="1" applyBorder="1"/>
    <xf numFmtId="1" fontId="42" fillId="0" borderId="24" xfId="0" applyNumberFormat="1" applyFont="1" applyBorder="1" applyAlignment="1">
      <alignment horizontal="right" vertical="center"/>
    </xf>
    <xf numFmtId="1" fontId="42" fillId="0" borderId="23" xfId="0" applyNumberFormat="1" applyFont="1" applyBorder="1" applyAlignment="1">
      <alignment horizontal="right" vertical="center"/>
    </xf>
    <xf numFmtId="2" fontId="19" fillId="0" borderId="23" xfId="0" applyNumberFormat="1" applyFont="1" applyBorder="1"/>
    <xf numFmtId="164" fontId="55" fillId="33" borderId="24" xfId="0" applyNumberFormat="1" applyFont="1" applyFill="1" applyBorder="1" applyAlignment="1">
      <alignment horizontal="right" vertical="center" wrapText="1"/>
    </xf>
    <xf numFmtId="164" fontId="55" fillId="0" borderId="23" xfId="0" applyNumberFormat="1" applyFont="1" applyBorder="1" applyAlignment="1">
      <alignment horizontal="right" vertical="center" wrapText="1"/>
    </xf>
    <xf numFmtId="166" fontId="52" fillId="0" borderId="23" xfId="0" applyNumberFormat="1" applyFont="1" applyBorder="1"/>
    <xf numFmtId="165" fontId="65" fillId="0" borderId="24" xfId="0" applyNumberFormat="1" applyFont="1" applyBorder="1"/>
    <xf numFmtId="165" fontId="65" fillId="0" borderId="23" xfId="0" applyNumberFormat="1" applyFont="1" applyBorder="1"/>
    <xf numFmtId="166" fontId="66" fillId="0" borderId="20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 vertical="center" wrapText="1"/>
    </xf>
    <xf numFmtId="0" fontId="3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/>
    </xf>
    <xf numFmtId="0" fontId="40" fillId="0" borderId="10" xfId="0" applyFont="1" applyBorder="1" applyAlignment="1">
      <alignment horizontal="right" vertical="center"/>
    </xf>
    <xf numFmtId="0" fontId="40" fillId="0" borderId="0" xfId="0" applyFont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53" fillId="33" borderId="10" xfId="0" applyFont="1" applyFill="1" applyBorder="1" applyAlignment="1">
      <alignment horizontal="right" vertical="center"/>
    </xf>
    <xf numFmtId="0" fontId="53" fillId="0" borderId="0" xfId="0" applyFont="1" applyAlignment="1">
      <alignment horizontal="right" vertical="center"/>
    </xf>
    <xf numFmtId="0" fontId="45" fillId="0" borderId="0" xfId="0" applyFont="1" applyAlignment="1">
      <alignment horizontal="right" vertical="center"/>
    </xf>
    <xf numFmtId="0" fontId="48" fillId="0" borderId="15" xfId="0" applyFont="1" applyBorder="1" applyAlignment="1">
      <alignment horizontal="right" vertical="center"/>
    </xf>
    <xf numFmtId="0" fontId="58" fillId="0" borderId="10" xfId="0" applyFont="1" applyBorder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6" fillId="0" borderId="0" xfId="0" applyFont="1" applyAlignment="1">
      <alignment horizontal="right" vertical="center"/>
    </xf>
    <xf numFmtId="0" fontId="61" fillId="0" borderId="15" xfId="0" applyFont="1" applyBorder="1" applyAlignment="1">
      <alignment horizontal="right" vertical="center"/>
    </xf>
    <xf numFmtId="168" fontId="19" fillId="0" borderId="23" xfId="0" applyNumberFormat="1" applyFont="1" applyBorder="1" applyAlignment="1">
      <alignment horizontal="right" vertical="center"/>
    </xf>
    <xf numFmtId="0" fontId="19" fillId="0" borderId="23" xfId="0" applyFont="1" applyBorder="1"/>
    <xf numFmtId="166" fontId="14" fillId="34" borderId="23" xfId="0" applyNumberFormat="1" applyFont="1" applyFill="1" applyBorder="1"/>
    <xf numFmtId="168" fontId="19" fillId="34" borderId="23" xfId="0" applyNumberFormat="1" applyFont="1" applyFill="1" applyBorder="1"/>
    <xf numFmtId="166" fontId="52" fillId="34" borderId="23" xfId="0" applyNumberFormat="1" applyFont="1" applyFill="1" applyBorder="1"/>
    <xf numFmtId="166" fontId="66" fillId="34" borderId="23" xfId="0" applyNumberFormat="1" applyFont="1" applyFill="1" applyBorder="1"/>
    <xf numFmtId="167" fontId="19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66" fillId="0" borderId="0" xfId="0" applyNumberFormat="1" applyFont="1"/>
    <xf numFmtId="0" fontId="66" fillId="0" borderId="0" xfId="0" applyFont="1"/>
    <xf numFmtId="0" fontId="20" fillId="0" borderId="11" xfId="0" applyFont="1" applyBorder="1" applyAlignment="1">
      <alignment horizontal="center" vertical="center"/>
    </xf>
    <xf numFmtId="164" fontId="45" fillId="0" borderId="0" xfId="0" applyNumberFormat="1" applyFont="1" applyAlignment="1">
      <alignment horizontal="left" vertical="center"/>
    </xf>
    <xf numFmtId="167" fontId="18" fillId="0" borderId="10" xfId="0" applyNumberFormat="1" applyFont="1" applyBorder="1" applyAlignment="1">
      <alignment horizontal="left" vertical="center"/>
    </xf>
    <xf numFmtId="166" fontId="67" fillId="0" borderId="0" xfId="0" applyNumberFormat="1" applyFont="1" applyAlignment="1">
      <alignment horizontal="right" vertical="center"/>
    </xf>
    <xf numFmtId="166" fontId="19" fillId="0" borderId="15" xfId="0" applyNumberFormat="1" applyFont="1" applyBorder="1"/>
    <xf numFmtId="167" fontId="56" fillId="0" borderId="10" xfId="0" applyNumberFormat="1" applyFont="1" applyBorder="1" applyAlignment="1">
      <alignment horizontal="left" vertical="center"/>
    </xf>
    <xf numFmtId="166" fontId="57" fillId="0" borderId="0" xfId="0" applyNumberFormat="1" applyFont="1" applyAlignment="1">
      <alignment horizontal="right" vertical="center"/>
    </xf>
    <xf numFmtId="166" fontId="66" fillId="0" borderId="15" xfId="0" applyNumberFormat="1" applyFont="1" applyBorder="1"/>
    <xf numFmtId="0" fontId="16" fillId="0" borderId="12" xfId="0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164" fontId="47" fillId="0" borderId="12" xfId="0" applyNumberFormat="1" applyFont="1" applyBorder="1" applyAlignment="1">
      <alignment horizontal="right" vertical="center" wrapText="1"/>
    </xf>
    <xf numFmtId="165" fontId="48" fillId="0" borderId="12" xfId="0" applyNumberFormat="1" applyFont="1" applyBorder="1" applyAlignment="1">
      <alignment horizontal="right" vertical="center"/>
    </xf>
    <xf numFmtId="167" fontId="27" fillId="0" borderId="14" xfId="0" applyNumberFormat="1" applyFont="1" applyBorder="1" applyAlignment="1">
      <alignment horizontal="right" vertical="center" wrapText="1"/>
    </xf>
    <xf numFmtId="166" fontId="28" fillId="0" borderId="12" xfId="0" applyNumberFormat="1" applyFont="1" applyBorder="1" applyAlignment="1">
      <alignment horizontal="right" vertical="center"/>
    </xf>
    <xf numFmtId="166" fontId="28" fillId="0" borderId="16" xfId="0" applyNumberFormat="1" applyFont="1" applyBorder="1" applyAlignment="1">
      <alignment horizontal="right" vertical="center"/>
    </xf>
    <xf numFmtId="167" fontId="60" fillId="0" borderId="14" xfId="0" applyNumberFormat="1" applyFont="1" applyBorder="1" applyAlignment="1">
      <alignment horizontal="right" vertical="center" wrapText="1"/>
    </xf>
    <xf numFmtId="166" fontId="61" fillId="0" borderId="12" xfId="0" applyNumberFormat="1" applyFont="1" applyBorder="1" applyAlignment="1">
      <alignment horizontal="right" vertical="center"/>
    </xf>
    <xf numFmtId="166" fontId="61" fillId="0" borderId="16" xfId="0" applyNumberFormat="1" applyFont="1" applyBorder="1" applyAlignment="1">
      <alignment horizontal="right" vertical="center"/>
    </xf>
    <xf numFmtId="164" fontId="14" fillId="0" borderId="11" xfId="0" applyNumberFormat="1" applyFont="1" applyBorder="1"/>
    <xf numFmtId="167" fontId="19" fillId="0" borderId="10" xfId="0" applyNumberFormat="1" applyFont="1" applyBorder="1" applyAlignment="1">
      <alignment horizontal="right" vertical="center"/>
    </xf>
    <xf numFmtId="166" fontId="19" fillId="0" borderId="15" xfId="0" applyNumberFormat="1" applyFont="1" applyBorder="1" applyAlignment="1">
      <alignment horizontal="right" vertical="center"/>
    </xf>
    <xf numFmtId="164" fontId="66" fillId="0" borderId="0" xfId="0" applyNumberFormat="1" applyFont="1" applyAlignment="1">
      <alignment horizontal="right" vertical="center"/>
    </xf>
    <xf numFmtId="165" fontId="66" fillId="0" borderId="25" xfId="0" applyNumberFormat="1" applyFont="1" applyBorder="1" applyAlignment="1">
      <alignment horizontal="right" vertical="center"/>
    </xf>
    <xf numFmtId="165" fontId="66" fillId="0" borderId="15" xfId="0" applyNumberFormat="1" applyFont="1" applyBorder="1" applyAlignment="1">
      <alignment horizontal="right" vertical="center"/>
    </xf>
    <xf numFmtId="0" fontId="52" fillId="0" borderId="0" xfId="0" applyFont="1"/>
    <xf numFmtId="167" fontId="18" fillId="0" borderId="0" xfId="0" applyNumberFormat="1" applyFont="1" applyAlignment="1">
      <alignment horizontal="left" vertical="center"/>
    </xf>
    <xf numFmtId="166" fontId="19" fillId="33" borderId="0" xfId="0" applyNumberFormat="1" applyFont="1" applyFill="1" applyAlignment="1">
      <alignment horizontal="right" vertical="center"/>
    </xf>
    <xf numFmtId="166" fontId="19" fillId="33" borderId="15" xfId="0" applyNumberFormat="1" applyFont="1" applyFill="1" applyBorder="1"/>
    <xf numFmtId="0" fontId="66" fillId="0" borderId="15" xfId="0" applyFont="1" applyBorder="1"/>
    <xf numFmtId="168" fontId="0" fillId="0" borderId="0" xfId="0" applyNumberFormat="1" applyAlignment="1">
      <alignment horizontal="right" vertical="center"/>
    </xf>
    <xf numFmtId="166" fontId="66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165" fontId="52" fillId="34" borderId="0" xfId="0" applyNumberFormat="1" applyFont="1" applyFill="1" applyAlignment="1">
      <alignment horizontal="right" vertical="center"/>
    </xf>
    <xf numFmtId="165" fontId="66" fillId="34" borderId="0" xfId="0" applyNumberFormat="1" applyFont="1" applyFill="1" applyAlignment="1">
      <alignment horizontal="right" vertical="center"/>
    </xf>
    <xf numFmtId="165" fontId="66" fillId="34" borderId="15" xfId="0" applyNumberFormat="1" applyFont="1" applyFill="1" applyBorder="1" applyAlignment="1">
      <alignment horizontal="right" vertical="center"/>
    </xf>
    <xf numFmtId="165" fontId="66" fillId="0" borderId="0" xfId="0" applyNumberFormat="1" applyFont="1"/>
    <xf numFmtId="165" fontId="66" fillId="0" borderId="15" xfId="0" applyNumberFormat="1" applyFont="1" applyBorder="1"/>
    <xf numFmtId="0" fontId="0" fillId="37" borderId="0" xfId="0" applyFill="1"/>
    <xf numFmtId="0" fontId="0" fillId="37" borderId="0" xfId="0" applyFill="1" applyAlignment="1">
      <alignment horizontal="center"/>
    </xf>
    <xf numFmtId="164" fontId="14" fillId="37" borderId="11" xfId="0" applyNumberFormat="1" applyFont="1" applyFill="1" applyBorder="1"/>
    <xf numFmtId="164" fontId="52" fillId="37" borderId="0" xfId="0" applyNumberFormat="1" applyFont="1" applyFill="1" applyAlignment="1">
      <alignment horizontal="right" vertical="center" wrapText="1"/>
    </xf>
    <xf numFmtId="165" fontId="52" fillId="37" borderId="0" xfId="0" applyNumberFormat="1" applyFont="1" applyFill="1" applyAlignment="1">
      <alignment horizontal="right" vertical="center"/>
    </xf>
    <xf numFmtId="167" fontId="19" fillId="37" borderId="10" xfId="0" applyNumberFormat="1" applyFont="1" applyFill="1" applyBorder="1" applyAlignment="1">
      <alignment horizontal="right" vertical="center"/>
    </xf>
    <xf numFmtId="166" fontId="19" fillId="37" borderId="0" xfId="0" applyNumberFormat="1" applyFont="1" applyFill="1" applyAlignment="1">
      <alignment horizontal="right" vertical="center"/>
    </xf>
    <xf numFmtId="166" fontId="19" fillId="37" borderId="15" xfId="0" applyNumberFormat="1" applyFont="1" applyFill="1" applyBorder="1"/>
    <xf numFmtId="165" fontId="52" fillId="33" borderId="0" xfId="0" applyNumberFormat="1" applyFont="1" applyFill="1" applyAlignment="1">
      <alignment horizontal="right" vertical="center"/>
    </xf>
    <xf numFmtId="0" fontId="0" fillId="37" borderId="26" xfId="0" applyFill="1" applyBorder="1"/>
    <xf numFmtId="0" fontId="0" fillId="37" borderId="27" xfId="0" applyFill="1" applyBorder="1" applyAlignment="1">
      <alignment horizontal="center"/>
    </xf>
    <xf numFmtId="0" fontId="0" fillId="37" borderId="27" xfId="0" applyFill="1" applyBorder="1"/>
    <xf numFmtId="164" fontId="14" fillId="37" borderId="28" xfId="0" applyNumberFormat="1" applyFont="1" applyFill="1" applyBorder="1"/>
    <xf numFmtId="164" fontId="52" fillId="37" borderId="27" xfId="0" applyNumberFormat="1" applyFont="1" applyFill="1" applyBorder="1" applyAlignment="1">
      <alignment horizontal="right" vertical="center" wrapText="1"/>
    </xf>
    <xf numFmtId="165" fontId="52" fillId="37" borderId="27" xfId="0" applyNumberFormat="1" applyFont="1" applyFill="1" applyBorder="1" applyAlignment="1">
      <alignment horizontal="right" vertical="center"/>
    </xf>
    <xf numFmtId="167" fontId="19" fillId="37" borderId="29" xfId="0" applyNumberFormat="1" applyFont="1" applyFill="1" applyBorder="1" applyAlignment="1">
      <alignment horizontal="right" vertical="center"/>
    </xf>
    <xf numFmtId="166" fontId="19" fillId="37" borderId="27" xfId="0" applyNumberFormat="1" applyFont="1" applyFill="1" applyBorder="1" applyAlignment="1">
      <alignment horizontal="right" vertical="center"/>
    </xf>
    <xf numFmtId="166" fontId="19" fillId="37" borderId="30" xfId="0" applyNumberFormat="1" applyFont="1" applyFill="1" applyBorder="1"/>
    <xf numFmtId="0" fontId="0" fillId="37" borderId="31" xfId="0" applyFill="1" applyBorder="1"/>
    <xf numFmtId="0" fontId="0" fillId="37" borderId="32" xfId="0" applyFill="1" applyBorder="1"/>
    <xf numFmtId="0" fontId="0" fillId="37" borderId="33" xfId="0" applyFill="1" applyBorder="1" applyAlignment="1">
      <alignment horizontal="center"/>
    </xf>
    <xf numFmtId="0" fontId="0" fillId="37" borderId="33" xfId="0" applyFill="1" applyBorder="1"/>
    <xf numFmtId="164" fontId="14" fillId="37" borderId="34" xfId="0" applyNumberFormat="1" applyFont="1" applyFill="1" applyBorder="1"/>
    <xf numFmtId="164" fontId="52" fillId="37" borderId="33" xfId="0" applyNumberFormat="1" applyFont="1" applyFill="1" applyBorder="1" applyAlignment="1">
      <alignment horizontal="right" vertical="center" wrapText="1"/>
    </xf>
    <xf numFmtId="165" fontId="52" fillId="33" borderId="33" xfId="0" applyNumberFormat="1" applyFont="1" applyFill="1" applyBorder="1" applyAlignment="1">
      <alignment horizontal="right" vertical="center"/>
    </xf>
    <xf numFmtId="167" fontId="19" fillId="37" borderId="35" xfId="0" applyNumberFormat="1" applyFont="1" applyFill="1" applyBorder="1" applyAlignment="1">
      <alignment horizontal="right" vertical="center"/>
    </xf>
    <xf numFmtId="166" fontId="19" fillId="37" borderId="33" xfId="0" applyNumberFormat="1" applyFont="1" applyFill="1" applyBorder="1" applyAlignment="1">
      <alignment horizontal="right" vertical="center"/>
    </xf>
    <xf numFmtId="166" fontId="19" fillId="37" borderId="36" xfId="0" applyNumberFormat="1" applyFont="1" applyFill="1" applyBorder="1"/>
    <xf numFmtId="165" fontId="52" fillId="37" borderId="33" xfId="0" applyNumberFormat="1" applyFont="1" applyFill="1" applyBorder="1" applyAlignment="1">
      <alignment horizontal="right" vertical="center"/>
    </xf>
    <xf numFmtId="169" fontId="14" fillId="37" borderId="11" xfId="0" applyNumberFormat="1" applyFont="1" applyFill="1" applyBorder="1"/>
    <xf numFmtId="169" fontId="52" fillId="37" borderId="0" xfId="0" applyNumberFormat="1" applyFont="1" applyFill="1" applyAlignment="1">
      <alignment horizontal="right" vertical="center" wrapText="1"/>
    </xf>
    <xf numFmtId="169" fontId="52" fillId="37" borderId="19" xfId="0" applyNumberFormat="1" applyFont="1" applyFill="1" applyBorder="1" applyAlignment="1">
      <alignment horizontal="right" vertical="center"/>
    </xf>
    <xf numFmtId="169" fontId="52" fillId="37" borderId="20" xfId="0" applyNumberFormat="1" applyFont="1" applyFill="1" applyBorder="1" applyAlignment="1">
      <alignment horizontal="right" vertical="center"/>
    </xf>
    <xf numFmtId="2" fontId="19" fillId="37" borderId="0" xfId="0" applyNumberFormat="1" applyFont="1" applyFill="1" applyAlignment="1">
      <alignment horizontal="right" vertical="center"/>
    </xf>
    <xf numFmtId="2" fontId="19" fillId="37" borderId="15" xfId="0" applyNumberFormat="1" applyFont="1" applyFill="1" applyBorder="1"/>
    <xf numFmtId="2" fontId="66" fillId="0" borderId="0" xfId="0" applyNumberFormat="1" applyFont="1"/>
    <xf numFmtId="169" fontId="52" fillId="37" borderId="0" xfId="0" applyNumberFormat="1" applyFont="1" applyFill="1" applyAlignment="1">
      <alignment horizontal="right" vertical="center"/>
    </xf>
    <xf numFmtId="165" fontId="52" fillId="33" borderId="27" xfId="0" applyNumberFormat="1" applyFont="1" applyFill="1" applyBorder="1" applyAlignment="1">
      <alignment horizontal="right" vertical="center"/>
    </xf>
    <xf numFmtId="167" fontId="14" fillId="37" borderId="11" xfId="0" applyNumberFormat="1" applyFont="1" applyFill="1" applyBorder="1"/>
    <xf numFmtId="167" fontId="52" fillId="37" borderId="0" xfId="0" applyNumberFormat="1" applyFont="1" applyFill="1" applyAlignment="1">
      <alignment horizontal="right" vertical="center" wrapText="1"/>
    </xf>
    <xf numFmtId="167" fontId="52" fillId="37" borderId="0" xfId="0" applyNumberFormat="1" applyFont="1" applyFill="1" applyAlignment="1">
      <alignment horizontal="right" vertical="center"/>
    </xf>
    <xf numFmtId="2" fontId="19" fillId="37" borderId="10" xfId="0" applyNumberFormat="1" applyFont="1" applyFill="1" applyBorder="1" applyAlignment="1">
      <alignment horizontal="right" vertical="center"/>
    </xf>
    <xf numFmtId="2" fontId="19" fillId="37" borderId="26" xfId="0" applyNumberFormat="1" applyFont="1" applyFill="1" applyBorder="1" applyAlignment="1">
      <alignment horizontal="right" vertical="center"/>
    </xf>
    <xf numFmtId="2" fontId="19" fillId="37" borderId="30" xfId="0" applyNumberFormat="1" applyFont="1" applyFill="1" applyBorder="1"/>
    <xf numFmtId="2" fontId="19" fillId="37" borderId="32" xfId="0" applyNumberFormat="1" applyFont="1" applyFill="1" applyBorder="1" applyAlignment="1">
      <alignment horizontal="right" vertical="center"/>
    </xf>
    <xf numFmtId="2" fontId="19" fillId="37" borderId="36" xfId="0" applyNumberFormat="1" applyFont="1" applyFill="1" applyBorder="1"/>
    <xf numFmtId="0" fontId="72" fillId="0" borderId="0" xfId="0" applyFont="1" applyAlignment="1">
      <alignment horizontal="left" vertical="center"/>
    </xf>
    <xf numFmtId="0" fontId="73" fillId="0" borderId="12" xfId="0" applyFont="1" applyBorder="1" applyAlignment="1">
      <alignment horizontal="right" vertical="center"/>
    </xf>
    <xf numFmtId="0" fontId="73" fillId="0" borderId="14" xfId="0" applyFont="1" applyBorder="1" applyAlignment="1">
      <alignment horizontal="right" vertical="center"/>
    </xf>
    <xf numFmtId="0" fontId="16" fillId="0" borderId="16" xfId="0" applyFont="1" applyBorder="1" applyAlignment="1">
      <alignment horizontal="left" vertical="center"/>
    </xf>
    <xf numFmtId="0" fontId="74" fillId="0" borderId="0" xfId="0" applyFont="1"/>
    <xf numFmtId="0" fontId="74" fillId="0" borderId="10" xfId="0" applyFont="1" applyBorder="1"/>
    <xf numFmtId="0" fontId="0" fillId="0" borderId="15" xfId="0" applyBorder="1" applyAlignment="1">
      <alignment horizontal="left" vertical="center"/>
    </xf>
    <xf numFmtId="0" fontId="0" fillId="0" borderId="10" xfId="0" applyBorder="1"/>
    <xf numFmtId="0" fontId="0" fillId="0" borderId="15" xfId="0" applyBorder="1"/>
    <xf numFmtId="0" fontId="75" fillId="0" borderId="0" xfId="0" applyFont="1" applyAlignment="1">
      <alignment horizontal="righ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38" borderId="0" xfId="0" applyNumberFormat="1" applyFill="1" applyAlignment="1">
      <alignment horizontal="right" vertical="center"/>
    </xf>
    <xf numFmtId="49" fontId="0" fillId="39" borderId="0" xfId="0" applyNumberFormat="1" applyFill="1" applyAlignment="1">
      <alignment horizontal="center" vertical="center"/>
    </xf>
    <xf numFmtId="49" fontId="0" fillId="37" borderId="0" xfId="0" applyNumberFormat="1" applyFill="1"/>
    <xf numFmtId="49" fontId="0" fillId="40" borderId="0" xfId="0" applyNumberFormat="1" applyFill="1" applyAlignment="1">
      <alignment horizontal="right" vertical="center"/>
    </xf>
    <xf numFmtId="0" fontId="0" fillId="38" borderId="0" xfId="0" applyFill="1" applyAlignment="1">
      <alignment horizontal="right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right" vertical="center"/>
    </xf>
    <xf numFmtId="49" fontId="0" fillId="37" borderId="0" xfId="0" applyNumberFormat="1" applyFill="1" applyAlignment="1">
      <alignment horizontal="left" vertical="center"/>
    </xf>
    <xf numFmtId="21" fontId="0" fillId="0" borderId="0" xfId="0" applyNumberFormat="1" applyAlignment="1">
      <alignment horizontal="right" vertical="center"/>
    </xf>
    <xf numFmtId="0" fontId="0" fillId="37" borderId="0" xfId="0" applyFill="1" applyAlignment="1">
      <alignment horizontal="left" vertical="center"/>
    </xf>
    <xf numFmtId="49" fontId="0" fillId="41" borderId="0" xfId="0" applyNumberFormat="1" applyFill="1" applyAlignment="1">
      <alignment horizontal="right" vertical="center"/>
    </xf>
    <xf numFmtId="0" fontId="0" fillId="41" borderId="0" xfId="0" applyFill="1" applyAlignment="1">
      <alignment horizontal="right" vertical="center"/>
    </xf>
    <xf numFmtId="49" fontId="16" fillId="0" borderId="0" xfId="0" applyNumberFormat="1" applyFont="1" applyAlignment="1">
      <alignment horizontal="left" vertical="center"/>
    </xf>
    <xf numFmtId="0" fontId="0" fillId="42" borderId="0" xfId="0" applyFill="1" applyAlignment="1">
      <alignment horizontal="right" vertical="center"/>
    </xf>
    <xf numFmtId="166" fontId="0" fillId="42" borderId="0" xfId="0" applyNumberFormat="1" applyFill="1" applyAlignment="1">
      <alignment horizontal="right" vertical="center"/>
    </xf>
    <xf numFmtId="166" fontId="0" fillId="40" borderId="0" xfId="0" applyNumberFormat="1" applyFill="1" applyAlignment="1">
      <alignment horizontal="right" vertical="center"/>
    </xf>
    <xf numFmtId="0" fontId="0" fillId="0" borderId="0" xfId="0" applyAlignment="1">
      <alignment vertical="center"/>
    </xf>
    <xf numFmtId="170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6" fillId="0" borderId="0" xfId="0" applyFont="1" applyAlignment="1">
      <alignment vertical="center"/>
    </xf>
    <xf numFmtId="17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vertical="center"/>
    </xf>
    <xf numFmtId="0" fontId="34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172" fontId="0" fillId="0" borderId="0" xfId="0" applyNumberFormat="1" applyAlignment="1">
      <alignment vertical="center"/>
    </xf>
    <xf numFmtId="173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600"/>
      <color rgb="FF0000FF"/>
      <color rgb="FFFED6D2"/>
      <color rgb="FFFFD0B9"/>
      <color rgb="FFCCECFF"/>
      <color rgb="FFCCCCFF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32556360918461"/>
          <c:y val="7.2232005056062976E-2"/>
          <c:w val="0.8555110809824269"/>
          <c:h val="0.72304648140115335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p.1'!$A$5:$A$48</c:f>
              <c:numCache>
                <c:formatCode>General</c:formatCode>
                <c:ptCount val="4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31</c:v>
                </c:pt>
                <c:pt idx="21">
                  <c:v>32</c:v>
                </c:pt>
                <c:pt idx="22">
                  <c:v>35</c:v>
                </c:pt>
                <c:pt idx="23">
                  <c:v>37</c:v>
                </c:pt>
                <c:pt idx="24">
                  <c:v>40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  <c:pt idx="28">
                  <c:v>45</c:v>
                </c:pt>
                <c:pt idx="29">
                  <c:v>47</c:v>
                </c:pt>
                <c:pt idx="30">
                  <c:v>49</c:v>
                </c:pt>
                <c:pt idx="31">
                  <c:v>53</c:v>
                </c:pt>
                <c:pt idx="32">
                  <c:v>55</c:v>
                </c:pt>
                <c:pt idx="33">
                  <c:v>64</c:v>
                </c:pt>
                <c:pt idx="34">
                  <c:v>65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85</c:v>
                </c:pt>
                <c:pt idx="43">
                  <c:v>87</c:v>
                </c:pt>
              </c:numCache>
            </c:numRef>
          </c:xVal>
          <c:yVal>
            <c:numRef>
              <c:f>'Table S9 p.1'!$C$5:$C$48</c:f>
              <c:numCache>
                <c:formatCode>0.000</c:formatCode>
                <c:ptCount val="44"/>
                <c:pt idx="0">
                  <c:v>5.3917149960000001</c:v>
                </c:pt>
                <c:pt idx="1">
                  <c:v>8.298019</c:v>
                </c:pt>
                <c:pt idx="2">
                  <c:v>11.260287999999999</c:v>
                </c:pt>
                <c:pt idx="3">
                  <c:v>14.534129999999999</c:v>
                </c:pt>
                <c:pt idx="4">
                  <c:v>13.618055</c:v>
                </c:pt>
                <c:pt idx="5">
                  <c:v>5.1390769599999997</c:v>
                </c:pt>
                <c:pt idx="6">
                  <c:v>5.9857690000000003</c:v>
                </c:pt>
                <c:pt idx="7">
                  <c:v>8.1516800000000007</c:v>
                </c:pt>
                <c:pt idx="8">
                  <c:v>10.486686000000001</c:v>
                </c:pt>
                <c:pt idx="9">
                  <c:v>10.360010000000001</c:v>
                </c:pt>
                <c:pt idx="10">
                  <c:v>12.967632999999999</c:v>
                </c:pt>
                <c:pt idx="11">
                  <c:v>4.3406637300000002</c:v>
                </c:pt>
                <c:pt idx="12">
                  <c:v>6.56149</c:v>
                </c:pt>
                <c:pt idx="13">
                  <c:v>6.7461869999999999</c:v>
                </c:pt>
                <c:pt idx="14">
                  <c:v>6.7665100000000002</c:v>
                </c:pt>
                <c:pt idx="15">
                  <c:v>7.4340380000000001</c:v>
                </c:pt>
                <c:pt idx="16">
                  <c:v>7.9024681000000001</c:v>
                </c:pt>
                <c:pt idx="17">
                  <c:v>7.8810099999999998</c:v>
                </c:pt>
                <c:pt idx="18">
                  <c:v>7.6398780000000004</c:v>
                </c:pt>
                <c:pt idx="19">
                  <c:v>7.7263799999999998</c:v>
                </c:pt>
                <c:pt idx="20">
                  <c:v>5.9993020000000001</c:v>
                </c:pt>
                <c:pt idx="21">
                  <c:v>7.8994350000000004</c:v>
                </c:pt>
                <c:pt idx="22">
                  <c:v>11.81381</c:v>
                </c:pt>
                <c:pt idx="23">
                  <c:v>4.1771281</c:v>
                </c:pt>
                <c:pt idx="24">
                  <c:v>6.6341260000000002</c:v>
                </c:pt>
                <c:pt idx="25">
                  <c:v>7.0924300000000002</c:v>
                </c:pt>
                <c:pt idx="26">
                  <c:v>7.1193799999999996</c:v>
                </c:pt>
                <c:pt idx="27">
                  <c:v>7.3605</c:v>
                </c:pt>
                <c:pt idx="28">
                  <c:v>7.4588999999999999</c:v>
                </c:pt>
                <c:pt idx="29">
                  <c:v>7.5762340000000004</c:v>
                </c:pt>
                <c:pt idx="30">
                  <c:v>5.7863557999999999</c:v>
                </c:pt>
                <c:pt idx="31">
                  <c:v>10.45126</c:v>
                </c:pt>
                <c:pt idx="32">
                  <c:v>3.89390572743</c:v>
                </c:pt>
                <c:pt idx="33">
                  <c:v>6.1497999999999999</c:v>
                </c:pt>
                <c:pt idx="34">
                  <c:v>5.8638000000000003</c:v>
                </c:pt>
                <c:pt idx="35">
                  <c:v>7.8640299999999996</c:v>
                </c:pt>
                <c:pt idx="36">
                  <c:v>7.83352</c:v>
                </c:pt>
                <c:pt idx="37">
                  <c:v>8.4382300000000008</c:v>
                </c:pt>
                <c:pt idx="38">
                  <c:v>8.9670199999999998</c:v>
                </c:pt>
                <c:pt idx="39">
                  <c:v>9.2255540000000007</c:v>
                </c:pt>
                <c:pt idx="40">
                  <c:v>10.437504000000001</c:v>
                </c:pt>
                <c:pt idx="41">
                  <c:v>6.1082872999999998</c:v>
                </c:pt>
                <c:pt idx="42">
                  <c:v>9.3175100000000004</c:v>
                </c:pt>
                <c:pt idx="43">
                  <c:v>4.0727411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2-45D0-A755-5FBBA4EC48F5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p.1'!$A$5:$A$48</c:f>
              <c:numCache>
                <c:formatCode>General</c:formatCode>
                <c:ptCount val="4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31</c:v>
                </c:pt>
                <c:pt idx="21">
                  <c:v>32</c:v>
                </c:pt>
                <c:pt idx="22">
                  <c:v>35</c:v>
                </c:pt>
                <c:pt idx="23">
                  <c:v>37</c:v>
                </c:pt>
                <c:pt idx="24">
                  <c:v>40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  <c:pt idx="28">
                  <c:v>45</c:v>
                </c:pt>
                <c:pt idx="29">
                  <c:v>47</c:v>
                </c:pt>
                <c:pt idx="30">
                  <c:v>49</c:v>
                </c:pt>
                <c:pt idx="31">
                  <c:v>53</c:v>
                </c:pt>
                <c:pt idx="32">
                  <c:v>55</c:v>
                </c:pt>
                <c:pt idx="33">
                  <c:v>64</c:v>
                </c:pt>
                <c:pt idx="34">
                  <c:v>65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85</c:v>
                </c:pt>
                <c:pt idx="43">
                  <c:v>87</c:v>
                </c:pt>
              </c:numCache>
            </c:numRef>
          </c:xVal>
          <c:yVal>
            <c:numRef>
              <c:f>'Table S9 p.1'!$F$5:$F$48</c:f>
              <c:numCache>
                <c:formatCode>0.000</c:formatCode>
                <c:ptCount val="44"/>
                <c:pt idx="0">
                  <c:v>5.342327014430178</c:v>
                </c:pt>
                <c:pt idx="1">
                  <c:v>7.9291132318634592</c:v>
                </c:pt>
                <c:pt idx="2">
                  <c:v>9.9951132028586276</c:v>
                </c:pt>
                <c:pt idx="3">
                  <c:v>12.203061866569064</c:v>
                </c:pt>
                <c:pt idx="4">
                  <c:v>14.571290877379264</c:v>
                </c:pt>
                <c:pt idx="5">
                  <c:v>4.9574213325412044</c:v>
                </c:pt>
                <c:pt idx="6">
                  <c:v>5.4884997852185631</c:v>
                </c:pt>
                <c:pt idx="7">
                  <c:v>7.1041912371096769</c:v>
                </c:pt>
                <c:pt idx="8">
                  <c:v>8.8308473387027409</c:v>
                </c:pt>
                <c:pt idx="9">
                  <c:v>10.678432006617603</c:v>
                </c:pt>
                <c:pt idx="10">
                  <c:v>12.652246495229262</c:v>
                </c:pt>
                <c:pt idx="11">
                  <c:v>4.0205281824443784</c:v>
                </c:pt>
                <c:pt idx="12">
                  <c:v>5.5220187719371099</c:v>
                </c:pt>
                <c:pt idx="13">
                  <c:v>6.8611485524491869</c:v>
                </c:pt>
                <c:pt idx="14">
                  <c:v>5.6345154438597751</c:v>
                </c:pt>
                <c:pt idx="15">
                  <c:v>6.6397948689689112</c:v>
                </c:pt>
                <c:pt idx="16">
                  <c:v>6.8821895585241233</c:v>
                </c:pt>
                <c:pt idx="17">
                  <c:v>6.6609545103968548</c:v>
                </c:pt>
                <c:pt idx="18">
                  <c:v>6.6407666392721518</c:v>
                </c:pt>
                <c:pt idx="19">
                  <c:v>6.5670721956873344</c:v>
                </c:pt>
                <c:pt idx="20">
                  <c:v>5.4441521349293147</c:v>
                </c:pt>
                <c:pt idx="21">
                  <c:v>6.8754287285144509</c:v>
                </c:pt>
                <c:pt idx="22">
                  <c:v>11.533469174868515</c:v>
                </c:pt>
                <c:pt idx="23">
                  <c:v>3.8001943756186076</c:v>
                </c:pt>
                <c:pt idx="24">
                  <c:v>5.6050679222222666</c:v>
                </c:pt>
                <c:pt idx="25">
                  <c:v>5.6189351714582765</c:v>
                </c:pt>
                <c:pt idx="26">
                  <c:v>6.4003194349056338</c:v>
                </c:pt>
                <c:pt idx="27">
                  <c:v>5.9428973981080793</c:v>
                </c:pt>
                <c:pt idx="28">
                  <c:v>6.0851125000622766</c:v>
                </c:pt>
                <c:pt idx="29">
                  <c:v>6.3435541182573072</c:v>
                </c:pt>
                <c:pt idx="30">
                  <c:v>5.1320066649981602</c:v>
                </c:pt>
                <c:pt idx="31">
                  <c:v>10.273465902996234</c:v>
                </c:pt>
                <c:pt idx="32">
                  <c:v>3.4772543593864502</c:v>
                </c:pt>
                <c:pt idx="33">
                  <c:v>5.2042573080907681</c:v>
                </c:pt>
                <c:pt idx="34">
                  <c:v>4.8625361209846059</c:v>
                </c:pt>
                <c:pt idx="35">
                  <c:v>6.9145946905940043</c:v>
                </c:pt>
                <c:pt idx="36">
                  <c:v>7.222688550053368</c:v>
                </c:pt>
                <c:pt idx="37">
                  <c:v>7.5107377840264773</c:v>
                </c:pt>
                <c:pt idx="38">
                  <c:v>7.7839648587922952</c:v>
                </c:pt>
                <c:pt idx="39">
                  <c:v>7.6891471290816487</c:v>
                </c:pt>
                <c:pt idx="40">
                  <c:v>8.5468748566214572</c:v>
                </c:pt>
                <c:pt idx="41">
                  <c:v>4.9721055622371138</c:v>
                </c:pt>
                <c:pt idx="42">
                  <c:v>9.8452234457550691</c:v>
                </c:pt>
                <c:pt idx="43">
                  <c:v>3.5879974811474771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2-45D0-A755-5FBBA4EC48F5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p.1'!$A$5:$A$48</c:f>
              <c:numCache>
                <c:formatCode>General</c:formatCode>
                <c:ptCount val="4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31</c:v>
                </c:pt>
                <c:pt idx="21">
                  <c:v>32</c:v>
                </c:pt>
                <c:pt idx="22">
                  <c:v>35</c:v>
                </c:pt>
                <c:pt idx="23">
                  <c:v>37</c:v>
                </c:pt>
                <c:pt idx="24">
                  <c:v>40</c:v>
                </c:pt>
                <c:pt idx="25">
                  <c:v>42</c:v>
                </c:pt>
                <c:pt idx="26">
                  <c:v>43</c:v>
                </c:pt>
                <c:pt idx="27">
                  <c:v>44</c:v>
                </c:pt>
                <c:pt idx="28">
                  <c:v>45</c:v>
                </c:pt>
                <c:pt idx="29">
                  <c:v>47</c:v>
                </c:pt>
                <c:pt idx="30">
                  <c:v>49</c:v>
                </c:pt>
                <c:pt idx="31">
                  <c:v>53</c:v>
                </c:pt>
                <c:pt idx="32">
                  <c:v>55</c:v>
                </c:pt>
                <c:pt idx="33">
                  <c:v>64</c:v>
                </c:pt>
                <c:pt idx="34">
                  <c:v>65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85</c:v>
                </c:pt>
                <c:pt idx="43">
                  <c:v>87</c:v>
                </c:pt>
              </c:numCache>
            </c:numRef>
          </c:xVal>
          <c:yVal>
            <c:numRef>
              <c:f>'Table S9 p.1'!$K$5:$K$48</c:f>
              <c:numCache>
                <c:formatCode>0.0</c:formatCode>
                <c:ptCount val="44"/>
                <c:pt idx="1">
                  <c:v>8</c:v>
                </c:pt>
                <c:pt idx="2">
                  <c:v>11</c:v>
                </c:pt>
                <c:pt idx="4">
                  <c:v>12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9</c:v>
                </c:pt>
                <c:pt idx="10">
                  <c:v>12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11</c:v>
                </c:pt>
                <c:pt idx="23">
                  <c:v>3</c:v>
                </c:pt>
                <c:pt idx="24">
                  <c:v>6</c:v>
                </c:pt>
                <c:pt idx="25">
                  <c:v>7</c:v>
                </c:pt>
                <c:pt idx="26">
                  <c:v>6</c:v>
                </c:pt>
                <c:pt idx="27">
                  <c:v>7</c:v>
                </c:pt>
                <c:pt idx="28">
                  <c:v>6</c:v>
                </c:pt>
                <c:pt idx="29">
                  <c:v>7</c:v>
                </c:pt>
                <c:pt idx="30">
                  <c:v>6</c:v>
                </c:pt>
                <c:pt idx="31">
                  <c:v>9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7</c:v>
                </c:pt>
                <c:pt idx="40">
                  <c:v>9</c:v>
                </c:pt>
                <c:pt idx="41">
                  <c:v>5</c:v>
                </c:pt>
                <c:pt idx="42">
                  <c:v>9</c:v>
                </c:pt>
                <c:pt idx="4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2-45D0-A755-5FBBA4EC48F5}"/>
            </c:ext>
          </c:extLst>
        </c:ser>
        <c:ser>
          <c:idx val="3"/>
          <c:order val="3"/>
          <c:tx>
            <c:v>Wang et al. (1996)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noFill/>
              <a:ln w="15875">
                <a:solidFill>
                  <a:srgbClr val="006600"/>
                </a:solidFill>
              </a:ln>
              <a:effectLst/>
            </c:spPr>
          </c:marker>
          <c:xVal>
            <c:numRef>
              <c:f>'Table S9 p.1'!$A$5:$A$10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</c:numCache>
            </c:numRef>
          </c:xVal>
          <c:yVal>
            <c:numRef>
              <c:f>'Table S9 p.1'!$T$5:$T$10</c:f>
              <c:numCache>
                <c:formatCode>0.00000000</c:formatCode>
                <c:ptCount val="6"/>
                <c:pt idx="0" formatCode="0.000">
                  <c:v>5.3423505081696314</c:v>
                </c:pt>
                <c:pt idx="5" formatCode="0.000">
                  <c:v>4.9574201431306637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7-4480-911B-C26730AA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8708542324683729"/>
              <c:y val="0.69512712640709085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ax val="15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1st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065370349270149"/>
          <c:y val="4.9918216744646048E-2"/>
          <c:w val="0.50275379633275308"/>
          <c:h val="0.122122307175371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p.2'!$A$5:$A$36</c:f>
              <c:numCache>
                <c:formatCode>General</c:formatCode>
                <c:ptCount val="3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21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40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64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79</c:v>
                </c:pt>
                <c:pt idx="31">
                  <c:v>80</c:v>
                </c:pt>
              </c:numCache>
            </c:numRef>
          </c:xVal>
          <c:yVal>
            <c:numRef>
              <c:f>'Table S9 p.2'!$C$5:$C$36</c:f>
              <c:numCache>
                <c:formatCode>0.000</c:formatCode>
                <c:ptCount val="32"/>
                <c:pt idx="0">
                  <c:v>25.15483</c:v>
                </c:pt>
                <c:pt idx="1">
                  <c:v>24.383154000000001</c:v>
                </c:pt>
                <c:pt idx="2">
                  <c:v>29.60125</c:v>
                </c:pt>
                <c:pt idx="3">
                  <c:v>35.121119999999998</c:v>
                </c:pt>
                <c:pt idx="4">
                  <c:v>16.345849999999999</c:v>
                </c:pt>
                <c:pt idx="5">
                  <c:v>19.769490000000001</c:v>
                </c:pt>
                <c:pt idx="6">
                  <c:v>23.337879999999998</c:v>
                </c:pt>
                <c:pt idx="7">
                  <c:v>23.813639999999999</c:v>
                </c:pt>
                <c:pt idx="8">
                  <c:v>12.799770000000001</c:v>
                </c:pt>
                <c:pt idx="9">
                  <c:v>14.634</c:v>
                </c:pt>
                <c:pt idx="10">
                  <c:v>16.486305000000002</c:v>
                </c:pt>
                <c:pt idx="11">
                  <c:v>15.639989999999999</c:v>
                </c:pt>
                <c:pt idx="12">
                  <c:v>16.199210000000001</c:v>
                </c:pt>
                <c:pt idx="13">
                  <c:v>17.084399999999999</c:v>
                </c:pt>
                <c:pt idx="14">
                  <c:v>18.168838000000001</c:v>
                </c:pt>
                <c:pt idx="15">
                  <c:v>20.292390000000001</c:v>
                </c:pt>
                <c:pt idx="16">
                  <c:v>20.515139999999999</c:v>
                </c:pt>
                <c:pt idx="17">
                  <c:v>15.934609999999999</c:v>
                </c:pt>
                <c:pt idx="18">
                  <c:v>13.13</c:v>
                </c:pt>
                <c:pt idx="19">
                  <c:v>16.16</c:v>
                </c:pt>
                <c:pt idx="20">
                  <c:v>15.26</c:v>
                </c:pt>
                <c:pt idx="21">
                  <c:v>16.760000000000002</c:v>
                </c:pt>
                <c:pt idx="22">
                  <c:v>18.079999999999998</c:v>
                </c:pt>
                <c:pt idx="23">
                  <c:v>21.484400000000001</c:v>
                </c:pt>
                <c:pt idx="24">
                  <c:v>18.87041</c:v>
                </c:pt>
                <c:pt idx="25">
                  <c:v>12.076000000000001</c:v>
                </c:pt>
                <c:pt idx="26">
                  <c:v>16.37</c:v>
                </c:pt>
                <c:pt idx="27" formatCode="0.0">
                  <c:v>16.600000000000001</c:v>
                </c:pt>
                <c:pt idx="28" formatCode="0.0">
                  <c:v>17</c:v>
                </c:pt>
                <c:pt idx="29" formatCode="0.0">
                  <c:v>17</c:v>
                </c:pt>
                <c:pt idx="30">
                  <c:v>20.202999999999999</c:v>
                </c:pt>
                <c:pt idx="31">
                  <c:v>18.756879999999999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C-468B-8346-CDE99DFF854A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p.2'!$A$5:$A$36</c:f>
              <c:numCache>
                <c:formatCode>General</c:formatCode>
                <c:ptCount val="3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21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40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64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79</c:v>
                </c:pt>
                <c:pt idx="31">
                  <c:v>80</c:v>
                </c:pt>
              </c:numCache>
            </c:numRef>
          </c:xVal>
          <c:yVal>
            <c:numRef>
              <c:f>'Table S9 p.2'!$F$5:$F$36</c:f>
              <c:numCache>
                <c:formatCode>General</c:formatCode>
                <c:ptCount val="32"/>
                <c:pt idx="0">
                  <c:v>23.452000000000002</c:v>
                </c:pt>
                <c:pt idx="1">
                  <c:v>24.042999999999999</c:v>
                </c:pt>
                <c:pt idx="2">
                  <c:v>28.067</c:v>
                </c:pt>
                <c:pt idx="3">
                  <c:v>32.231999999999999</c:v>
                </c:pt>
                <c:pt idx="4">
                  <c:v>15.696</c:v>
                </c:pt>
                <c:pt idx="5">
                  <c:v>18.46</c:v>
                </c:pt>
                <c:pt idx="6">
                  <c:v>21.327000000000002</c:v>
                </c:pt>
                <c:pt idx="7">
                  <c:v>24.306000000000001</c:v>
                </c:pt>
                <c:pt idx="8">
                  <c:v>12.08</c:v>
                </c:pt>
                <c:pt idx="9">
                  <c:v>12.571</c:v>
                </c:pt>
                <c:pt idx="10">
                  <c:v>13.464</c:v>
                </c:pt>
                <c:pt idx="11">
                  <c:v>14.398</c:v>
                </c:pt>
                <c:pt idx="12">
                  <c:v>14.912000000000001</c:v>
                </c:pt>
                <c:pt idx="13">
                  <c:v>15.868</c:v>
                </c:pt>
                <c:pt idx="14">
                  <c:v>16.605</c:v>
                </c:pt>
                <c:pt idx="15">
                  <c:v>17.318000000000001</c:v>
                </c:pt>
                <c:pt idx="16">
                  <c:v>18.765000000000001</c:v>
                </c:pt>
                <c:pt idx="17">
                  <c:v>15.146000000000001</c:v>
                </c:pt>
                <c:pt idx="18">
                  <c:v>11.927</c:v>
                </c:pt>
                <c:pt idx="19">
                  <c:v>13.698</c:v>
                </c:pt>
                <c:pt idx="20">
                  <c:v>13.521000000000001</c:v>
                </c:pt>
                <c:pt idx="21">
                  <c:v>16.164000000000001</c:v>
                </c:pt>
                <c:pt idx="22">
                  <c:v>17.399000000000001</c:v>
                </c:pt>
                <c:pt idx="23">
                  <c:v>19.885999999999999</c:v>
                </c:pt>
                <c:pt idx="24">
                  <c:v>17.039000000000001</c:v>
                </c:pt>
                <c:pt idx="25">
                  <c:v>11.103</c:v>
                </c:pt>
                <c:pt idx="26">
                  <c:v>14.11</c:v>
                </c:pt>
                <c:pt idx="27">
                  <c:v>14.669</c:v>
                </c:pt>
                <c:pt idx="28">
                  <c:v>15.199</c:v>
                </c:pt>
                <c:pt idx="29">
                  <c:v>15.707000000000001</c:v>
                </c:pt>
                <c:pt idx="30">
                  <c:v>19.146999999999998</c:v>
                </c:pt>
                <c:pt idx="31">
                  <c:v>17.141999999999999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C-468B-8346-CDE99DFF854A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p.2'!$A$5:$A$36</c:f>
              <c:numCache>
                <c:formatCode>General</c:formatCode>
                <c:ptCount val="3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21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40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64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79</c:v>
                </c:pt>
                <c:pt idx="31">
                  <c:v>80</c:v>
                </c:pt>
              </c:numCache>
            </c:numRef>
          </c:xVal>
          <c:yVal>
            <c:numRef>
              <c:f>'Table S9 p.2'!$K$5:$K$36</c:f>
              <c:numCache>
                <c:formatCode>0.0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29</c:v>
                </c:pt>
                <c:pt idx="3">
                  <c:v>35</c:v>
                </c:pt>
                <c:pt idx="4">
                  <c:v>16</c:v>
                </c:pt>
                <c:pt idx="5">
                  <c:v>19</c:v>
                </c:pt>
                <c:pt idx="6">
                  <c:v>23</c:v>
                </c:pt>
                <c:pt idx="7">
                  <c:v>22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12</c:v>
                </c:pt>
                <c:pt idx="19">
                  <c:v>15</c:v>
                </c:pt>
                <c:pt idx="20">
                  <c:v>14</c:v>
                </c:pt>
                <c:pt idx="21">
                  <c:v>14</c:v>
                </c:pt>
                <c:pt idx="22">
                  <c:v>16</c:v>
                </c:pt>
                <c:pt idx="23">
                  <c:v>19</c:v>
                </c:pt>
                <c:pt idx="24">
                  <c:v>17</c:v>
                </c:pt>
                <c:pt idx="25">
                  <c:v>12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16</c:v>
                </c:pt>
                <c:pt idx="30">
                  <c:v>19</c:v>
                </c:pt>
                <c:pt idx="31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C-468B-8346-CDE99DFF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92575439328362097"/>
              <c:y val="0.7033322834645668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ax val="37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2nd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635010119284651"/>
          <c:y val="8.5167137126727105E-2"/>
          <c:w val="0.28501620115076287"/>
          <c:h val="0.2251532709354726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p.3'!$A$5:$A$56</c:f>
              <c:numCache>
                <c:formatCode>General</c:formatCode>
                <c:ptCount val="5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47</c:v>
                </c:pt>
                <c:pt idx="27">
                  <c:v>49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66</c:v>
                </c:pt>
                <c:pt idx="36">
                  <c:v>69</c:v>
                </c:pt>
                <c:pt idx="37">
                  <c:v>70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79</c:v>
                </c:pt>
                <c:pt idx="45">
                  <c:v>90</c:v>
                </c:pt>
                <c:pt idx="46">
                  <c:v>95</c:v>
                </c:pt>
                <c:pt idx="47">
                  <c:v>98</c:v>
                </c:pt>
                <c:pt idx="48">
                  <c:v>99</c:v>
                </c:pt>
                <c:pt idx="49">
                  <c:v>100</c:v>
                </c:pt>
                <c:pt idx="50">
                  <c:v>101</c:v>
                </c:pt>
                <c:pt idx="51">
                  <c:v>102</c:v>
                </c:pt>
              </c:numCache>
            </c:numRef>
          </c:xVal>
          <c:yVal>
            <c:numRef>
              <c:f>'Table S9 p.3'!$C$5:$C$56</c:f>
              <c:numCache>
                <c:formatCode>0.0000</c:formatCode>
                <c:ptCount val="52"/>
                <c:pt idx="0">
                  <c:v>37.930590000000002</c:v>
                </c:pt>
                <c:pt idx="1">
                  <c:v>47.887779999999999</c:v>
                </c:pt>
                <c:pt idx="2">
                  <c:v>47.445300000000003</c:v>
                </c:pt>
                <c:pt idx="3">
                  <c:v>33.493000000000002</c:v>
                </c:pt>
                <c:pt idx="4">
                  <c:v>30.202639999999999</c:v>
                </c:pt>
                <c:pt idx="5">
                  <c:v>34.86</c:v>
                </c:pt>
                <c:pt idx="6">
                  <c:v>39.799999999999997</c:v>
                </c:pt>
                <c:pt idx="7">
                  <c:v>24.756838999999999</c:v>
                </c:pt>
                <c:pt idx="8">
                  <c:v>27.491710000000001</c:v>
                </c:pt>
                <c:pt idx="9">
                  <c:v>29.3111</c:v>
                </c:pt>
                <c:pt idx="10">
                  <c:v>30.959</c:v>
                </c:pt>
                <c:pt idx="11">
                  <c:v>33.667999999999999</c:v>
                </c:pt>
                <c:pt idx="12">
                  <c:v>30.651</c:v>
                </c:pt>
                <c:pt idx="13">
                  <c:v>33.5</c:v>
                </c:pt>
                <c:pt idx="14">
                  <c:v>35.186999999999998</c:v>
                </c:pt>
                <c:pt idx="15">
                  <c:v>36.841000000000001</c:v>
                </c:pt>
                <c:pt idx="16">
                  <c:v>30.725760000000001</c:v>
                </c:pt>
                <c:pt idx="17">
                  <c:v>34.057600000000001</c:v>
                </c:pt>
                <c:pt idx="18">
                  <c:v>28.349</c:v>
                </c:pt>
                <c:pt idx="19">
                  <c:v>20.52441</c:v>
                </c:pt>
                <c:pt idx="20">
                  <c:v>23.17</c:v>
                </c:pt>
                <c:pt idx="21">
                  <c:v>25.04</c:v>
                </c:pt>
                <c:pt idx="22">
                  <c:v>27.13</c:v>
                </c:pt>
                <c:pt idx="23">
                  <c:v>29.55</c:v>
                </c:pt>
                <c:pt idx="24">
                  <c:v>28.47</c:v>
                </c:pt>
                <c:pt idx="25">
                  <c:v>31.06</c:v>
                </c:pt>
                <c:pt idx="26">
                  <c:v>34.799999999999997</c:v>
                </c:pt>
                <c:pt idx="27">
                  <c:v>28.044149999999998</c:v>
                </c:pt>
                <c:pt idx="28">
                  <c:v>19.177299999999999</c:v>
                </c:pt>
                <c:pt idx="29">
                  <c:v>20.197399999999998</c:v>
                </c:pt>
                <c:pt idx="30">
                  <c:v>21.623699999999999</c:v>
                </c:pt>
                <c:pt idx="31">
                  <c:v>22.09</c:v>
                </c:pt>
                <c:pt idx="32">
                  <c:v>23.55</c:v>
                </c:pt>
                <c:pt idx="33">
                  <c:v>24.84</c:v>
                </c:pt>
                <c:pt idx="34">
                  <c:v>20.54</c:v>
                </c:pt>
                <c:pt idx="35">
                  <c:v>22.89</c:v>
                </c:pt>
                <c:pt idx="36">
                  <c:v>23.66</c:v>
                </c:pt>
                <c:pt idx="37">
                  <c:v>25.053000000000001</c:v>
                </c:pt>
                <c:pt idx="38">
                  <c:v>22.55</c:v>
                </c:pt>
                <c:pt idx="39">
                  <c:v>23.1</c:v>
                </c:pt>
                <c:pt idx="40">
                  <c:v>26</c:v>
                </c:pt>
                <c:pt idx="41">
                  <c:v>27</c:v>
                </c:pt>
                <c:pt idx="42">
                  <c:v>25</c:v>
                </c:pt>
                <c:pt idx="43">
                  <c:v>28</c:v>
                </c:pt>
                <c:pt idx="44">
                  <c:v>30</c:v>
                </c:pt>
                <c:pt idx="45">
                  <c:v>18.32</c:v>
                </c:pt>
                <c:pt idx="46">
                  <c:v>21.7</c:v>
                </c:pt>
                <c:pt idx="47">
                  <c:v>22.4</c:v>
                </c:pt>
                <c:pt idx="48">
                  <c:v>22.7</c:v>
                </c:pt>
                <c:pt idx="49">
                  <c:v>23.2</c:v>
                </c:pt>
                <c:pt idx="50">
                  <c:v>24.3</c:v>
                </c:pt>
                <c:pt idx="51">
                  <c:v>25.8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2-4107-B2AE-ED46934E962E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p.3'!$A$5:$A$56</c:f>
              <c:numCache>
                <c:formatCode>General</c:formatCode>
                <c:ptCount val="5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47</c:v>
                </c:pt>
                <c:pt idx="27">
                  <c:v>49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66</c:v>
                </c:pt>
                <c:pt idx="36">
                  <c:v>69</c:v>
                </c:pt>
                <c:pt idx="37">
                  <c:v>70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79</c:v>
                </c:pt>
                <c:pt idx="45">
                  <c:v>90</c:v>
                </c:pt>
                <c:pt idx="46">
                  <c:v>95</c:v>
                </c:pt>
                <c:pt idx="47">
                  <c:v>98</c:v>
                </c:pt>
                <c:pt idx="48">
                  <c:v>99</c:v>
                </c:pt>
                <c:pt idx="49">
                  <c:v>100</c:v>
                </c:pt>
                <c:pt idx="50">
                  <c:v>101</c:v>
                </c:pt>
                <c:pt idx="51">
                  <c:v>102</c:v>
                </c:pt>
              </c:numCache>
            </c:numRef>
          </c:xVal>
          <c:yVal>
            <c:numRef>
              <c:f>'Table S9 p.3'!$F$5:$F$56</c:f>
              <c:numCache>
                <c:formatCode>General</c:formatCode>
                <c:ptCount val="52"/>
                <c:pt idx="0">
                  <c:v>37.829000000000001</c:v>
                </c:pt>
                <c:pt idx="1">
                  <c:v>45.802</c:v>
                </c:pt>
                <c:pt idx="2">
                  <c:v>47.165999999999997</c:v>
                </c:pt>
                <c:pt idx="3">
                  <c:v>32.024999999999999</c:v>
                </c:pt>
                <c:pt idx="4">
                  <c:v>29.422999999999998</c:v>
                </c:pt>
                <c:pt idx="5">
                  <c:v>33.301000000000002</c:v>
                </c:pt>
                <c:pt idx="6">
                  <c:v>37.283000000000001</c:v>
                </c:pt>
                <c:pt idx="7">
                  <c:v>23.731000000000002</c:v>
                </c:pt>
                <c:pt idx="8">
                  <c:v>25.506</c:v>
                </c:pt>
                <c:pt idx="9">
                  <c:v>27.167000000000002</c:v>
                </c:pt>
                <c:pt idx="10">
                  <c:v>28.744</c:v>
                </c:pt>
                <c:pt idx="11">
                  <c:v>30.254000000000001</c:v>
                </c:pt>
                <c:pt idx="12">
                  <c:v>31.71</c:v>
                </c:pt>
                <c:pt idx="13">
                  <c:v>33.121000000000002</c:v>
                </c:pt>
                <c:pt idx="14">
                  <c:v>34.494</c:v>
                </c:pt>
                <c:pt idx="15">
                  <c:v>35.832999999999998</c:v>
                </c:pt>
                <c:pt idx="16">
                  <c:v>29.626999999999999</c:v>
                </c:pt>
                <c:pt idx="17">
                  <c:v>32.212000000000003</c:v>
                </c:pt>
                <c:pt idx="18">
                  <c:v>27.37</c:v>
                </c:pt>
                <c:pt idx="19">
                  <c:v>19.565000000000001</c:v>
                </c:pt>
                <c:pt idx="20">
                  <c:v>21.515000000000001</c:v>
                </c:pt>
                <c:pt idx="21">
                  <c:v>23.402999999999999</c:v>
                </c:pt>
                <c:pt idx="22">
                  <c:v>25.251999999999999</c:v>
                </c:pt>
                <c:pt idx="23">
                  <c:v>27.077000000000002</c:v>
                </c:pt>
                <c:pt idx="24">
                  <c:v>28.887</c:v>
                </c:pt>
                <c:pt idx="25">
                  <c:v>30.689</c:v>
                </c:pt>
                <c:pt idx="26">
                  <c:v>34.286000000000001</c:v>
                </c:pt>
                <c:pt idx="27">
                  <c:v>26.62</c:v>
                </c:pt>
                <c:pt idx="28">
                  <c:v>18.091000000000001</c:v>
                </c:pt>
                <c:pt idx="29">
                  <c:v>17.117999999999999</c:v>
                </c:pt>
                <c:pt idx="30">
                  <c:v>17.913</c:v>
                </c:pt>
                <c:pt idx="31">
                  <c:v>18.568999999999999</c:v>
                </c:pt>
                <c:pt idx="32">
                  <c:v>19.565999999999999</c:v>
                </c:pt>
                <c:pt idx="33">
                  <c:v>19.937000000000001</c:v>
                </c:pt>
                <c:pt idx="34">
                  <c:v>18.911999999999999</c:v>
                </c:pt>
                <c:pt idx="35">
                  <c:v>20.65</c:v>
                </c:pt>
                <c:pt idx="36">
                  <c:v>20.876999999999999</c:v>
                </c:pt>
                <c:pt idx="37">
                  <c:v>20.863</c:v>
                </c:pt>
                <c:pt idx="38">
                  <c:v>20.687999999999999</c:v>
                </c:pt>
                <c:pt idx="39">
                  <c:v>22.327999999999999</c:v>
                </c:pt>
                <c:pt idx="40">
                  <c:v>23.954000000000001</c:v>
                </c:pt>
                <c:pt idx="41">
                  <c:v>25.574000000000002</c:v>
                </c:pt>
                <c:pt idx="42">
                  <c:v>27.193000000000001</c:v>
                </c:pt>
                <c:pt idx="43">
                  <c:v>28.815000000000001</c:v>
                </c:pt>
                <c:pt idx="44">
                  <c:v>32.079000000000001</c:v>
                </c:pt>
                <c:pt idx="45">
                  <c:v>16.597000000000001</c:v>
                </c:pt>
                <c:pt idx="46">
                  <c:v>19.091999999999999</c:v>
                </c:pt>
                <c:pt idx="47">
                  <c:v>21.675000000000001</c:v>
                </c:pt>
                <c:pt idx="48">
                  <c:v>22.472999999999999</c:v>
                </c:pt>
                <c:pt idx="49">
                  <c:v>23.242999999999999</c:v>
                </c:pt>
                <c:pt idx="50">
                  <c:v>23.986999999999998</c:v>
                </c:pt>
                <c:pt idx="51">
                  <c:v>24.707000000000001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2-4107-B2AE-ED46934E962E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p.3'!$A$5:$A$56</c:f>
              <c:numCache>
                <c:formatCode>General</c:formatCode>
                <c:ptCount val="5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47</c:v>
                </c:pt>
                <c:pt idx="27">
                  <c:v>49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66</c:v>
                </c:pt>
                <c:pt idx="36">
                  <c:v>69</c:v>
                </c:pt>
                <c:pt idx="37">
                  <c:v>70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79</c:v>
                </c:pt>
                <c:pt idx="45">
                  <c:v>90</c:v>
                </c:pt>
                <c:pt idx="46">
                  <c:v>95</c:v>
                </c:pt>
                <c:pt idx="47">
                  <c:v>98</c:v>
                </c:pt>
                <c:pt idx="48">
                  <c:v>99</c:v>
                </c:pt>
                <c:pt idx="49">
                  <c:v>100</c:v>
                </c:pt>
                <c:pt idx="50">
                  <c:v>101</c:v>
                </c:pt>
                <c:pt idx="51">
                  <c:v>102</c:v>
                </c:pt>
              </c:numCache>
            </c:numRef>
          </c:xVal>
          <c:yVal>
            <c:numRef>
              <c:f>'Table S9 p.3'!$K$5:$K$56</c:f>
              <c:numCache>
                <c:formatCode>General</c:formatCode>
                <c:ptCount val="52"/>
                <c:pt idx="1">
                  <c:v>46</c:v>
                </c:pt>
                <c:pt idx="2">
                  <c:v>47</c:v>
                </c:pt>
                <c:pt idx="3">
                  <c:v>32</c:v>
                </c:pt>
                <c:pt idx="4">
                  <c:v>29</c:v>
                </c:pt>
                <c:pt idx="5">
                  <c:v>34</c:v>
                </c:pt>
                <c:pt idx="6">
                  <c:v>39</c:v>
                </c:pt>
                <c:pt idx="7">
                  <c:v>24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32</c:v>
                </c:pt>
                <c:pt idx="12">
                  <c:v>28</c:v>
                </c:pt>
                <c:pt idx="13">
                  <c:v>31</c:v>
                </c:pt>
                <c:pt idx="14">
                  <c:v>32</c:v>
                </c:pt>
                <c:pt idx="15">
                  <c:v>34</c:v>
                </c:pt>
                <c:pt idx="16">
                  <c:v>30</c:v>
                </c:pt>
                <c:pt idx="17">
                  <c:v>33</c:v>
                </c:pt>
                <c:pt idx="18">
                  <c:v>28</c:v>
                </c:pt>
                <c:pt idx="19">
                  <c:v>19</c:v>
                </c:pt>
                <c:pt idx="20">
                  <c:v>22</c:v>
                </c:pt>
                <c:pt idx="21">
                  <c:v>24</c:v>
                </c:pt>
                <c:pt idx="22">
                  <c:v>26</c:v>
                </c:pt>
                <c:pt idx="23">
                  <c:v>29</c:v>
                </c:pt>
                <c:pt idx="24">
                  <c:v>27</c:v>
                </c:pt>
                <c:pt idx="25">
                  <c:v>30</c:v>
                </c:pt>
                <c:pt idx="26">
                  <c:v>33</c:v>
                </c:pt>
                <c:pt idx="27">
                  <c:v>26</c:v>
                </c:pt>
                <c:pt idx="28">
                  <c:v>18</c:v>
                </c:pt>
                <c:pt idx="29">
                  <c:v>19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23</c:v>
                </c:pt>
                <c:pt idx="34">
                  <c:v>19</c:v>
                </c:pt>
                <c:pt idx="35">
                  <c:v>20</c:v>
                </c:pt>
                <c:pt idx="36">
                  <c:v>18</c:v>
                </c:pt>
                <c:pt idx="37">
                  <c:v>20</c:v>
                </c:pt>
                <c:pt idx="38">
                  <c:v>21</c:v>
                </c:pt>
                <c:pt idx="39">
                  <c:v>23</c:v>
                </c:pt>
                <c:pt idx="40">
                  <c:v>25</c:v>
                </c:pt>
                <c:pt idx="41">
                  <c:v>27</c:v>
                </c:pt>
                <c:pt idx="42">
                  <c:v>25</c:v>
                </c:pt>
                <c:pt idx="43">
                  <c:v>28</c:v>
                </c:pt>
                <c:pt idx="44">
                  <c:v>30</c:v>
                </c:pt>
                <c:pt idx="45">
                  <c:v>18</c:v>
                </c:pt>
                <c:pt idx="46">
                  <c:v>22</c:v>
                </c:pt>
                <c:pt idx="47">
                  <c:v>21</c:v>
                </c:pt>
                <c:pt idx="48">
                  <c:v>18</c:v>
                </c:pt>
                <c:pt idx="49">
                  <c:v>23</c:v>
                </c:pt>
                <c:pt idx="50">
                  <c:v>20</c:v>
                </c:pt>
                <c:pt idx="51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52-4107-B2AE-ED46934E962E}"/>
            </c:ext>
          </c:extLst>
        </c:ser>
        <c:ser>
          <c:idx val="3"/>
          <c:order val="3"/>
          <c:tx>
            <c:v>Macchi &amp; Coppens (2001)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bg1"/>
              </a:solidFill>
              <a:ln w="15875">
                <a:solidFill>
                  <a:srgbClr val="7030A0"/>
                </a:solidFill>
              </a:ln>
              <a:effectLst/>
            </c:spPr>
          </c:marker>
          <c:xVal>
            <c:numRef>
              <c:f>'Table S9 p.3'!$A$13:$A$19</c:f>
              <c:numCache>
                <c:formatCode>General</c:formatCode>
                <c:ptCount val="7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</c:numCache>
            </c:numRef>
          </c:xVal>
          <c:yVal>
            <c:numRef>
              <c:f>'Table S9 p.3'!$P$13:$P$19</c:f>
              <c:numCache>
                <c:formatCode>0.000</c:formatCode>
                <c:ptCount val="7"/>
                <c:pt idx="0">
                  <c:v>26.550149560209423</c:v>
                </c:pt>
                <c:pt idx="1">
                  <c:v>28.189363467668326</c:v>
                </c:pt>
                <c:pt idx="2">
                  <c:v>29.698506948871888</c:v>
                </c:pt>
                <c:pt idx="3">
                  <c:v>32.531212257079694</c:v>
                </c:pt>
                <c:pt idx="4">
                  <c:v>28.193717289469067</c:v>
                </c:pt>
                <c:pt idx="5">
                  <c:v>31.176085222029361</c:v>
                </c:pt>
                <c:pt idx="6">
                  <c:v>32.629173247565404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52-4107-B2AE-ED46934E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1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15457472210273004"/>
              <c:y val="0.7440003659673259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3rd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022075055187638E-2"/>
              <c:y val="7.60408641227538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29601432271297"/>
          <c:y val="7.175643044619423E-2"/>
          <c:w val="0.30580382915318483"/>
          <c:h val="0.219501716131637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p.4'!$A$5:$A$56</c:f>
              <c:numCache>
                <c:formatCode>General</c:formatCode>
                <c:ptCount val="52"/>
                <c:pt idx="0">
                  <c:v>6</c:v>
                </c:pt>
                <c:pt idx="1">
                  <c:v>7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32</c:v>
                </c:pt>
                <c:pt idx="15">
                  <c:v>35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58</c:v>
                </c:pt>
                <c:pt idx="23">
                  <c:v>59</c:v>
                </c:pt>
                <c:pt idx="24">
                  <c:v>65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90</c:v>
                </c:pt>
                <c:pt idx="32">
                  <c:v>91</c:v>
                </c:pt>
                <c:pt idx="33">
                  <c:v>92</c:v>
                </c:pt>
                <c:pt idx="34">
                  <c:v>93</c:v>
                </c:pt>
                <c:pt idx="35">
                  <c:v>94</c:v>
                </c:pt>
                <c:pt idx="36">
                  <c:v>95</c:v>
                </c:pt>
                <c:pt idx="37">
                  <c:v>96</c:v>
                </c:pt>
                <c:pt idx="38">
                  <c:v>97</c:v>
                </c:pt>
                <c:pt idx="39">
                  <c:v>98</c:v>
                </c:pt>
              </c:numCache>
            </c:numRef>
          </c:xVal>
          <c:yVal>
            <c:numRef>
              <c:f>'Table S9 p.4'!$C$5:$C$56</c:f>
              <c:numCache>
                <c:formatCode>0.000</c:formatCode>
                <c:ptCount val="52"/>
                <c:pt idx="0">
                  <c:v>64.493520000000004</c:v>
                </c:pt>
                <c:pt idx="1">
                  <c:v>77.473500000000001</c:v>
                </c:pt>
                <c:pt idx="2">
                  <c:v>45.14179</c:v>
                </c:pt>
                <c:pt idx="3">
                  <c:v>51.443869999999997</c:v>
                </c:pt>
                <c:pt idx="4">
                  <c:v>47.222000000000001</c:v>
                </c:pt>
                <c:pt idx="5">
                  <c:v>53.24</c:v>
                </c:pt>
                <c:pt idx="6">
                  <c:v>43.26717</c:v>
                </c:pt>
                <c:pt idx="7">
                  <c:v>46.709000000000003</c:v>
                </c:pt>
                <c:pt idx="8">
                  <c:v>49.16</c:v>
                </c:pt>
                <c:pt idx="9">
                  <c:v>51.21</c:v>
                </c:pt>
                <c:pt idx="10">
                  <c:v>54.91</c:v>
                </c:pt>
                <c:pt idx="11">
                  <c:v>51.27</c:v>
                </c:pt>
                <c:pt idx="12">
                  <c:v>54.92</c:v>
                </c:pt>
                <c:pt idx="13">
                  <c:v>57.38</c:v>
                </c:pt>
                <c:pt idx="14">
                  <c:v>45.715499999999999</c:v>
                </c:pt>
                <c:pt idx="15">
                  <c:v>47.781999999999996</c:v>
                </c:pt>
                <c:pt idx="16">
                  <c:v>34.41836</c:v>
                </c:pt>
                <c:pt idx="17">
                  <c:v>37.610999999999997</c:v>
                </c:pt>
                <c:pt idx="18">
                  <c:v>40.33</c:v>
                </c:pt>
                <c:pt idx="19">
                  <c:v>41</c:v>
                </c:pt>
                <c:pt idx="20">
                  <c:v>45</c:v>
                </c:pt>
                <c:pt idx="21">
                  <c:v>42</c:v>
                </c:pt>
                <c:pt idx="22">
                  <c:v>36.905999999999999</c:v>
                </c:pt>
                <c:pt idx="23">
                  <c:v>38.981000000000002</c:v>
                </c:pt>
                <c:pt idx="24">
                  <c:v>39.33</c:v>
                </c:pt>
                <c:pt idx="25">
                  <c:v>33.369999999999997</c:v>
                </c:pt>
                <c:pt idx="26">
                  <c:v>35</c:v>
                </c:pt>
                <c:pt idx="27">
                  <c:v>38.200000000000003</c:v>
                </c:pt>
                <c:pt idx="28">
                  <c:v>39.1</c:v>
                </c:pt>
                <c:pt idx="29">
                  <c:v>41</c:v>
                </c:pt>
                <c:pt idx="30">
                  <c:v>40</c:v>
                </c:pt>
                <c:pt idx="31">
                  <c:v>28.648</c:v>
                </c:pt>
                <c:pt idx="32">
                  <c:v>30.9</c:v>
                </c:pt>
                <c:pt idx="33">
                  <c:v>36.700000000000003</c:v>
                </c:pt>
                <c:pt idx="34">
                  <c:v>33.799999999999997</c:v>
                </c:pt>
                <c:pt idx="35">
                  <c:v>35</c:v>
                </c:pt>
                <c:pt idx="36">
                  <c:v>36.799999999999997</c:v>
                </c:pt>
                <c:pt idx="37">
                  <c:v>37.700000000000003</c:v>
                </c:pt>
                <c:pt idx="38">
                  <c:v>36</c:v>
                </c:pt>
                <c:pt idx="39">
                  <c:v>37.700000000000003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1-4790-BAF0-16FEA4958DAE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p.4'!$A$5:$A$56</c:f>
              <c:numCache>
                <c:formatCode>General</c:formatCode>
                <c:ptCount val="52"/>
                <c:pt idx="0">
                  <c:v>6</c:v>
                </c:pt>
                <c:pt idx="1">
                  <c:v>7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32</c:v>
                </c:pt>
                <c:pt idx="15">
                  <c:v>35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58</c:v>
                </c:pt>
                <c:pt idx="23">
                  <c:v>59</c:v>
                </c:pt>
                <c:pt idx="24">
                  <c:v>65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90</c:v>
                </c:pt>
                <c:pt idx="32">
                  <c:v>91</c:v>
                </c:pt>
                <c:pt idx="33">
                  <c:v>92</c:v>
                </c:pt>
                <c:pt idx="34">
                  <c:v>93</c:v>
                </c:pt>
                <c:pt idx="35">
                  <c:v>94</c:v>
                </c:pt>
                <c:pt idx="36">
                  <c:v>95</c:v>
                </c:pt>
                <c:pt idx="37">
                  <c:v>96</c:v>
                </c:pt>
                <c:pt idx="38">
                  <c:v>97</c:v>
                </c:pt>
                <c:pt idx="39">
                  <c:v>98</c:v>
                </c:pt>
              </c:numCache>
            </c:numRef>
          </c:xVal>
          <c:yVal>
            <c:numRef>
              <c:f>'Table S9 p.4'!$F$5:$F$56</c:f>
              <c:numCache>
                <c:formatCode>General</c:formatCode>
                <c:ptCount val="52"/>
                <c:pt idx="0">
                  <c:v>64.381</c:v>
                </c:pt>
                <c:pt idx="1">
                  <c:v>75.028999999999996</c:v>
                </c:pt>
                <c:pt idx="2">
                  <c:v>44.734000000000002</c:v>
                </c:pt>
                <c:pt idx="3">
                  <c:v>49.81</c:v>
                </c:pt>
                <c:pt idx="4">
                  <c:v>46.466999999999999</c:v>
                </c:pt>
                <c:pt idx="5">
                  <c:v>51.451000000000001</c:v>
                </c:pt>
                <c:pt idx="6">
                  <c:v>42.195999999999998</c:v>
                </c:pt>
                <c:pt idx="7">
                  <c:v>44.517000000000003</c:v>
                </c:pt>
                <c:pt idx="8">
                  <c:v>46.753999999999998</c:v>
                </c:pt>
                <c:pt idx="9">
                  <c:v>48.921999999999997</c:v>
                </c:pt>
                <c:pt idx="10">
                  <c:v>51.031999999999996</c:v>
                </c:pt>
                <c:pt idx="11">
                  <c:v>53.091000000000001</c:v>
                </c:pt>
                <c:pt idx="12">
                  <c:v>55.106999999999999</c:v>
                </c:pt>
                <c:pt idx="13">
                  <c:v>57.082999999999998</c:v>
                </c:pt>
                <c:pt idx="14">
                  <c:v>44.624000000000002</c:v>
                </c:pt>
                <c:pt idx="15">
                  <c:v>45.319000000000003</c:v>
                </c:pt>
                <c:pt idx="16">
                  <c:v>33.323999999999998</c:v>
                </c:pt>
                <c:pt idx="17">
                  <c:v>35.787999999999997</c:v>
                </c:pt>
                <c:pt idx="18">
                  <c:v>38.209000000000003</c:v>
                </c:pt>
                <c:pt idx="19">
                  <c:v>40.598999999999997</c:v>
                </c:pt>
                <c:pt idx="20">
                  <c:v>42.969000000000001</c:v>
                </c:pt>
                <c:pt idx="21">
                  <c:v>45.323999999999998</c:v>
                </c:pt>
                <c:pt idx="22">
                  <c:v>34.843000000000004</c:v>
                </c:pt>
                <c:pt idx="23">
                  <c:v>35.893999999999998</c:v>
                </c:pt>
                <c:pt idx="24">
                  <c:v>40.024999999999999</c:v>
                </c:pt>
                <c:pt idx="25">
                  <c:v>31.957999999999998</c:v>
                </c:pt>
                <c:pt idx="26">
                  <c:v>33.976999999999997</c:v>
                </c:pt>
                <c:pt idx="27">
                  <c:v>35.993000000000002</c:v>
                </c:pt>
                <c:pt idx="28">
                  <c:v>38.008000000000003</c:v>
                </c:pt>
                <c:pt idx="29">
                  <c:v>40.024999999999999</c:v>
                </c:pt>
                <c:pt idx="30">
                  <c:v>42.043999999999997</c:v>
                </c:pt>
                <c:pt idx="31">
                  <c:v>26.437999999999999</c:v>
                </c:pt>
                <c:pt idx="32">
                  <c:v>28.062999999999999</c:v>
                </c:pt>
                <c:pt idx="33">
                  <c:v>29.577000000000002</c:v>
                </c:pt>
                <c:pt idx="34">
                  <c:v>31.004000000000001</c:v>
                </c:pt>
                <c:pt idx="35">
                  <c:v>32.362000000000002</c:v>
                </c:pt>
                <c:pt idx="36">
                  <c:v>33.661000000000001</c:v>
                </c:pt>
                <c:pt idx="37">
                  <c:v>34.908000000000001</c:v>
                </c:pt>
                <c:pt idx="38">
                  <c:v>36.11</c:v>
                </c:pt>
                <c:pt idx="39">
                  <c:v>37.271000000000001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51-4790-BAF0-16FEA4958DAE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p.4'!$A$5:$A$56</c:f>
              <c:numCache>
                <c:formatCode>General</c:formatCode>
                <c:ptCount val="52"/>
                <c:pt idx="0">
                  <c:v>6</c:v>
                </c:pt>
                <c:pt idx="1">
                  <c:v>7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32</c:v>
                </c:pt>
                <c:pt idx="15">
                  <c:v>35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58</c:v>
                </c:pt>
                <c:pt idx="23">
                  <c:v>59</c:v>
                </c:pt>
                <c:pt idx="24">
                  <c:v>65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90</c:v>
                </c:pt>
                <c:pt idx="32">
                  <c:v>91</c:v>
                </c:pt>
                <c:pt idx="33">
                  <c:v>92</c:v>
                </c:pt>
                <c:pt idx="34">
                  <c:v>93</c:v>
                </c:pt>
                <c:pt idx="35">
                  <c:v>94</c:v>
                </c:pt>
                <c:pt idx="36">
                  <c:v>95</c:v>
                </c:pt>
                <c:pt idx="37">
                  <c:v>96</c:v>
                </c:pt>
                <c:pt idx="38">
                  <c:v>97</c:v>
                </c:pt>
                <c:pt idx="39">
                  <c:v>98</c:v>
                </c:pt>
              </c:numCache>
            </c:numRef>
          </c:xVal>
          <c:yVal>
            <c:numRef>
              <c:f>'Table S9 p.4'!$K$5:$K$56</c:f>
              <c:numCache>
                <c:formatCode>General</c:formatCode>
                <c:ptCount val="52"/>
                <c:pt idx="1">
                  <c:v>75</c:v>
                </c:pt>
                <c:pt idx="2">
                  <c:v>45</c:v>
                </c:pt>
                <c:pt idx="3">
                  <c:v>50</c:v>
                </c:pt>
                <c:pt idx="4">
                  <c:v>46</c:v>
                </c:pt>
                <c:pt idx="5">
                  <c:v>53</c:v>
                </c:pt>
                <c:pt idx="6">
                  <c:v>42</c:v>
                </c:pt>
                <c:pt idx="7">
                  <c:v>46</c:v>
                </c:pt>
                <c:pt idx="8">
                  <c:v>48</c:v>
                </c:pt>
                <c:pt idx="9">
                  <c:v>50</c:v>
                </c:pt>
                <c:pt idx="10">
                  <c:v>54</c:v>
                </c:pt>
                <c:pt idx="11">
                  <c:v>49</c:v>
                </c:pt>
                <c:pt idx="12">
                  <c:v>53</c:v>
                </c:pt>
                <c:pt idx="13">
                  <c:v>55</c:v>
                </c:pt>
                <c:pt idx="14">
                  <c:v>44</c:v>
                </c:pt>
                <c:pt idx="15">
                  <c:v>46</c:v>
                </c:pt>
                <c:pt idx="16">
                  <c:v>34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  <c:pt idx="20">
                  <c:v>45</c:v>
                </c:pt>
                <c:pt idx="21">
                  <c:v>42</c:v>
                </c:pt>
                <c:pt idx="22">
                  <c:v>35</c:v>
                </c:pt>
                <c:pt idx="23">
                  <c:v>38</c:v>
                </c:pt>
                <c:pt idx="24">
                  <c:v>36</c:v>
                </c:pt>
                <c:pt idx="25">
                  <c:v>33</c:v>
                </c:pt>
                <c:pt idx="26">
                  <c:v>35</c:v>
                </c:pt>
                <c:pt idx="27">
                  <c:v>36</c:v>
                </c:pt>
                <c:pt idx="28">
                  <c:v>39</c:v>
                </c:pt>
                <c:pt idx="29">
                  <c:v>41</c:v>
                </c:pt>
                <c:pt idx="30">
                  <c:v>40</c:v>
                </c:pt>
                <c:pt idx="31">
                  <c:v>27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38</c:v>
                </c:pt>
                <c:pt idx="38">
                  <c:v>34</c:v>
                </c:pt>
                <c:pt idx="39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51-4790-BAF0-16FEA4958DAE}"/>
            </c:ext>
          </c:extLst>
        </c:ser>
        <c:ser>
          <c:idx val="3"/>
          <c:order val="3"/>
          <c:tx>
            <c:v>Macchi &amp; Coppens (2001)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bg1"/>
              </a:solidFill>
              <a:ln w="15875">
                <a:solidFill>
                  <a:srgbClr val="7030A0"/>
                </a:solidFill>
              </a:ln>
              <a:effectLst/>
            </c:spPr>
          </c:marker>
          <c:xVal>
            <c:numRef>
              <c:f>'Table S9 p.4'!$A$11:$A$26</c:f>
              <c:numCache>
                <c:formatCode>General</c:formatCode>
                <c:ptCount val="1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32</c:v>
                </c:pt>
                <c:pt idx="9">
                  <c:v>35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</c:numCache>
            </c:numRef>
          </c:xVal>
          <c:yVal>
            <c:numRef>
              <c:f>'Table S9 p.4'!$P$11:$P$26</c:f>
              <c:numCache>
                <c:formatCode>0.00000000</c:formatCode>
                <c:ptCount val="16"/>
                <c:pt idx="0" formatCode="0.000">
                  <c:v>35.426231639791254</c:v>
                </c:pt>
                <c:pt idx="3" formatCode="0.000">
                  <c:v>50.115210049234634</c:v>
                </c:pt>
                <c:pt idx="14" formatCode="0.000">
                  <c:v>44.825316563006012</c:v>
                </c:pt>
                <c:pt idx="15" formatCode="0.000">
                  <c:v>42.740924376579208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51-4790-BAF0-16FEA495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9398824286037093"/>
              <c:y val="0.70743484756713104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ax val="8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4th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1601796220970008E-2"/>
              <c:y val="0.13616463724527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29601432271297"/>
          <c:y val="7.175643044619423E-2"/>
          <c:w val="0.33272385322695591"/>
          <c:h val="0.219501716131637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p.5'!$A$5:$A$41</c:f>
              <c:numCache>
                <c:formatCode>General</c:formatCode>
                <c:ptCount val="37"/>
                <c:pt idx="0">
                  <c:v>7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35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52</c:v>
                </c:pt>
                <c:pt idx="16">
                  <c:v>73</c:v>
                </c:pt>
                <c:pt idx="17">
                  <c:v>74</c:v>
                </c:pt>
                <c:pt idx="18">
                  <c:v>75</c:v>
                </c:pt>
                <c:pt idx="19">
                  <c:v>76</c:v>
                </c:pt>
                <c:pt idx="20">
                  <c:v>77</c:v>
                </c:pt>
                <c:pt idx="21">
                  <c:v>78</c:v>
                </c:pt>
                <c:pt idx="22">
                  <c:v>91</c:v>
                </c:pt>
                <c:pt idx="23">
                  <c:v>92</c:v>
                </c:pt>
                <c:pt idx="24">
                  <c:v>93</c:v>
                </c:pt>
                <c:pt idx="25">
                  <c:v>94</c:v>
                </c:pt>
                <c:pt idx="26">
                  <c:v>95</c:v>
                </c:pt>
              </c:numCache>
            </c:numRef>
          </c:xVal>
          <c:yVal>
            <c:numRef>
              <c:f>'Table S9 p.5'!$C$5:$C$41</c:f>
              <c:numCache>
                <c:formatCode>0.000</c:formatCode>
                <c:ptCount val="37"/>
                <c:pt idx="0">
                  <c:v>97.89</c:v>
                </c:pt>
                <c:pt idx="1">
                  <c:v>65.025109999999998</c:v>
                </c:pt>
                <c:pt idx="2">
                  <c:v>72.594499999999996</c:v>
                </c:pt>
                <c:pt idx="3">
                  <c:v>67.680000000000007</c:v>
                </c:pt>
                <c:pt idx="4">
                  <c:v>65.281649999999999</c:v>
                </c:pt>
                <c:pt idx="5">
                  <c:v>69.459999999999994</c:v>
                </c:pt>
                <c:pt idx="6">
                  <c:v>72.41</c:v>
                </c:pt>
                <c:pt idx="7">
                  <c:v>75</c:v>
                </c:pt>
                <c:pt idx="8">
                  <c:v>79.5</c:v>
                </c:pt>
                <c:pt idx="9">
                  <c:v>59.594999999999999</c:v>
                </c:pt>
                <c:pt idx="10">
                  <c:v>50.572800000000001</c:v>
                </c:pt>
                <c:pt idx="11">
                  <c:v>54.417000000000002</c:v>
                </c:pt>
                <c:pt idx="12" formatCode="0.0">
                  <c:v>57</c:v>
                </c:pt>
                <c:pt idx="13" formatCode="0.0">
                  <c:v>59</c:v>
                </c:pt>
                <c:pt idx="14" formatCode="0.0">
                  <c:v>63</c:v>
                </c:pt>
                <c:pt idx="15">
                  <c:v>59.3</c:v>
                </c:pt>
                <c:pt idx="16">
                  <c:v>48.271999999999998</c:v>
                </c:pt>
                <c:pt idx="17" formatCode="0.0">
                  <c:v>51.6</c:v>
                </c:pt>
                <c:pt idx="18" formatCode="0.0">
                  <c:v>51.9</c:v>
                </c:pt>
                <c:pt idx="19" formatCode="0.0">
                  <c:v>55</c:v>
                </c:pt>
                <c:pt idx="20" formatCode="0.0">
                  <c:v>57</c:v>
                </c:pt>
                <c:pt idx="21" formatCode="0.0">
                  <c:v>56</c:v>
                </c:pt>
                <c:pt idx="22" formatCode="0.0">
                  <c:v>44.3</c:v>
                </c:pt>
                <c:pt idx="23" formatCode="0.0">
                  <c:v>46</c:v>
                </c:pt>
                <c:pt idx="24" formatCode="0.0">
                  <c:v>48</c:v>
                </c:pt>
                <c:pt idx="25" formatCode="0.0">
                  <c:v>49</c:v>
                </c:pt>
                <c:pt idx="26" formatCode="0.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A-4B2E-84EE-435D8450EB9F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p.5'!$A$5:$A$41</c:f>
              <c:numCache>
                <c:formatCode>General</c:formatCode>
                <c:ptCount val="37"/>
                <c:pt idx="0">
                  <c:v>7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35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52</c:v>
                </c:pt>
                <c:pt idx="16">
                  <c:v>73</c:v>
                </c:pt>
                <c:pt idx="17">
                  <c:v>74</c:v>
                </c:pt>
                <c:pt idx="18">
                  <c:v>75</c:v>
                </c:pt>
                <c:pt idx="19">
                  <c:v>76</c:v>
                </c:pt>
                <c:pt idx="20">
                  <c:v>77</c:v>
                </c:pt>
                <c:pt idx="21">
                  <c:v>78</c:v>
                </c:pt>
                <c:pt idx="22">
                  <c:v>91</c:v>
                </c:pt>
                <c:pt idx="23">
                  <c:v>92</c:v>
                </c:pt>
                <c:pt idx="24">
                  <c:v>93</c:v>
                </c:pt>
                <c:pt idx="25">
                  <c:v>94</c:v>
                </c:pt>
                <c:pt idx="26">
                  <c:v>95</c:v>
                </c:pt>
              </c:numCache>
            </c:numRef>
          </c:xVal>
          <c:yVal>
            <c:numRef>
              <c:f>'Table S9 p.5'!$F$5:$F$41</c:f>
              <c:numCache>
                <c:formatCode>General</c:formatCode>
                <c:ptCount val="37"/>
                <c:pt idx="0">
                  <c:v>97.772000000000006</c:v>
                </c:pt>
                <c:pt idx="1">
                  <c:v>64.581999999999994</c:v>
                </c:pt>
                <c:pt idx="2">
                  <c:v>70.811999999999998</c:v>
                </c:pt>
                <c:pt idx="3">
                  <c:v>66.731999999999999</c:v>
                </c:pt>
                <c:pt idx="4">
                  <c:v>64.182000000000002</c:v>
                </c:pt>
                <c:pt idx="5">
                  <c:v>67.084999999999994</c:v>
                </c:pt>
                <c:pt idx="6">
                  <c:v>69.918999999999997</c:v>
                </c:pt>
                <c:pt idx="7">
                  <c:v>72.692999999999998</c:v>
                </c:pt>
                <c:pt idx="8">
                  <c:v>75.412999999999997</c:v>
                </c:pt>
                <c:pt idx="9">
                  <c:v>58.343000000000004</c:v>
                </c:pt>
                <c:pt idx="10">
                  <c:v>49.359000000000002</c:v>
                </c:pt>
                <c:pt idx="11">
                  <c:v>52.338000000000001</c:v>
                </c:pt>
                <c:pt idx="12">
                  <c:v>55.283999999999999</c:v>
                </c:pt>
                <c:pt idx="13">
                  <c:v>58.206000000000003</c:v>
                </c:pt>
                <c:pt idx="14">
                  <c:v>61.11</c:v>
                </c:pt>
                <c:pt idx="15">
                  <c:v>56.267000000000003</c:v>
                </c:pt>
                <c:pt idx="16">
                  <c:v>46.673999999999999</c:v>
                </c:pt>
                <c:pt idx="17">
                  <c:v>49.052999999999997</c:v>
                </c:pt>
                <c:pt idx="18">
                  <c:v>51.439</c:v>
                </c:pt>
                <c:pt idx="19">
                  <c:v>53.831000000000003</c:v>
                </c:pt>
                <c:pt idx="20">
                  <c:v>56.228999999999999</c:v>
                </c:pt>
                <c:pt idx="21">
                  <c:v>58.634</c:v>
                </c:pt>
                <c:pt idx="22">
                  <c:v>42.612000000000002</c:v>
                </c:pt>
                <c:pt idx="23">
                  <c:v>44.475999999999999</c:v>
                </c:pt>
                <c:pt idx="24">
                  <c:v>46.250999999999998</c:v>
                </c:pt>
                <c:pt idx="25">
                  <c:v>47.953000000000003</c:v>
                </c:pt>
                <c:pt idx="26">
                  <c:v>49.591000000000001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6A-4B2E-84EE-435D8450EB9F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p.5'!$A$5:$A$41</c:f>
              <c:numCache>
                <c:formatCode>General</c:formatCode>
                <c:ptCount val="37"/>
                <c:pt idx="0">
                  <c:v>7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35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52</c:v>
                </c:pt>
                <c:pt idx="16">
                  <c:v>73</c:v>
                </c:pt>
                <c:pt idx="17">
                  <c:v>74</c:v>
                </c:pt>
                <c:pt idx="18">
                  <c:v>75</c:v>
                </c:pt>
                <c:pt idx="19">
                  <c:v>76</c:v>
                </c:pt>
                <c:pt idx="20">
                  <c:v>77</c:v>
                </c:pt>
                <c:pt idx="21">
                  <c:v>78</c:v>
                </c:pt>
                <c:pt idx="22">
                  <c:v>91</c:v>
                </c:pt>
                <c:pt idx="23">
                  <c:v>92</c:v>
                </c:pt>
                <c:pt idx="24">
                  <c:v>93</c:v>
                </c:pt>
                <c:pt idx="25">
                  <c:v>94</c:v>
                </c:pt>
                <c:pt idx="26">
                  <c:v>95</c:v>
                </c:pt>
              </c:numCache>
            </c:numRef>
          </c:xVal>
          <c:yVal>
            <c:numRef>
              <c:f>'Table S9 p.5'!$K$5:$K$41</c:f>
              <c:numCache>
                <c:formatCode>General</c:formatCode>
                <c:ptCount val="37"/>
                <c:pt idx="1">
                  <c:v>65</c:v>
                </c:pt>
                <c:pt idx="2">
                  <c:v>71</c:v>
                </c:pt>
                <c:pt idx="3">
                  <c:v>67</c:v>
                </c:pt>
                <c:pt idx="4">
                  <c:v>64</c:v>
                </c:pt>
                <c:pt idx="5">
                  <c:v>69</c:v>
                </c:pt>
                <c:pt idx="6">
                  <c:v>72</c:v>
                </c:pt>
                <c:pt idx="7">
                  <c:v>74</c:v>
                </c:pt>
                <c:pt idx="8">
                  <c:v>78</c:v>
                </c:pt>
                <c:pt idx="9">
                  <c:v>59</c:v>
                </c:pt>
                <c:pt idx="10">
                  <c:v>49</c:v>
                </c:pt>
                <c:pt idx="11">
                  <c:v>53</c:v>
                </c:pt>
                <c:pt idx="12">
                  <c:v>57</c:v>
                </c:pt>
                <c:pt idx="13">
                  <c:v>59</c:v>
                </c:pt>
                <c:pt idx="14">
                  <c:v>63</c:v>
                </c:pt>
                <c:pt idx="15">
                  <c:v>56</c:v>
                </c:pt>
                <c:pt idx="16">
                  <c:v>47</c:v>
                </c:pt>
                <c:pt idx="17">
                  <c:v>51</c:v>
                </c:pt>
                <c:pt idx="18">
                  <c:v>52</c:v>
                </c:pt>
                <c:pt idx="19">
                  <c:v>55</c:v>
                </c:pt>
                <c:pt idx="20">
                  <c:v>57</c:v>
                </c:pt>
                <c:pt idx="21">
                  <c:v>56</c:v>
                </c:pt>
                <c:pt idx="22">
                  <c:v>43</c:v>
                </c:pt>
                <c:pt idx="23">
                  <c:v>46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6A-4B2E-84EE-435D8450E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9398824286037093"/>
              <c:y val="0.70743484756713104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5th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4388299968459582E-2"/>
              <c:y val="0.15087069473458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29601432271297"/>
          <c:y val="7.175643044619423E-2"/>
          <c:w val="0.33272385322695591"/>
          <c:h val="0.219501716131637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p.6'!$A$5:$A$35</c:f>
              <c:numCache>
                <c:formatCode>General</c:formatCode>
                <c:ptCount val="31"/>
                <c:pt idx="0">
                  <c:v>16</c:v>
                </c:pt>
                <c:pt idx="1">
                  <c:v>17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52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92</c:v>
                </c:pt>
                <c:pt idx="16">
                  <c:v>93</c:v>
                </c:pt>
                <c:pt idx="17">
                  <c:v>94</c:v>
                </c:pt>
                <c:pt idx="18">
                  <c:v>95</c:v>
                </c:pt>
              </c:numCache>
            </c:numRef>
          </c:xVal>
          <c:yVal>
            <c:numRef>
              <c:f>'Table S9 p.6'!$C$5:$C$35</c:f>
              <c:numCache>
                <c:formatCode>0.000</c:formatCode>
                <c:ptCount val="31"/>
                <c:pt idx="0">
                  <c:v>88.052899999999994</c:v>
                </c:pt>
                <c:pt idx="1">
                  <c:v>96.94</c:v>
                </c:pt>
                <c:pt idx="2">
                  <c:v>90.634900000000002</c:v>
                </c:pt>
                <c:pt idx="3">
                  <c:v>95.603999999999999</c:v>
                </c:pt>
                <c:pt idx="4">
                  <c:v>98.984999999999999</c:v>
                </c:pt>
                <c:pt idx="5">
                  <c:v>68.827039999999997</c:v>
                </c:pt>
                <c:pt idx="6" formatCode="0.0">
                  <c:v>72</c:v>
                </c:pt>
                <c:pt idx="7" formatCode="0.0">
                  <c:v>76</c:v>
                </c:pt>
                <c:pt idx="8" formatCode="0.0">
                  <c:v>80</c:v>
                </c:pt>
                <c:pt idx="9" formatCode="0.0">
                  <c:v>69.099999999999994</c:v>
                </c:pt>
                <c:pt idx="10" formatCode="0.00">
                  <c:v>64.77</c:v>
                </c:pt>
                <c:pt idx="11" formatCode="0.0">
                  <c:v>67</c:v>
                </c:pt>
                <c:pt idx="12" formatCode="0.0">
                  <c:v>70.099999999999994</c:v>
                </c:pt>
                <c:pt idx="13" formatCode="0.0">
                  <c:v>72</c:v>
                </c:pt>
                <c:pt idx="14" formatCode="0.0">
                  <c:v>75</c:v>
                </c:pt>
                <c:pt idx="15" formatCode="0.0">
                  <c:v>62</c:v>
                </c:pt>
                <c:pt idx="16" formatCode="0.0">
                  <c:v>65</c:v>
                </c:pt>
                <c:pt idx="17" formatCode="0.0">
                  <c:v>80</c:v>
                </c:pt>
                <c:pt idx="18" formatCode="0.0">
                  <c:v>67.900000000000006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D-4D1F-AFD0-8217998E0697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p.6'!$A$5:$A$35</c:f>
              <c:numCache>
                <c:formatCode>General</c:formatCode>
                <c:ptCount val="31"/>
                <c:pt idx="0">
                  <c:v>16</c:v>
                </c:pt>
                <c:pt idx="1">
                  <c:v>17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52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92</c:v>
                </c:pt>
                <c:pt idx="16">
                  <c:v>93</c:v>
                </c:pt>
                <c:pt idx="17">
                  <c:v>94</c:v>
                </c:pt>
                <c:pt idx="18">
                  <c:v>95</c:v>
                </c:pt>
              </c:numCache>
            </c:numRef>
          </c:xVal>
          <c:yVal>
            <c:numRef>
              <c:f>'Table S9 p.6'!$F$5:$F$35</c:f>
              <c:numCache>
                <c:formatCode>General</c:formatCode>
                <c:ptCount val="31"/>
                <c:pt idx="0">
                  <c:v>87.584999999999994</c:v>
                </c:pt>
                <c:pt idx="1">
                  <c:v>94.981999999999999</c:v>
                </c:pt>
                <c:pt idx="2">
                  <c:v>89.509</c:v>
                </c:pt>
                <c:pt idx="3">
                  <c:v>93.021000000000001</c:v>
                </c:pt>
                <c:pt idx="4">
                  <c:v>96.471000000000004</c:v>
                </c:pt>
                <c:pt idx="5">
                  <c:v>67.501000000000005</c:v>
                </c:pt>
                <c:pt idx="6">
                  <c:v>70.998999999999995</c:v>
                </c:pt>
                <c:pt idx="7">
                  <c:v>74.471000000000004</c:v>
                </c:pt>
                <c:pt idx="8">
                  <c:v>77.921000000000006</c:v>
                </c:pt>
                <c:pt idx="9">
                  <c:v>69.022000000000006</c:v>
                </c:pt>
                <c:pt idx="10">
                  <c:v>62.984000000000002</c:v>
                </c:pt>
                <c:pt idx="11">
                  <c:v>65.728999999999999</c:v>
                </c:pt>
                <c:pt idx="12">
                  <c:v>68.484999999999999</c:v>
                </c:pt>
                <c:pt idx="13">
                  <c:v>71.25</c:v>
                </c:pt>
                <c:pt idx="14">
                  <c:v>74.025000000000006</c:v>
                </c:pt>
                <c:pt idx="15">
                  <c:v>60.561</c:v>
                </c:pt>
                <c:pt idx="16">
                  <c:v>62.67</c:v>
                </c:pt>
                <c:pt idx="17">
                  <c:v>64.703000000000003</c:v>
                </c:pt>
                <c:pt idx="18">
                  <c:v>66.67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ED-4D1F-AFD0-8217998E0697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p.6'!$A$5:$A$35</c:f>
              <c:numCache>
                <c:formatCode>General</c:formatCode>
                <c:ptCount val="31"/>
                <c:pt idx="0">
                  <c:v>16</c:v>
                </c:pt>
                <c:pt idx="1">
                  <c:v>17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52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92</c:v>
                </c:pt>
                <c:pt idx="16">
                  <c:v>93</c:v>
                </c:pt>
                <c:pt idx="17">
                  <c:v>94</c:v>
                </c:pt>
                <c:pt idx="18">
                  <c:v>95</c:v>
                </c:pt>
              </c:numCache>
            </c:numRef>
          </c:xVal>
          <c:yVal>
            <c:numRef>
              <c:f>'Table S9 p.6'!$K$5:$K$35</c:f>
              <c:numCache>
                <c:formatCode>General</c:formatCode>
                <c:ptCount val="31"/>
                <c:pt idx="0">
                  <c:v>88</c:v>
                </c:pt>
                <c:pt idx="1">
                  <c:v>95</c:v>
                </c:pt>
                <c:pt idx="2">
                  <c:v>90</c:v>
                </c:pt>
                <c:pt idx="3">
                  <c:v>95</c:v>
                </c:pt>
                <c:pt idx="4">
                  <c:v>98</c:v>
                </c:pt>
                <c:pt idx="5">
                  <c:v>68</c:v>
                </c:pt>
                <c:pt idx="6">
                  <c:v>72</c:v>
                </c:pt>
                <c:pt idx="7">
                  <c:v>76</c:v>
                </c:pt>
                <c:pt idx="8">
                  <c:v>80</c:v>
                </c:pt>
                <c:pt idx="9">
                  <c:v>69</c:v>
                </c:pt>
                <c:pt idx="10">
                  <c:v>63</c:v>
                </c:pt>
                <c:pt idx="11">
                  <c:v>67</c:v>
                </c:pt>
                <c:pt idx="12">
                  <c:v>70</c:v>
                </c:pt>
                <c:pt idx="13">
                  <c:v>72</c:v>
                </c:pt>
                <c:pt idx="14">
                  <c:v>75</c:v>
                </c:pt>
                <c:pt idx="15">
                  <c:v>61</c:v>
                </c:pt>
                <c:pt idx="16">
                  <c:v>65</c:v>
                </c:pt>
                <c:pt idx="17">
                  <c:v>67</c:v>
                </c:pt>
                <c:pt idx="18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ED-4D1F-AFD0-8217998E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1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9398824286037093"/>
              <c:y val="0.70743484756713104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ax val="103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aseline="0">
                    <a:solidFill>
                      <a:sysClr val="windowText" lastClr="000000"/>
                    </a:solidFill>
                  </a:rPr>
                  <a:t>6th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022075055187638E-2"/>
              <c:y val="7.60408641227538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491411586796688"/>
          <c:y val="4.4936481450363094E-2"/>
          <c:w val="0.28327572960664688"/>
          <c:h val="0.219501716131637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p.7'!$A$5:$A$24</c:f>
              <c:numCache>
                <c:formatCode>General</c:formatCode>
                <c:ptCount val="20"/>
                <c:pt idx="0">
                  <c:v>17</c:v>
                </c:pt>
                <c:pt idx="1">
                  <c:v>25</c:v>
                </c:pt>
                <c:pt idx="2">
                  <c:v>43</c:v>
                </c:pt>
                <c:pt idx="3">
                  <c:v>44</c:v>
                </c:pt>
                <c:pt idx="4">
                  <c:v>75</c:v>
                </c:pt>
                <c:pt idx="5">
                  <c:v>76</c:v>
                </c:pt>
                <c:pt idx="6">
                  <c:v>93</c:v>
                </c:pt>
                <c:pt idx="7">
                  <c:v>94</c:v>
                </c:pt>
              </c:numCache>
            </c:numRef>
          </c:xVal>
          <c:yVal>
            <c:numRef>
              <c:f>'Table S9 p.7'!$C$5:$C$24</c:f>
              <c:numCache>
                <c:formatCode>0.000</c:formatCode>
                <c:ptCount val="20"/>
                <c:pt idx="0">
                  <c:v>114.2013</c:v>
                </c:pt>
                <c:pt idx="1">
                  <c:v>119.203</c:v>
                </c:pt>
                <c:pt idx="2" formatCode="0.0">
                  <c:v>88</c:v>
                </c:pt>
                <c:pt idx="3" formatCode="0.0">
                  <c:v>93</c:v>
                </c:pt>
                <c:pt idx="4" formatCode="0.00">
                  <c:v>82.71</c:v>
                </c:pt>
                <c:pt idx="5" formatCode="0.0">
                  <c:v>85.1</c:v>
                </c:pt>
                <c:pt idx="6" formatCode="0.0">
                  <c:v>92</c:v>
                </c:pt>
                <c:pt idx="7" formatCode="0.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4-4A9E-906D-D7B8F03935A5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p.7'!$A$5:$A$24</c:f>
              <c:numCache>
                <c:formatCode>General</c:formatCode>
                <c:ptCount val="20"/>
                <c:pt idx="0">
                  <c:v>17</c:v>
                </c:pt>
                <c:pt idx="1">
                  <c:v>25</c:v>
                </c:pt>
                <c:pt idx="2">
                  <c:v>43</c:v>
                </c:pt>
                <c:pt idx="3">
                  <c:v>44</c:v>
                </c:pt>
                <c:pt idx="4">
                  <c:v>75</c:v>
                </c:pt>
                <c:pt idx="5">
                  <c:v>76</c:v>
                </c:pt>
                <c:pt idx="6">
                  <c:v>93</c:v>
                </c:pt>
                <c:pt idx="7">
                  <c:v>94</c:v>
                </c:pt>
              </c:numCache>
            </c:numRef>
          </c:xVal>
          <c:yVal>
            <c:numRef>
              <c:f>'Table S9 p.7'!$F$5:$F$24</c:f>
              <c:numCache>
                <c:formatCode>General</c:formatCode>
                <c:ptCount val="20"/>
                <c:pt idx="0">
                  <c:v>113.715</c:v>
                </c:pt>
                <c:pt idx="1">
                  <c:v>118.08799999999999</c:v>
                </c:pt>
                <c:pt idx="2">
                  <c:v>87.656000000000006</c:v>
                </c:pt>
                <c:pt idx="3">
                  <c:v>91.676000000000002</c:v>
                </c:pt>
                <c:pt idx="4">
                  <c:v>80.78</c:v>
                </c:pt>
                <c:pt idx="5">
                  <c:v>83.894000000000005</c:v>
                </c:pt>
                <c:pt idx="6">
                  <c:v>80.113</c:v>
                </c:pt>
                <c:pt idx="7">
                  <c:v>82.472999999999999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D4-4A9E-906D-D7B8F03935A5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p.7'!$A$5:$A$24</c:f>
              <c:numCache>
                <c:formatCode>General</c:formatCode>
                <c:ptCount val="20"/>
                <c:pt idx="0">
                  <c:v>17</c:v>
                </c:pt>
                <c:pt idx="1">
                  <c:v>25</c:v>
                </c:pt>
                <c:pt idx="2">
                  <c:v>43</c:v>
                </c:pt>
                <c:pt idx="3">
                  <c:v>44</c:v>
                </c:pt>
                <c:pt idx="4">
                  <c:v>75</c:v>
                </c:pt>
                <c:pt idx="5">
                  <c:v>76</c:v>
                </c:pt>
                <c:pt idx="6">
                  <c:v>93</c:v>
                </c:pt>
                <c:pt idx="7">
                  <c:v>94</c:v>
                </c:pt>
              </c:numCache>
            </c:numRef>
          </c:xVal>
          <c:yVal>
            <c:numRef>
              <c:f>'Table S9 p.7'!$K$5:$K$24</c:f>
              <c:numCache>
                <c:formatCode>General</c:formatCode>
                <c:ptCount val="20"/>
                <c:pt idx="0">
                  <c:v>113</c:v>
                </c:pt>
                <c:pt idx="1">
                  <c:v>118</c:v>
                </c:pt>
                <c:pt idx="2">
                  <c:v>88</c:v>
                </c:pt>
                <c:pt idx="3">
                  <c:v>93</c:v>
                </c:pt>
                <c:pt idx="4">
                  <c:v>82</c:v>
                </c:pt>
                <c:pt idx="5">
                  <c:v>85</c:v>
                </c:pt>
                <c:pt idx="6">
                  <c:v>81</c:v>
                </c:pt>
                <c:pt idx="7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D4-4A9E-906D-D7B8F0393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10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9398824286037093"/>
              <c:y val="0.70743484756713104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  <c:max val="122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aseline="0">
                    <a:solidFill>
                      <a:sysClr val="windowText" lastClr="000000"/>
                    </a:solidFill>
                  </a:rPr>
                  <a:t>7th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022070122879045E-2"/>
              <c:y val="0.15729646947558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29601432271297"/>
          <c:y val="7.175643044619423E-2"/>
          <c:w val="0.30252921988378617"/>
          <c:h val="0.219501716131637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8362100432812"/>
          <c:y val="7.1900827781142748E-2"/>
          <c:w val="0.83255302358728334"/>
          <c:h val="0.76850587522713487"/>
        </c:manualLayout>
      </c:layout>
      <c:scatterChart>
        <c:scatterStyle val="lineMarker"/>
        <c:varyColors val="0"/>
        <c:ser>
          <c:idx val="0"/>
          <c:order val="0"/>
          <c:tx>
            <c:v>Kramida et al. (2021)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'Table S9 p.8'!$A$5:$A$35</c:f>
              <c:numCache>
                <c:formatCode>General</c:formatCode>
                <c:ptCount val="31"/>
                <c:pt idx="0">
                  <c:v>44</c:v>
                </c:pt>
                <c:pt idx="1">
                  <c:v>76</c:v>
                </c:pt>
              </c:numCache>
            </c:numRef>
          </c:xVal>
          <c:yVal>
            <c:numRef>
              <c:f>'Table S9 p.8'!$C$5:$C$35</c:f>
              <c:numCache>
                <c:formatCode>0.0</c:formatCode>
                <c:ptCount val="31"/>
                <c:pt idx="0">
                  <c:v>110</c:v>
                </c:pt>
                <c:pt idx="1">
                  <c:v>102.02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9-48AC-980B-88CFB02E819D}"/>
            </c:ext>
          </c:extLst>
        </c:ser>
        <c:ser>
          <c:idx val="1"/>
          <c:order val="1"/>
          <c:tx>
            <c:v>This work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12700">
                <a:noFill/>
              </a:ln>
              <a:effectLst/>
            </c:spPr>
          </c:marker>
          <c:xVal>
            <c:numRef>
              <c:f>'Table S9 p.8'!$A$5:$A$35</c:f>
              <c:numCache>
                <c:formatCode>General</c:formatCode>
                <c:ptCount val="31"/>
                <c:pt idx="0">
                  <c:v>44</c:v>
                </c:pt>
                <c:pt idx="1">
                  <c:v>76</c:v>
                </c:pt>
              </c:numCache>
            </c:numRef>
          </c:xVal>
          <c:yVal>
            <c:numRef>
              <c:f>'Table S9 p.8'!$F$5:$F$35</c:f>
              <c:numCache>
                <c:formatCode>General</c:formatCode>
                <c:ptCount val="31"/>
                <c:pt idx="0">
                  <c:v>109.761</c:v>
                </c:pt>
                <c:pt idx="1">
                  <c:v>99.992999999999995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99-48AC-980B-88CFB02E819D}"/>
            </c:ext>
          </c:extLst>
        </c:ser>
        <c:ser>
          <c:idx val="2"/>
          <c:order val="2"/>
          <c:tx>
            <c:v>Rodrigues et al. (2004)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0000FF"/>
              </a:solidFill>
              <a:ln w="12700">
                <a:noFill/>
              </a:ln>
              <a:effectLst/>
            </c:spPr>
          </c:marker>
          <c:xVal>
            <c:numRef>
              <c:f>'Table S9 p.8'!$A$5:$A$35</c:f>
              <c:numCache>
                <c:formatCode>General</c:formatCode>
                <c:ptCount val="31"/>
                <c:pt idx="0">
                  <c:v>44</c:v>
                </c:pt>
                <c:pt idx="1">
                  <c:v>76</c:v>
                </c:pt>
              </c:numCache>
            </c:numRef>
          </c:xVal>
          <c:yVal>
            <c:numRef>
              <c:f>'Table S9 p.8'!$K$5:$K$35</c:f>
              <c:numCache>
                <c:formatCode>General</c:formatCode>
                <c:ptCount val="31"/>
                <c:pt idx="0">
                  <c:v>110</c:v>
                </c:pt>
                <c:pt idx="1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99-48AC-980B-88CFB02E8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95440"/>
        <c:axId val="1466287952"/>
      </c:scatterChart>
      <c:valAx>
        <c:axId val="1466295440"/>
        <c:scaling>
          <c:orientation val="minMax"/>
          <c:max val="8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1">
                    <a:solidFill>
                      <a:sysClr val="windowText" lastClr="000000"/>
                    </a:solidFill>
                  </a:rPr>
                  <a:t>Z</a:t>
                </a:r>
              </a:p>
            </c:rich>
          </c:tx>
          <c:layout>
            <c:manualLayout>
              <c:xMode val="edge"/>
              <c:yMode val="edge"/>
              <c:x val="0.9398824286037093"/>
              <c:y val="0.70743484756713104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87952"/>
        <c:crosses val="autoZero"/>
        <c:crossBetween val="midCat"/>
        <c:majorUnit val="5"/>
      </c:valAx>
      <c:valAx>
        <c:axId val="14662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aseline="0">
                    <a:solidFill>
                      <a:sysClr val="windowText" lastClr="000000"/>
                    </a:solidFill>
                  </a:rPr>
                  <a:t>8th ionization energy (eV)</a:t>
                </a:r>
                <a:endParaRPr lang="en-US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022017793736915E-2"/>
              <c:y val="0.15851498809021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9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29601432271297"/>
          <c:y val="7.175643044619423E-2"/>
          <c:w val="0.28807413478882787"/>
          <c:h val="0.219501716131637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161924</xdr:colOff>
      <xdr:row>15</xdr:row>
      <xdr:rowOff>66675</xdr:rowOff>
    </xdr:from>
    <xdr:to>
      <xdr:col>10</xdr:col>
      <xdr:colOff>200025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D12A4-D4F6-BF3B-DFBD-8EB21D400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0.92825</cdr:x>
      <cdr:y>0.57848</cdr:y>
    </cdr:from>
    <cdr:to>
      <cdr:x>0.95703</cdr:x>
      <cdr:y>0.655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3E12F1C-5751-F3ED-18D3-303624203334}"/>
            </a:ext>
          </a:extLst>
        </cdr:cNvPr>
        <cdr:cNvSpPr txBox="1"/>
      </cdr:nvSpPr>
      <cdr:spPr>
        <a:xfrm xmlns:a="http://schemas.openxmlformats.org/drawingml/2006/main">
          <a:off x="6613525" y="2270125"/>
          <a:ext cx="20499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Fr</a:t>
          </a:r>
        </a:p>
      </cdr:txBody>
    </cdr:sp>
  </cdr:relSizeAnchor>
  <cdr:relSizeAnchor xmlns:cdr="http://schemas.openxmlformats.org/drawingml/2006/chartDrawing">
    <cdr:from>
      <cdr:x>0.61275</cdr:x>
      <cdr:y>0.23139</cdr:y>
    </cdr:from>
    <cdr:to>
      <cdr:x>0.6235</cdr:x>
      <cdr:y>0.30791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D6F7034-B727-294D-5DAA-4DF29A2AA1E4}"/>
            </a:ext>
          </a:extLst>
        </cdr:cNvPr>
        <cdr:cNvSpPr txBox="1"/>
      </cdr:nvSpPr>
      <cdr:spPr>
        <a:xfrm xmlns:a="http://schemas.openxmlformats.org/drawingml/2006/main">
          <a:off x="4365625" y="908050"/>
          <a:ext cx="7662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I</a:t>
          </a:r>
        </a:p>
      </cdr:txBody>
    </cdr:sp>
  </cdr:relSizeAnchor>
  <cdr:relSizeAnchor xmlns:cdr="http://schemas.openxmlformats.org/drawingml/2006/chartDrawing">
    <cdr:from>
      <cdr:x>0.42959</cdr:x>
      <cdr:y>0.161</cdr:y>
    </cdr:from>
    <cdr:to>
      <cdr:x>0.4611</cdr:x>
      <cdr:y>0.23752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D6F7034-B727-294D-5DAA-4DF29A2AA1E4}"/>
            </a:ext>
          </a:extLst>
        </cdr:cNvPr>
        <cdr:cNvSpPr txBox="1"/>
      </cdr:nvSpPr>
      <cdr:spPr>
        <a:xfrm xmlns:a="http://schemas.openxmlformats.org/drawingml/2006/main">
          <a:off x="3060700" y="631825"/>
          <a:ext cx="224485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Br</a:t>
          </a:r>
        </a:p>
      </cdr:txBody>
    </cdr:sp>
  </cdr:relSizeAnchor>
  <cdr:relSizeAnchor xmlns:cdr="http://schemas.openxmlformats.org/drawingml/2006/chartDrawing">
    <cdr:from>
      <cdr:x>0.6836</cdr:x>
      <cdr:y>0.47168</cdr:y>
    </cdr:from>
    <cdr:to>
      <cdr:x>0.72365</cdr:x>
      <cdr:y>0.5482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23744028-2B2C-4579-973E-FD1820ECFA36}"/>
            </a:ext>
          </a:extLst>
        </cdr:cNvPr>
        <cdr:cNvSpPr txBox="1"/>
      </cdr:nvSpPr>
      <cdr:spPr>
        <a:xfrm xmlns:a="http://schemas.openxmlformats.org/drawingml/2006/main">
          <a:off x="4870450" y="1851025"/>
          <a:ext cx="285335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Gd</a:t>
          </a:r>
        </a:p>
      </cdr:txBody>
    </cdr:sp>
  </cdr:relSizeAnchor>
  <cdr:relSizeAnchor xmlns:cdr="http://schemas.openxmlformats.org/drawingml/2006/chartDrawing">
    <cdr:from>
      <cdr:x>0.47906</cdr:x>
      <cdr:y>0.69741</cdr:y>
    </cdr:from>
    <cdr:to>
      <cdr:x>0.51626</cdr:x>
      <cdr:y>0.77393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D9C5EA04-412C-A230-4BF4-4EAB9CAE05EA}"/>
            </a:ext>
          </a:extLst>
        </cdr:cNvPr>
        <cdr:cNvSpPr txBox="1"/>
      </cdr:nvSpPr>
      <cdr:spPr>
        <a:xfrm xmlns:a="http://schemas.openxmlformats.org/drawingml/2006/main">
          <a:off x="3413125" y="2736850"/>
          <a:ext cx="2650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Rb</a:t>
          </a:r>
        </a:p>
      </cdr:txBody>
    </cdr:sp>
  </cdr:relSizeAnchor>
  <cdr:relSizeAnchor xmlns:cdr="http://schemas.openxmlformats.org/drawingml/2006/chartDrawing">
    <cdr:from>
      <cdr:x>0.26248</cdr:x>
      <cdr:y>0.07848</cdr:y>
    </cdr:from>
    <cdr:to>
      <cdr:x>0.28978</cdr:x>
      <cdr:y>0.155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57A0494-ADEF-9076-A5F2-B542A68A6A44}"/>
            </a:ext>
          </a:extLst>
        </cdr:cNvPr>
        <cdr:cNvSpPr txBox="1"/>
      </cdr:nvSpPr>
      <cdr:spPr>
        <a:xfrm xmlns:a="http://schemas.openxmlformats.org/drawingml/2006/main">
          <a:off x="1870075" y="307975"/>
          <a:ext cx="19454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Cl</a:t>
          </a:r>
        </a:p>
      </cdr:txBody>
    </cdr:sp>
  </cdr:relSizeAnchor>
  <cdr:relSizeAnchor xmlns:cdr="http://schemas.openxmlformats.org/drawingml/2006/chartDrawing">
    <cdr:from>
      <cdr:x>0.19029</cdr:x>
      <cdr:y>0.16586</cdr:y>
    </cdr:from>
    <cdr:to>
      <cdr:x>0.21433</cdr:x>
      <cdr:y>0.24237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70C921E-9EA5-B60A-70E5-F5B1F903B39B}"/>
            </a:ext>
          </a:extLst>
        </cdr:cNvPr>
        <cdr:cNvSpPr txBox="1"/>
      </cdr:nvSpPr>
      <cdr:spPr>
        <a:xfrm xmlns:a="http://schemas.openxmlformats.org/drawingml/2006/main">
          <a:off x="1355725" y="650875"/>
          <a:ext cx="171329" cy="3002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O</a:t>
          </a:r>
        </a:p>
      </cdr:txBody>
    </cdr:sp>
  </cdr:relSizeAnchor>
  <cdr:relSizeAnchor xmlns:cdr="http://schemas.openxmlformats.org/drawingml/2006/chartDrawing">
    <cdr:from>
      <cdr:x>0.14973</cdr:x>
      <cdr:y>0.09304</cdr:y>
    </cdr:from>
    <cdr:to>
      <cdr:x>0.17824</cdr:x>
      <cdr:y>0.16956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8155420F-3FCD-EF65-A739-C5A7AA7B72D7}"/>
            </a:ext>
          </a:extLst>
        </cdr:cNvPr>
        <cdr:cNvSpPr txBox="1"/>
      </cdr:nvSpPr>
      <cdr:spPr>
        <a:xfrm xmlns:a="http://schemas.openxmlformats.org/drawingml/2006/main">
          <a:off x="1066802" y="365125"/>
          <a:ext cx="203078" cy="3002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N</a:t>
          </a:r>
        </a:p>
      </cdr:txBody>
    </cdr:sp>
  </cdr:relSizeAnchor>
  <cdr:relSizeAnchor xmlns:cdr="http://schemas.openxmlformats.org/drawingml/2006/chartDrawing">
    <cdr:from>
      <cdr:x>0.13948</cdr:x>
      <cdr:y>0.28236</cdr:y>
    </cdr:from>
    <cdr:to>
      <cdr:x>0.16799</cdr:x>
      <cdr:y>0.35888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04F0BE2B-BC57-E39E-69A6-BAE09D277760}"/>
            </a:ext>
          </a:extLst>
        </cdr:cNvPr>
        <cdr:cNvSpPr txBox="1"/>
      </cdr:nvSpPr>
      <cdr:spPr>
        <a:xfrm xmlns:a="http://schemas.openxmlformats.org/drawingml/2006/main">
          <a:off x="993775" y="1108075"/>
          <a:ext cx="203078" cy="3002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447674</xdr:colOff>
      <xdr:row>31</xdr:row>
      <xdr:rowOff>171450</xdr:rowOff>
    </xdr:from>
    <xdr:to>
      <xdr:col>24</xdr:col>
      <xdr:colOff>190500</xdr:colOff>
      <xdr:row>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A059A-0611-4AE4-963E-1B126EAEF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0.21106</cdr:x>
      <cdr:y>0.30267</cdr:y>
    </cdr:from>
    <cdr:to>
      <cdr:x>0.23234</cdr:x>
      <cdr:y>0.37702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883622-46CE-93BA-3B94-B62AE3CE6CF4}"/>
            </a:ext>
          </a:extLst>
        </cdr:cNvPr>
        <cdr:cNvSpPr txBox="1"/>
      </cdr:nvSpPr>
      <cdr:spPr>
        <a:xfrm xmlns:a="http://schemas.openxmlformats.org/drawingml/2006/main">
          <a:off x="1660525" y="1222375"/>
          <a:ext cx="16748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N</a:t>
          </a:r>
        </a:p>
      </cdr:txBody>
    </cdr:sp>
  </cdr:relSizeAnchor>
  <cdr:relSizeAnchor xmlns:cdr="http://schemas.openxmlformats.org/drawingml/2006/chartDrawing">
    <cdr:from>
      <cdr:x>0.22559</cdr:x>
      <cdr:y>0.11399</cdr:y>
    </cdr:from>
    <cdr:to>
      <cdr:x>0.24736</cdr:x>
      <cdr:y>0.18834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9F24CA8-E5FC-2EEE-90AA-979087977969}"/>
            </a:ext>
          </a:extLst>
        </cdr:cNvPr>
        <cdr:cNvSpPr txBox="1"/>
      </cdr:nvSpPr>
      <cdr:spPr>
        <a:xfrm xmlns:a="http://schemas.openxmlformats.org/drawingml/2006/main">
          <a:off x="1774825" y="460375"/>
          <a:ext cx="171329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O</a:t>
          </a:r>
        </a:p>
      </cdr:txBody>
    </cdr:sp>
  </cdr:relSizeAnchor>
  <cdr:relSizeAnchor xmlns:cdr="http://schemas.openxmlformats.org/drawingml/2006/chartDrawing">
    <cdr:from>
      <cdr:x>0.70864</cdr:x>
      <cdr:y>0.69182</cdr:y>
    </cdr:from>
    <cdr:to>
      <cdr:x>0.7449</cdr:x>
      <cdr:y>0.76618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9F24CA8-E5FC-2EEE-90AA-979087977969}"/>
            </a:ext>
          </a:extLst>
        </cdr:cNvPr>
        <cdr:cNvSpPr txBox="1"/>
      </cdr:nvSpPr>
      <cdr:spPr>
        <a:xfrm xmlns:a="http://schemas.openxmlformats.org/drawingml/2006/main">
          <a:off x="5575300" y="2794000"/>
          <a:ext cx="285335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Gd</a:t>
          </a:r>
        </a:p>
      </cdr:txBody>
    </cdr:sp>
  </cdr:relSizeAnchor>
  <cdr:relSizeAnchor xmlns:cdr="http://schemas.openxmlformats.org/drawingml/2006/chartDrawing">
    <cdr:from>
      <cdr:x>0.5573</cdr:x>
      <cdr:y>0.4206</cdr:y>
    </cdr:from>
    <cdr:to>
      <cdr:x>0.59044</cdr:x>
      <cdr:y>0.49495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95E6966-2598-ED7E-5087-5891AB8D7232}"/>
            </a:ext>
          </a:extLst>
        </cdr:cNvPr>
        <cdr:cNvSpPr txBox="1"/>
      </cdr:nvSpPr>
      <cdr:spPr>
        <a:xfrm xmlns:a="http://schemas.openxmlformats.org/drawingml/2006/main">
          <a:off x="4384675" y="1698625"/>
          <a:ext cx="26071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Ag</a:t>
          </a:r>
        </a:p>
      </cdr:txBody>
    </cdr:sp>
  </cdr:relSizeAnchor>
  <cdr:relSizeAnchor xmlns:cdr="http://schemas.openxmlformats.org/drawingml/2006/chartDrawing">
    <cdr:from>
      <cdr:x>0.42534</cdr:x>
      <cdr:y>0.45126</cdr:y>
    </cdr:from>
    <cdr:to>
      <cdr:x>0.46025</cdr:x>
      <cdr:y>0.52561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ED0737D-636A-D17A-D181-F14730C397BD}"/>
            </a:ext>
          </a:extLst>
        </cdr:cNvPr>
        <cdr:cNvSpPr txBox="1"/>
      </cdr:nvSpPr>
      <cdr:spPr>
        <a:xfrm xmlns:a="http://schemas.openxmlformats.org/drawingml/2006/main">
          <a:off x="3346450" y="1822450"/>
          <a:ext cx="274627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Ga</a:t>
          </a:r>
        </a:p>
      </cdr:txBody>
    </cdr:sp>
  </cdr:relSizeAnchor>
  <cdr:relSizeAnchor xmlns:cdr="http://schemas.openxmlformats.org/drawingml/2006/chartDrawing">
    <cdr:from>
      <cdr:x>0.86723</cdr:x>
      <cdr:y>0.66824</cdr:y>
    </cdr:from>
    <cdr:to>
      <cdr:x>0.90167</cdr:x>
      <cdr:y>0.74259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55CF938-2F91-4150-59B7-3DB8BE5740A2}"/>
            </a:ext>
          </a:extLst>
        </cdr:cNvPr>
        <cdr:cNvSpPr txBox="1"/>
      </cdr:nvSpPr>
      <cdr:spPr>
        <a:xfrm xmlns:a="http://schemas.openxmlformats.org/drawingml/2006/main">
          <a:off x="6823075" y="2698750"/>
          <a:ext cx="27097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Hg</a:t>
          </a:r>
        </a:p>
      </cdr:txBody>
    </cdr:sp>
  </cdr:relSizeAnchor>
  <cdr:relSizeAnchor xmlns:cdr="http://schemas.openxmlformats.org/drawingml/2006/chartDrawing">
    <cdr:from>
      <cdr:x>0.37692</cdr:x>
      <cdr:y>0.46069</cdr:y>
    </cdr:from>
    <cdr:to>
      <cdr:x>0.41032</cdr:x>
      <cdr:y>0.53504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085F2BA-81BF-9440-9DCE-1FC84C938D2C}"/>
            </a:ext>
          </a:extLst>
        </cdr:cNvPr>
        <cdr:cNvSpPr txBox="1"/>
      </cdr:nvSpPr>
      <cdr:spPr>
        <a:xfrm xmlns:a="http://schemas.openxmlformats.org/drawingml/2006/main">
          <a:off x="2965450" y="1860550"/>
          <a:ext cx="262829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Cu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361949</xdr:colOff>
      <xdr:row>27</xdr:row>
      <xdr:rowOff>76200</xdr:rowOff>
    </xdr:from>
    <xdr:to>
      <xdr:col>24</xdr:col>
      <xdr:colOff>257174</xdr:colOff>
      <xdr:row>50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823E9-33DB-4917-AB86-7B8104BA5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0.75337</cdr:x>
      <cdr:y>0.37981</cdr:y>
    </cdr:from>
    <cdr:to>
      <cdr:x>0.78744</cdr:x>
      <cdr:y>0.44849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0E8305-B4DA-C56B-C7B7-F8A64EABE957}"/>
            </a:ext>
          </a:extLst>
        </cdr:cNvPr>
        <cdr:cNvSpPr txBox="1"/>
      </cdr:nvSpPr>
      <cdr:spPr>
        <a:xfrm xmlns:a="http://schemas.openxmlformats.org/drawingml/2006/main">
          <a:off x="6042025" y="1660525"/>
          <a:ext cx="27328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Au</a:t>
          </a:r>
        </a:p>
      </cdr:txBody>
    </cdr:sp>
  </cdr:relSizeAnchor>
  <cdr:relSizeAnchor xmlns:cdr="http://schemas.openxmlformats.org/drawingml/2006/chartDrawing">
    <cdr:from>
      <cdr:x>0.69279</cdr:x>
      <cdr:y>0.7589</cdr:y>
    </cdr:from>
    <cdr:to>
      <cdr:x>0.73211</cdr:x>
      <cdr:y>0.82758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F84DFF1-782C-3E05-3858-5F14EE3689F6}"/>
            </a:ext>
          </a:extLst>
        </cdr:cNvPr>
        <cdr:cNvSpPr txBox="1"/>
      </cdr:nvSpPr>
      <cdr:spPr>
        <a:xfrm xmlns:a="http://schemas.openxmlformats.org/drawingml/2006/main">
          <a:off x="5556250" y="3317875"/>
          <a:ext cx="31534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Tm</a:t>
          </a:r>
        </a:p>
      </cdr:txBody>
    </cdr:sp>
  </cdr:relSizeAnchor>
  <cdr:relSizeAnchor xmlns:cdr="http://schemas.openxmlformats.org/drawingml/2006/chartDrawing">
    <cdr:from>
      <cdr:x>0.26287</cdr:x>
      <cdr:y>0.19898</cdr:y>
    </cdr:from>
    <cdr:to>
      <cdr:x>0.28712</cdr:x>
      <cdr:y>0.26767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B7FEC20-D96C-0C4C-AC7E-DF2C78154D18}"/>
            </a:ext>
          </a:extLst>
        </cdr:cNvPr>
        <cdr:cNvSpPr txBox="1"/>
      </cdr:nvSpPr>
      <cdr:spPr>
        <a:xfrm xmlns:a="http://schemas.openxmlformats.org/drawingml/2006/main">
          <a:off x="2108200" y="869950"/>
          <a:ext cx="19454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Cl</a:t>
          </a:r>
        </a:p>
      </cdr:txBody>
    </cdr:sp>
  </cdr:relSizeAnchor>
  <cdr:relSizeAnchor xmlns:cdr="http://schemas.openxmlformats.org/drawingml/2006/chartDrawing">
    <cdr:from>
      <cdr:x>0.49802</cdr:x>
      <cdr:y>0.31881</cdr:y>
    </cdr:from>
    <cdr:to>
      <cdr:x>0.53053</cdr:x>
      <cdr:y>0.38749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1706087-DDD4-94DF-4DDF-85E2CE5CB09F}"/>
            </a:ext>
          </a:extLst>
        </cdr:cNvPr>
        <cdr:cNvSpPr txBox="1"/>
      </cdr:nvSpPr>
      <cdr:spPr>
        <a:xfrm xmlns:a="http://schemas.openxmlformats.org/drawingml/2006/main">
          <a:off x="3994150" y="1393825"/>
          <a:ext cx="26071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Ag</a:t>
          </a:r>
        </a:p>
      </cdr:txBody>
    </cdr:sp>
  </cdr:relSizeAnchor>
  <cdr:relSizeAnchor xmlns:cdr="http://schemas.openxmlformats.org/drawingml/2006/chartDrawing">
    <cdr:from>
      <cdr:x>0.51465</cdr:x>
      <cdr:y>0.61946</cdr:y>
    </cdr:from>
    <cdr:to>
      <cdr:x>0.53932</cdr:x>
      <cdr:y>0.68814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727F4B4-0444-6D64-7C62-6C9A70DF5E62}"/>
            </a:ext>
          </a:extLst>
        </cdr:cNvPr>
        <cdr:cNvSpPr txBox="1"/>
      </cdr:nvSpPr>
      <cdr:spPr>
        <a:xfrm xmlns:a="http://schemas.openxmlformats.org/drawingml/2006/main">
          <a:off x="4127500" y="2708275"/>
          <a:ext cx="197875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In</a:t>
          </a:r>
        </a:p>
      </cdr:txBody>
    </cdr:sp>
  </cdr:relSizeAnchor>
  <cdr:relSizeAnchor xmlns:cdr="http://schemas.openxmlformats.org/drawingml/2006/chartDrawing">
    <cdr:from>
      <cdr:x>0.82462</cdr:x>
      <cdr:y>0.67611</cdr:y>
    </cdr:from>
    <cdr:to>
      <cdr:x>0.85607</cdr:x>
      <cdr:y>0.74479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04B4AD2-CE9F-9AED-48C4-5E5DAD38F17A}"/>
            </a:ext>
          </a:extLst>
        </cdr:cNvPr>
        <cdr:cNvSpPr txBox="1"/>
      </cdr:nvSpPr>
      <cdr:spPr>
        <a:xfrm xmlns:a="http://schemas.openxmlformats.org/drawingml/2006/main">
          <a:off x="6613525" y="2955925"/>
          <a:ext cx="252185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Th</a:t>
          </a:r>
        </a:p>
      </cdr:txBody>
    </cdr:sp>
  </cdr:relSizeAnchor>
  <cdr:relSizeAnchor xmlns:cdr="http://schemas.openxmlformats.org/drawingml/2006/chartDrawing">
    <cdr:from>
      <cdr:x>0.85788</cdr:x>
      <cdr:y>0.59768</cdr:y>
    </cdr:from>
    <cdr:to>
      <cdr:x>0.89983</cdr:x>
      <cdr:y>0.66636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795BA78-FA53-62DC-64EC-7601DDBCFB9E}"/>
            </a:ext>
          </a:extLst>
        </cdr:cNvPr>
        <cdr:cNvSpPr txBox="1"/>
      </cdr:nvSpPr>
      <cdr:spPr>
        <a:xfrm xmlns:a="http://schemas.openxmlformats.org/drawingml/2006/main">
          <a:off x="6880225" y="2613025"/>
          <a:ext cx="336439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Am</a:t>
          </a:r>
        </a:p>
      </cdr:txBody>
    </cdr:sp>
  </cdr:relSizeAnchor>
  <cdr:relSizeAnchor xmlns:cdr="http://schemas.openxmlformats.org/drawingml/2006/chartDrawing">
    <cdr:from>
      <cdr:x>0.90063</cdr:x>
      <cdr:y>0.76979</cdr:y>
    </cdr:from>
    <cdr:to>
      <cdr:x>0.92825</cdr:x>
      <cdr:y>0.83847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941FBC-BCC5-B767-B5D8-698F451EE518}"/>
            </a:ext>
          </a:extLst>
        </cdr:cNvPr>
        <cdr:cNvSpPr txBox="1"/>
      </cdr:nvSpPr>
      <cdr:spPr>
        <a:xfrm xmlns:a="http://schemas.openxmlformats.org/drawingml/2006/main">
          <a:off x="7223125" y="3365500"/>
          <a:ext cx="221471" cy="3002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Es</a:t>
          </a:r>
        </a:p>
      </cdr:txBody>
    </cdr:sp>
  </cdr:relSizeAnchor>
  <cdr:relSizeAnchor xmlns:cdr="http://schemas.openxmlformats.org/drawingml/2006/chartDrawing">
    <cdr:from>
      <cdr:x>0.93389</cdr:x>
      <cdr:y>0.72622</cdr:y>
    </cdr:from>
    <cdr:to>
      <cdr:x>0.97592</cdr:x>
      <cdr:y>0.7949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D4F461A6-D8FA-BE2A-5E82-EAA92E9BDEEF}"/>
            </a:ext>
          </a:extLst>
        </cdr:cNvPr>
        <cdr:cNvSpPr txBox="1"/>
      </cdr:nvSpPr>
      <cdr:spPr>
        <a:xfrm xmlns:a="http://schemas.openxmlformats.org/drawingml/2006/main">
          <a:off x="7489825" y="3175000"/>
          <a:ext cx="337080" cy="3002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Md</a:t>
          </a:r>
        </a:p>
      </cdr:txBody>
    </cdr:sp>
  </cdr:relSizeAnchor>
  <cdr:relSizeAnchor xmlns:cdr="http://schemas.openxmlformats.org/drawingml/2006/chartDrawing">
    <cdr:from>
      <cdr:x>0.93508</cdr:x>
      <cdr:y>0.52142</cdr:y>
    </cdr:from>
    <cdr:to>
      <cdr:x>0.97113</cdr:x>
      <cdr:y>0.59011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2E66525C-F23D-00E2-DF80-26D3448377BE}"/>
            </a:ext>
          </a:extLst>
        </cdr:cNvPr>
        <cdr:cNvSpPr txBox="1"/>
      </cdr:nvSpPr>
      <cdr:spPr>
        <a:xfrm xmlns:a="http://schemas.openxmlformats.org/drawingml/2006/main">
          <a:off x="7499350" y="2279650"/>
          <a:ext cx="289182" cy="3002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No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85724</xdr:colOff>
      <xdr:row>30</xdr:row>
      <xdr:rowOff>114300</xdr:rowOff>
    </xdr:from>
    <xdr:to>
      <xdr:col>26</xdr:col>
      <xdr:colOff>38099</xdr:colOff>
      <xdr:row>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4E21D-7CD5-4064-90A7-27CBE6006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0.21485</cdr:x>
      <cdr:y>0.07781</cdr:y>
    </cdr:from>
    <cdr:to>
      <cdr:x>0.23568</cdr:x>
      <cdr:y>0.16143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BE6013-780A-6A52-81D6-189410E6DFCC}"/>
            </a:ext>
          </a:extLst>
        </cdr:cNvPr>
        <cdr:cNvSpPr txBox="1"/>
      </cdr:nvSpPr>
      <cdr:spPr>
        <a:xfrm xmlns:a="http://schemas.openxmlformats.org/drawingml/2006/main">
          <a:off x="1727200" y="279400"/>
          <a:ext cx="16748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N</a:t>
          </a:r>
        </a:p>
      </cdr:txBody>
    </cdr:sp>
  </cdr:relSizeAnchor>
  <cdr:relSizeAnchor xmlns:cdr="http://schemas.openxmlformats.org/drawingml/2006/chartDrawing">
    <cdr:from>
      <cdr:x>0.30964</cdr:x>
      <cdr:y>0.65606</cdr:y>
    </cdr:from>
    <cdr:to>
      <cdr:x>0.33251</cdr:x>
      <cdr:y>0.73968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EB9A3F4-D244-0F4A-2687-EFC01A273D6D}"/>
            </a:ext>
          </a:extLst>
        </cdr:cNvPr>
        <cdr:cNvSpPr txBox="1"/>
      </cdr:nvSpPr>
      <cdr:spPr>
        <a:xfrm xmlns:a="http://schemas.openxmlformats.org/drawingml/2006/main">
          <a:off x="2489200" y="2355850"/>
          <a:ext cx="183896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Ti</a:t>
          </a:r>
        </a:p>
      </cdr:txBody>
    </cdr:sp>
  </cdr:relSizeAnchor>
  <cdr:relSizeAnchor xmlns:cdr="http://schemas.openxmlformats.org/drawingml/2006/chartDrawing">
    <cdr:from>
      <cdr:x>0.6639</cdr:x>
      <cdr:y>0.48099</cdr:y>
    </cdr:from>
    <cdr:to>
      <cdr:x>0.69527</cdr:x>
      <cdr:y>0.56461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957D9C2-20D8-B4CB-27A7-F41AD71578B5}"/>
            </a:ext>
          </a:extLst>
        </cdr:cNvPr>
        <cdr:cNvSpPr txBox="1"/>
      </cdr:nvSpPr>
      <cdr:spPr>
        <a:xfrm xmlns:a="http://schemas.openxmlformats.org/drawingml/2006/main">
          <a:off x="5337175" y="1727200"/>
          <a:ext cx="252185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Tb</a:t>
          </a:r>
        </a:p>
      </cdr:txBody>
    </cdr:sp>
  </cdr:relSizeAnchor>
  <cdr:relSizeAnchor xmlns:cdr="http://schemas.openxmlformats.org/drawingml/2006/chartDrawing">
    <cdr:from>
      <cdr:x>0.87954</cdr:x>
      <cdr:y>0.52078</cdr:y>
    </cdr:from>
    <cdr:to>
      <cdr:x>0.90026</cdr:x>
      <cdr:y>0.6044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86D5D18-E00E-7780-B246-FA9BA4CFEEEB}"/>
            </a:ext>
          </a:extLst>
        </cdr:cNvPr>
        <cdr:cNvSpPr txBox="1"/>
      </cdr:nvSpPr>
      <cdr:spPr>
        <a:xfrm xmlns:a="http://schemas.openxmlformats.org/drawingml/2006/main">
          <a:off x="7070725" y="1870075"/>
          <a:ext cx="16658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U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114299</xdr:colOff>
      <xdr:row>9</xdr:row>
      <xdr:rowOff>38100</xdr:rowOff>
    </xdr:from>
    <xdr:to>
      <xdr:col>23</xdr:col>
      <xdr:colOff>523875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47DCB-369C-4424-9668-A5FFAA64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0.58498</cdr:x>
      <cdr:y>0.48839</cdr:y>
    </cdr:from>
    <cdr:to>
      <cdr:x>0.62132</cdr:x>
      <cdr:y>0.57621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BE6013-780A-6A52-81D6-189410E6DFCC}"/>
            </a:ext>
          </a:extLst>
        </cdr:cNvPr>
        <cdr:cNvSpPr txBox="1"/>
      </cdr:nvSpPr>
      <cdr:spPr>
        <a:xfrm xmlns:a="http://schemas.openxmlformats.org/drawingml/2006/main">
          <a:off x="3956050" y="1670050"/>
          <a:ext cx="2457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114299</xdr:colOff>
      <xdr:row>9</xdr:row>
      <xdr:rowOff>38099</xdr:rowOff>
    </xdr:from>
    <xdr:to>
      <xdr:col>24</xdr:col>
      <xdr:colOff>342899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72F65-B197-41DB-924A-8B885F321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0.8574</cdr:x>
      <cdr:y>0.71935</cdr:y>
    </cdr:from>
    <cdr:to>
      <cdr:x>0.88056</cdr:x>
      <cdr:y>0.80994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1117A8C-37E4-BDFF-3A5A-1A13F707BEC0}"/>
            </a:ext>
          </a:extLst>
        </cdr:cNvPr>
        <cdr:cNvSpPr txBox="1"/>
      </cdr:nvSpPr>
      <cdr:spPr>
        <a:xfrm xmlns:a="http://schemas.openxmlformats.org/drawingml/2006/main">
          <a:off x="6165850" y="2384425"/>
          <a:ext cx="16658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U</a:t>
          </a:r>
        </a:p>
      </cdr:txBody>
    </cdr:sp>
  </cdr:relSizeAnchor>
  <cdr:relSizeAnchor xmlns:cdr="http://schemas.openxmlformats.org/drawingml/2006/chartDrawing">
    <cdr:from>
      <cdr:x>0.54216</cdr:x>
      <cdr:y>0.56418</cdr:y>
    </cdr:from>
    <cdr:to>
      <cdr:x>0.57634</cdr:x>
      <cdr:y>0.65476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58941D3-E9D2-DA7E-1F80-466AA88CDE64}"/>
            </a:ext>
          </a:extLst>
        </cdr:cNvPr>
        <cdr:cNvSpPr txBox="1"/>
      </cdr:nvSpPr>
      <cdr:spPr>
        <a:xfrm xmlns:a="http://schemas.openxmlformats.org/drawingml/2006/main">
          <a:off x="3898900" y="1870075"/>
          <a:ext cx="2457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Te</a:t>
          </a:r>
        </a:p>
      </cdr:txBody>
    </cdr:sp>
  </cdr:relSizeAnchor>
  <cdr:relSizeAnchor xmlns:cdr="http://schemas.openxmlformats.org/drawingml/2006/chartDrawing">
    <cdr:from>
      <cdr:x>0.15806</cdr:x>
      <cdr:y>0.26533</cdr:y>
    </cdr:from>
    <cdr:to>
      <cdr:x>0.17537</cdr:x>
      <cdr:y>0.35591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06A945F-AD87-E54A-E15A-069E3CC39B7D}"/>
            </a:ext>
          </a:extLst>
        </cdr:cNvPr>
        <cdr:cNvSpPr txBox="1"/>
      </cdr:nvSpPr>
      <cdr:spPr>
        <a:xfrm xmlns:a="http://schemas.openxmlformats.org/drawingml/2006/main">
          <a:off x="1136650" y="879475"/>
          <a:ext cx="124521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S</a:t>
          </a:r>
        </a:p>
      </cdr:txBody>
    </cdr:sp>
  </cdr:relSizeAnchor>
  <cdr:relSizeAnchor xmlns:cdr="http://schemas.openxmlformats.org/drawingml/2006/chartDrawing">
    <cdr:from>
      <cdr:x>0.15806</cdr:x>
      <cdr:y>0.13602</cdr:y>
    </cdr:from>
    <cdr:to>
      <cdr:x>0.18511</cdr:x>
      <cdr:y>0.2266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7C40F63-8685-13A8-97B7-BE4280B3D3B9}"/>
            </a:ext>
          </a:extLst>
        </cdr:cNvPr>
        <cdr:cNvSpPr txBox="1"/>
      </cdr:nvSpPr>
      <cdr:spPr>
        <a:xfrm xmlns:a="http://schemas.openxmlformats.org/drawingml/2006/main">
          <a:off x="1136650" y="450850"/>
          <a:ext cx="19454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Cl</a:t>
          </a:r>
        </a:p>
      </cdr:txBody>
    </cdr:sp>
  </cdr:relSizeAnchor>
  <cdr:relSizeAnchor xmlns:cdr="http://schemas.openxmlformats.org/drawingml/2006/chartDrawing">
    <cdr:from>
      <cdr:x>0.3766</cdr:x>
      <cdr:y>0.59579</cdr:y>
    </cdr:from>
    <cdr:to>
      <cdr:x>0.42354</cdr:x>
      <cdr:y>0.68637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4EF8665-4F55-3A26-2501-BF960AF10189}"/>
            </a:ext>
          </a:extLst>
        </cdr:cNvPr>
        <cdr:cNvSpPr txBox="1"/>
      </cdr:nvSpPr>
      <cdr:spPr>
        <a:xfrm xmlns:a="http://schemas.openxmlformats.org/drawingml/2006/main">
          <a:off x="2708275" y="1974850"/>
          <a:ext cx="337528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Mo</a:t>
          </a:r>
        </a:p>
      </cdr:txBody>
    </cdr:sp>
  </cdr:relSizeAnchor>
  <cdr:relSizeAnchor xmlns:cdr="http://schemas.openxmlformats.org/drawingml/2006/chartDrawing">
    <cdr:from>
      <cdr:x>0.47064</cdr:x>
      <cdr:y>0.33142</cdr:y>
    </cdr:from>
    <cdr:to>
      <cdr:x>0.5075</cdr:x>
      <cdr:y>0.42201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74FFE4B-FE9A-4FFF-00A6-A4097856FB42}"/>
            </a:ext>
          </a:extLst>
        </cdr:cNvPr>
        <cdr:cNvSpPr txBox="1"/>
      </cdr:nvSpPr>
      <cdr:spPr>
        <a:xfrm xmlns:a="http://schemas.openxmlformats.org/drawingml/2006/main">
          <a:off x="3384550" y="1098550"/>
          <a:ext cx="2650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Rh</a:t>
          </a:r>
        </a:p>
      </cdr:txBody>
    </cdr:sp>
  </cdr:relSizeAnchor>
  <cdr:relSizeAnchor xmlns:cdr="http://schemas.openxmlformats.org/drawingml/2006/chartDrawing">
    <cdr:from>
      <cdr:x>0.25077</cdr:x>
      <cdr:y>0.31418</cdr:y>
    </cdr:from>
    <cdr:to>
      <cdr:x>0.28165</cdr:x>
      <cdr:y>0.40477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EEB0B42-6459-BB65-7BA9-18DC63999C14}"/>
            </a:ext>
          </a:extLst>
        </cdr:cNvPr>
        <cdr:cNvSpPr txBox="1"/>
      </cdr:nvSpPr>
      <cdr:spPr>
        <a:xfrm xmlns:a="http://schemas.openxmlformats.org/drawingml/2006/main">
          <a:off x="1803400" y="1041400"/>
          <a:ext cx="222048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Cr</a:t>
          </a:r>
        </a:p>
      </cdr:txBody>
    </cdr:sp>
  </cdr:relSizeAnchor>
  <cdr:relSizeAnchor xmlns:cdr="http://schemas.openxmlformats.org/drawingml/2006/chartDrawing">
    <cdr:from>
      <cdr:x>0.30905</cdr:x>
      <cdr:y>0.0728</cdr:y>
    </cdr:from>
    <cdr:to>
      <cdr:x>0.34234</cdr:x>
      <cdr:y>0.16339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D5D5B4D-3589-8001-C6FD-60C4891C8E08}"/>
            </a:ext>
          </a:extLst>
        </cdr:cNvPr>
        <cdr:cNvSpPr txBox="1"/>
      </cdr:nvSpPr>
      <cdr:spPr>
        <a:xfrm xmlns:a="http://schemas.openxmlformats.org/drawingml/2006/main">
          <a:off x="2222500" y="241300"/>
          <a:ext cx="239361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Fe</a:t>
          </a:r>
        </a:p>
      </cdr:txBody>
    </cdr:sp>
  </cdr:relSizeAnchor>
  <cdr:relSizeAnchor xmlns:cdr="http://schemas.openxmlformats.org/drawingml/2006/chartDrawing">
    <cdr:from>
      <cdr:x>0.28786</cdr:x>
      <cdr:y>0.19636</cdr:y>
    </cdr:from>
    <cdr:to>
      <cdr:x>0.33473</cdr:x>
      <cdr:y>0.28695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E5A199F-E815-8FCE-3112-6C15411746D7}"/>
            </a:ext>
          </a:extLst>
        </cdr:cNvPr>
        <cdr:cNvSpPr txBox="1"/>
      </cdr:nvSpPr>
      <cdr:spPr>
        <a:xfrm xmlns:a="http://schemas.openxmlformats.org/drawingml/2006/main">
          <a:off x="2070100" y="650875"/>
          <a:ext cx="33708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Mn</a:t>
          </a:r>
        </a:p>
      </cdr:txBody>
    </cdr:sp>
  </cdr:relSizeAnchor>
  <cdr:relSizeAnchor xmlns:cdr="http://schemas.openxmlformats.org/drawingml/2006/chartDrawing">
    <cdr:from>
      <cdr:x>0.38852</cdr:x>
      <cdr:y>0.50383</cdr:y>
    </cdr:from>
    <cdr:to>
      <cdr:x>0.4203</cdr:x>
      <cdr:y>0.59442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1E508846-ED1B-7B6F-2ED9-189887E32F3C}"/>
            </a:ext>
          </a:extLst>
        </cdr:cNvPr>
        <cdr:cNvSpPr txBox="1"/>
      </cdr:nvSpPr>
      <cdr:spPr>
        <a:xfrm xmlns:a="http://schemas.openxmlformats.org/drawingml/2006/main">
          <a:off x="2794000" y="1670050"/>
          <a:ext cx="22852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Tc</a:t>
          </a:r>
        </a:p>
      </cdr:txBody>
    </cdr:sp>
  </cdr:relSizeAnchor>
  <cdr:relSizeAnchor xmlns:cdr="http://schemas.openxmlformats.org/drawingml/2006/chartDrawing">
    <cdr:from>
      <cdr:x>0.46534</cdr:x>
      <cdr:y>0.4751</cdr:y>
    </cdr:from>
    <cdr:to>
      <cdr:x>0.5022</cdr:x>
      <cdr:y>0.56568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CCBFB8A-CE3B-0EF2-10E7-CD922A8B1BB4}"/>
            </a:ext>
          </a:extLst>
        </cdr:cNvPr>
        <cdr:cNvSpPr txBox="1"/>
      </cdr:nvSpPr>
      <cdr:spPr>
        <a:xfrm xmlns:a="http://schemas.openxmlformats.org/drawingml/2006/main">
          <a:off x="3346450" y="1574800"/>
          <a:ext cx="2650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Ru</a:t>
          </a:r>
        </a:p>
      </cdr:txBody>
    </cdr:sp>
  </cdr:relSizeAnchor>
  <cdr:relSizeAnchor xmlns:cdr="http://schemas.openxmlformats.org/drawingml/2006/chartDrawing">
    <cdr:from>
      <cdr:x>0.68521</cdr:x>
      <cdr:y>0.68487</cdr:y>
    </cdr:from>
    <cdr:to>
      <cdr:x>0.71634</cdr:x>
      <cdr:y>0.77545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C7C21DBF-4D51-7CC5-3860-295A1D95281F}"/>
            </a:ext>
          </a:extLst>
        </cdr:cNvPr>
        <cdr:cNvSpPr txBox="1"/>
      </cdr:nvSpPr>
      <cdr:spPr>
        <a:xfrm xmlns:a="http://schemas.openxmlformats.org/drawingml/2006/main">
          <a:off x="4927600" y="2270125"/>
          <a:ext cx="22384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W</a:t>
          </a:r>
        </a:p>
      </cdr:txBody>
    </cdr:sp>
  </cdr:relSizeAnchor>
  <cdr:relSizeAnchor xmlns:cdr="http://schemas.openxmlformats.org/drawingml/2006/chartDrawing">
    <cdr:from>
      <cdr:x>0.69183</cdr:x>
      <cdr:y>0.56705</cdr:y>
    </cdr:from>
    <cdr:to>
      <cdr:x>0.7278</cdr:x>
      <cdr:y>0.65764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C7C21DBF-4D51-7CC5-3860-295A1D95281F}"/>
            </a:ext>
          </a:extLst>
        </cdr:cNvPr>
        <cdr:cNvSpPr txBox="1"/>
      </cdr:nvSpPr>
      <cdr:spPr>
        <a:xfrm xmlns:a="http://schemas.openxmlformats.org/drawingml/2006/main">
          <a:off x="4975225" y="1879600"/>
          <a:ext cx="258661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Re</a:t>
          </a:r>
        </a:p>
      </cdr:txBody>
    </cdr:sp>
  </cdr:relSizeAnchor>
  <cdr:relSizeAnchor xmlns:cdr="http://schemas.openxmlformats.org/drawingml/2006/chartDrawing">
    <cdr:from>
      <cdr:x>0.76203</cdr:x>
      <cdr:y>0.59291</cdr:y>
    </cdr:from>
    <cdr:to>
      <cdr:x>0.79841</cdr:x>
      <cdr:y>0.6835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C7C21DBF-4D51-7CC5-3860-295A1D95281F}"/>
            </a:ext>
          </a:extLst>
        </cdr:cNvPr>
        <cdr:cNvSpPr txBox="1"/>
      </cdr:nvSpPr>
      <cdr:spPr>
        <a:xfrm xmlns:a="http://schemas.openxmlformats.org/drawingml/2006/main">
          <a:off x="5480050" y="1965325"/>
          <a:ext cx="26161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Os</a:t>
          </a:r>
        </a:p>
      </cdr:txBody>
    </cdr:sp>
  </cdr:relSizeAnchor>
  <cdr:relSizeAnchor xmlns:cdr="http://schemas.openxmlformats.org/drawingml/2006/chartDrawing">
    <cdr:from>
      <cdr:x>0.717</cdr:x>
      <cdr:y>0.47797</cdr:y>
    </cdr:from>
    <cdr:to>
      <cdr:x>0.73884</cdr:x>
      <cdr:y>0.56856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3C59F9B-AE05-C208-E231-EC47BE5EFD47}"/>
            </a:ext>
          </a:extLst>
        </cdr:cNvPr>
        <cdr:cNvSpPr txBox="1"/>
      </cdr:nvSpPr>
      <cdr:spPr>
        <a:xfrm xmlns:a="http://schemas.openxmlformats.org/drawingml/2006/main">
          <a:off x="5156200" y="1584325"/>
          <a:ext cx="15709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Ir</a:t>
          </a:r>
        </a:p>
      </cdr:txBody>
    </cdr:sp>
  </cdr:relSizeAnchor>
  <cdr:relSizeAnchor xmlns:cdr="http://schemas.openxmlformats.org/drawingml/2006/chartDrawing">
    <cdr:from>
      <cdr:x>0.78057</cdr:x>
      <cdr:y>0.4205</cdr:y>
    </cdr:from>
    <cdr:to>
      <cdr:x>0.81048</cdr:x>
      <cdr:y>0.51109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871D6A3-6EB7-A246-96A5-A36A015B38B6}"/>
            </a:ext>
          </a:extLst>
        </cdr:cNvPr>
        <cdr:cNvSpPr txBox="1"/>
      </cdr:nvSpPr>
      <cdr:spPr>
        <a:xfrm xmlns:a="http://schemas.openxmlformats.org/drawingml/2006/main">
          <a:off x="5613400" y="1393825"/>
          <a:ext cx="215059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Pt</a:t>
          </a:r>
        </a:p>
      </cdr:txBody>
    </cdr:sp>
  </cdr:relSizeAnchor>
  <cdr:relSizeAnchor xmlns:cdr="http://schemas.openxmlformats.org/drawingml/2006/chartDrawing">
    <cdr:from>
      <cdr:x>0.8521</cdr:x>
      <cdr:y>0.59866</cdr:y>
    </cdr:from>
    <cdr:to>
      <cdr:x>0.89225</cdr:x>
      <cdr:y>0.68925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784CD1B1-57F6-2272-A7A7-0D38C6520BC8}"/>
            </a:ext>
          </a:extLst>
        </cdr:cNvPr>
        <cdr:cNvSpPr txBox="1"/>
      </cdr:nvSpPr>
      <cdr:spPr>
        <a:xfrm xmlns:a="http://schemas.openxmlformats.org/drawingml/2006/main">
          <a:off x="6127750" y="1984375"/>
          <a:ext cx="28873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Np</a:t>
          </a:r>
        </a:p>
      </cdr:txBody>
    </cdr:sp>
  </cdr:relSizeAnchor>
  <cdr:relSizeAnchor xmlns:cdr="http://schemas.openxmlformats.org/drawingml/2006/chartDrawing">
    <cdr:from>
      <cdr:x>0.86269</cdr:x>
      <cdr:y>0.38602</cdr:y>
    </cdr:from>
    <cdr:to>
      <cdr:x>0.89871</cdr:x>
      <cdr:y>0.4766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A260E010-5E4F-B347-19D5-AA32803CC430}"/>
            </a:ext>
          </a:extLst>
        </cdr:cNvPr>
        <cdr:cNvSpPr txBox="1"/>
      </cdr:nvSpPr>
      <cdr:spPr>
        <a:xfrm xmlns:a="http://schemas.openxmlformats.org/drawingml/2006/main">
          <a:off x="6203950" y="1279525"/>
          <a:ext cx="25898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Pu</a:t>
          </a:r>
        </a:p>
      </cdr:txBody>
    </cdr:sp>
  </cdr:relSizeAnchor>
  <cdr:relSizeAnchor xmlns:cdr="http://schemas.openxmlformats.org/drawingml/2006/chartDrawing">
    <cdr:from>
      <cdr:x>0.93636</cdr:x>
      <cdr:y>0.57854</cdr:y>
    </cdr:from>
    <cdr:to>
      <cdr:x>0.98314</cdr:x>
      <cdr:y>0.66913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4A2751A1-C80A-3D4E-D42A-C620AE065502}"/>
            </a:ext>
          </a:extLst>
        </cdr:cNvPr>
        <cdr:cNvSpPr txBox="1"/>
      </cdr:nvSpPr>
      <cdr:spPr>
        <a:xfrm xmlns:a="http://schemas.openxmlformats.org/drawingml/2006/main">
          <a:off x="6733686" y="1917700"/>
          <a:ext cx="336439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Am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781049</xdr:colOff>
      <xdr:row>23</xdr:row>
      <xdr:rowOff>38099</xdr:rowOff>
    </xdr:from>
    <xdr:to>
      <xdr:col>13</xdr:col>
      <xdr:colOff>504825</xdr:colOff>
      <xdr:row>43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8C546-B27E-4B08-9A12-8DBAA1E70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0.84982</cdr:x>
      <cdr:y>0.54017</cdr:y>
    </cdr:from>
    <cdr:to>
      <cdr:x>0.88595</cdr:x>
      <cdr:y>0.62749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62A214-A74B-B4E6-6D16-CC3FB2A24CA2}"/>
            </a:ext>
          </a:extLst>
        </cdr:cNvPr>
        <cdr:cNvSpPr txBox="1"/>
      </cdr:nvSpPr>
      <cdr:spPr>
        <a:xfrm xmlns:a="http://schemas.openxmlformats.org/drawingml/2006/main">
          <a:off x="6791326" y="1857376"/>
          <a:ext cx="28873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vertOverflow="clip" horzOverflow="clip" wrap="none" lIns="9144" tIns="9144" rIns="9144" bIns="9144" rtlCol="0">
          <a:spAutoFit/>
        </a:bodyPr>
        <a:lstStyle xmlns:a="http://schemas.openxmlformats.org/drawingml/2006/main"/>
        <a:p xmlns:a="http://schemas.openxmlformats.org/drawingml/2006/main">
          <a:r>
            <a:rPr lang="en-US" sz="1800"/>
            <a:t>Np</a:t>
          </a:r>
        </a:p>
      </cdr:txBody>
    </cdr:sp>
  </cdr:relSizeAnchor>
  <cdr:relSizeAnchor xmlns:cdr="http://schemas.openxmlformats.org/drawingml/2006/chartDrawing">
    <cdr:from>
      <cdr:x>0.92173</cdr:x>
      <cdr:y>0.43029</cdr:y>
    </cdr:from>
    <cdr:to>
      <cdr:x>0.95414</cdr:x>
      <cdr:y>0.51761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D51FAEA-8312-F34C-2817-819FB1D31DDA}"/>
            </a:ext>
          </a:extLst>
        </cdr:cNvPr>
        <cdr:cNvSpPr txBox="1"/>
      </cdr:nvSpPr>
      <cdr:spPr>
        <a:xfrm xmlns:a="http://schemas.openxmlformats.org/drawingml/2006/main">
          <a:off x="7366000" y="1479550"/>
          <a:ext cx="258982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/>
          </a:solidFill>
        </a:ln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Pu</a:t>
          </a:r>
        </a:p>
      </cdr:txBody>
    </cdr:sp>
  </cdr:relSizeAnchor>
  <cdr:relSizeAnchor xmlns:cdr="http://schemas.openxmlformats.org/drawingml/2006/chartDrawing">
    <cdr:from>
      <cdr:x>0.17203</cdr:x>
      <cdr:y>0.21422</cdr:y>
    </cdr:from>
    <cdr:to>
      <cdr:x>0.19637</cdr:x>
      <cdr:y>0.30155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4613975-8531-26F5-5690-EC24BDAB6653}"/>
            </a:ext>
          </a:extLst>
        </cdr:cNvPr>
        <cdr:cNvSpPr txBox="1"/>
      </cdr:nvSpPr>
      <cdr:spPr>
        <a:xfrm xmlns:a="http://schemas.openxmlformats.org/drawingml/2006/main">
          <a:off x="1374775" y="736600"/>
          <a:ext cx="19454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Cl</a:t>
          </a:r>
        </a:p>
      </cdr:txBody>
    </cdr:sp>
  </cdr:relSizeAnchor>
  <cdr:relSizeAnchor xmlns:cdr="http://schemas.openxmlformats.org/drawingml/2006/chartDrawing">
    <cdr:from>
      <cdr:x>0.25904</cdr:x>
      <cdr:y>0.07572</cdr:y>
    </cdr:from>
    <cdr:to>
      <cdr:x>0.30122</cdr:x>
      <cdr:y>0.16304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96052E5-8723-9B4D-4B25-A120167152BF}"/>
            </a:ext>
          </a:extLst>
        </cdr:cNvPr>
        <cdr:cNvSpPr txBox="1"/>
      </cdr:nvSpPr>
      <cdr:spPr>
        <a:xfrm xmlns:a="http://schemas.openxmlformats.org/drawingml/2006/main">
          <a:off x="2070100" y="260350"/>
          <a:ext cx="33708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Mn</a:t>
          </a:r>
        </a:p>
      </cdr:txBody>
    </cdr:sp>
  </cdr:relSizeAnchor>
  <cdr:relSizeAnchor xmlns:cdr="http://schemas.openxmlformats.org/drawingml/2006/chartDrawing">
    <cdr:from>
      <cdr:x>0.35439</cdr:x>
      <cdr:y>0.62419</cdr:y>
    </cdr:from>
    <cdr:to>
      <cdr:x>0.38299</cdr:x>
      <cdr:y>0.71152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2275D8E-5515-985C-BA63-5D57A76BC9DE}"/>
            </a:ext>
          </a:extLst>
        </cdr:cNvPr>
        <cdr:cNvSpPr txBox="1"/>
      </cdr:nvSpPr>
      <cdr:spPr>
        <a:xfrm xmlns:a="http://schemas.openxmlformats.org/drawingml/2006/main">
          <a:off x="2832100" y="2146300"/>
          <a:ext cx="228524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Tc</a:t>
          </a:r>
        </a:p>
      </cdr:txBody>
    </cdr:sp>
  </cdr:relSizeAnchor>
  <cdr:relSizeAnchor xmlns:cdr="http://schemas.openxmlformats.org/drawingml/2006/chartDrawing">
    <cdr:from>
      <cdr:x>0.43544</cdr:x>
      <cdr:y>0.46907</cdr:y>
    </cdr:from>
    <cdr:to>
      <cdr:x>0.46861</cdr:x>
      <cdr:y>0.55639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E8EE652-12EE-06BE-3CAC-660B983941CB}"/>
            </a:ext>
          </a:extLst>
        </cdr:cNvPr>
        <cdr:cNvSpPr txBox="1"/>
      </cdr:nvSpPr>
      <cdr:spPr>
        <a:xfrm xmlns:a="http://schemas.openxmlformats.org/drawingml/2006/main">
          <a:off x="3479800" y="1612900"/>
          <a:ext cx="2650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Ru</a:t>
          </a:r>
        </a:p>
      </cdr:txBody>
    </cdr:sp>
  </cdr:relSizeAnchor>
  <cdr:relSizeAnchor xmlns:cdr="http://schemas.openxmlformats.org/drawingml/2006/chartDrawing">
    <cdr:from>
      <cdr:x>0.67382</cdr:x>
      <cdr:y>0.71283</cdr:y>
    </cdr:from>
    <cdr:to>
      <cdr:x>0.70619</cdr:x>
      <cdr:y>0.80016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80660E3C-7521-68B5-5D5B-A0D46A472EAB}"/>
            </a:ext>
          </a:extLst>
        </cdr:cNvPr>
        <cdr:cNvSpPr txBox="1"/>
      </cdr:nvSpPr>
      <cdr:spPr>
        <a:xfrm xmlns:a="http://schemas.openxmlformats.org/drawingml/2006/main">
          <a:off x="5384800" y="2451100"/>
          <a:ext cx="258661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Re</a:t>
          </a:r>
        </a:p>
      </cdr:txBody>
    </cdr:sp>
  </cdr:relSizeAnchor>
  <cdr:relSizeAnchor xmlns:cdr="http://schemas.openxmlformats.org/drawingml/2006/chartDrawing">
    <cdr:from>
      <cdr:x>0.76083</cdr:x>
      <cdr:y>0.59372</cdr:y>
    </cdr:from>
    <cdr:to>
      <cdr:x>0.79356</cdr:x>
      <cdr:y>0.68105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0080A85-8356-4018-5774-67FDD19FF558}"/>
            </a:ext>
          </a:extLst>
        </cdr:cNvPr>
        <cdr:cNvSpPr txBox="1"/>
      </cdr:nvSpPr>
      <cdr:spPr>
        <a:xfrm xmlns:a="http://schemas.openxmlformats.org/drawingml/2006/main">
          <a:off x="6080125" y="2041525"/>
          <a:ext cx="26161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Os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276224</xdr:colOff>
      <xdr:row>7</xdr:row>
      <xdr:rowOff>104774</xdr:rowOff>
    </xdr:from>
    <xdr:to>
      <xdr:col>10</xdr:col>
      <xdr:colOff>485775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3A8B-9CBF-481D-B835-AE75E0358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0.24519</cdr:x>
      <cdr:y>0.14464</cdr:y>
    </cdr:from>
    <cdr:to>
      <cdr:x>0.27732</cdr:x>
      <cdr:y>0.23522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54A8CD3-8CA2-7EF7-67E7-B20B1F08A8DD}"/>
            </a:ext>
          </a:extLst>
        </cdr:cNvPr>
        <cdr:cNvSpPr txBox="1"/>
      </cdr:nvSpPr>
      <cdr:spPr>
        <a:xfrm xmlns:a="http://schemas.openxmlformats.org/drawingml/2006/main">
          <a:off x="2022475" y="479425"/>
          <a:ext cx="265073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Ru</a:t>
          </a:r>
        </a:p>
      </cdr:txBody>
    </cdr:sp>
  </cdr:relSizeAnchor>
  <cdr:relSizeAnchor xmlns:cdr="http://schemas.openxmlformats.org/drawingml/2006/chartDrawing">
    <cdr:from>
      <cdr:x>0.8341</cdr:x>
      <cdr:y>0.59579</cdr:y>
    </cdr:from>
    <cdr:to>
      <cdr:x>0.86582</cdr:x>
      <cdr:y>0.68637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1117A8C-37E4-BDFF-3A5A-1A13F707BEC0}"/>
            </a:ext>
          </a:extLst>
        </cdr:cNvPr>
        <cdr:cNvSpPr txBox="1"/>
      </cdr:nvSpPr>
      <cdr:spPr>
        <a:xfrm xmlns:a="http://schemas.openxmlformats.org/drawingml/2006/main">
          <a:off x="6880225" y="1974850"/>
          <a:ext cx="261610" cy="3002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9144" tIns="9144" rIns="9144" bIns="9144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/>
            <a:t>Os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416B-73F8-4A1B-B4CE-47657D50804A}">
  <dimension ref="A1:O323"/>
  <sheetViews>
    <sheetView tabSelected="1" workbookViewId="0">
      <selection activeCell="A4" sqref="A4"/>
    </sheetView>
  </sheetViews>
  <sheetFormatPr defaultRowHeight="15"/>
  <cols>
    <col min="1" max="2" width="9.140625" style="285"/>
    <col min="3" max="3" width="15.42578125" style="285" bestFit="1" customWidth="1"/>
    <col min="4" max="4" width="15.140625" style="285" bestFit="1" customWidth="1"/>
    <col min="5" max="5" width="15.42578125" style="285" bestFit="1" customWidth="1"/>
    <col min="6" max="6" width="14.7109375" style="285" bestFit="1" customWidth="1"/>
    <col min="7" max="11" width="15.42578125" style="285" bestFit="1" customWidth="1"/>
    <col min="12" max="12" width="11" style="285" customWidth="1"/>
    <col min="13" max="13" width="9.140625" style="285"/>
    <col min="14" max="14" width="12.28515625" style="285" customWidth="1"/>
  </cols>
  <sheetData>
    <row r="1" spans="1:15">
      <c r="A1" s="289" t="s">
        <v>487</v>
      </c>
    </row>
    <row r="2" spans="1:15">
      <c r="B2" s="285" t="s">
        <v>488</v>
      </c>
    </row>
    <row r="4" spans="1:15">
      <c r="A4" s="289" t="s">
        <v>499</v>
      </c>
      <c r="B4" s="289" t="s">
        <v>307</v>
      </c>
      <c r="C4" s="82" t="s">
        <v>475</v>
      </c>
      <c r="D4" s="82" t="s">
        <v>476</v>
      </c>
      <c r="E4" s="82" t="s">
        <v>477</v>
      </c>
      <c r="F4" s="82" t="s">
        <v>478</v>
      </c>
      <c r="G4" s="82" t="s">
        <v>479</v>
      </c>
      <c r="H4" s="82" t="s">
        <v>480</v>
      </c>
      <c r="I4" s="82" t="s">
        <v>481</v>
      </c>
      <c r="J4" s="82" t="s">
        <v>482</v>
      </c>
      <c r="K4" s="82" t="s">
        <v>483</v>
      </c>
      <c r="L4" s="82" t="s">
        <v>489</v>
      </c>
      <c r="M4" s="82" t="s">
        <v>484</v>
      </c>
      <c r="N4" s="82" t="s">
        <v>490</v>
      </c>
      <c r="O4" t="s">
        <v>485</v>
      </c>
    </row>
    <row r="6" spans="1:15">
      <c r="A6" s="285" t="s">
        <v>2</v>
      </c>
      <c r="B6" s="285" t="s">
        <v>486</v>
      </c>
      <c r="C6" s="286">
        <v>0.78851280000000001</v>
      </c>
      <c r="D6" s="286">
        <v>1.9555419999999999</v>
      </c>
      <c r="E6" s="286">
        <v>0.69696820000000004</v>
      </c>
      <c r="F6" s="286">
        <v>4.6223539999999996</v>
      </c>
      <c r="G6" s="286">
        <v>0.34126230000000002</v>
      </c>
      <c r="H6" s="286">
        <v>0.63154049999999995</v>
      </c>
      <c r="I6" s="286">
        <v>0.1564905</v>
      </c>
      <c r="J6" s="286">
        <v>10.081777000000001</v>
      </c>
      <c r="K6" s="286">
        <v>1.672995E-2</v>
      </c>
      <c r="L6" s="287">
        <v>1E-4</v>
      </c>
      <c r="M6" s="288">
        <v>2</v>
      </c>
      <c r="N6" s="287">
        <v>0</v>
      </c>
    </row>
    <row r="7" spans="1:15">
      <c r="A7" s="285" t="s">
        <v>298</v>
      </c>
      <c r="B7" s="285" t="s">
        <v>486</v>
      </c>
      <c r="C7" s="286">
        <v>0.51142080000000001</v>
      </c>
      <c r="D7" s="286">
        <v>0.45737549999999999</v>
      </c>
      <c r="E7" s="286">
        <v>0.86979410000000001</v>
      </c>
      <c r="F7" s="286">
        <v>1.3611169999999999</v>
      </c>
      <c r="G7" s="286">
        <v>7.4152270000000006E-2</v>
      </c>
      <c r="H7" s="286">
        <v>6.0718170000000002</v>
      </c>
      <c r="I7" s="286">
        <v>0.51416680000000003</v>
      </c>
      <c r="J7" s="286">
        <v>3.009585</v>
      </c>
      <c r="K7" s="286">
        <v>3.0461240000000001E-2</v>
      </c>
      <c r="L7" s="287">
        <v>0</v>
      </c>
      <c r="M7" s="288">
        <v>2</v>
      </c>
      <c r="N7" s="287">
        <v>0</v>
      </c>
    </row>
    <row r="8" spans="1:15">
      <c r="A8" s="285" t="s">
        <v>3</v>
      </c>
      <c r="B8" s="285" t="s">
        <v>486</v>
      </c>
      <c r="C8" s="286">
        <v>0.3635061</v>
      </c>
      <c r="D8" s="286">
        <v>49.526645000000002</v>
      </c>
      <c r="E8" s="286">
        <v>1.5176750000000001</v>
      </c>
      <c r="F8" s="286">
        <v>0.89411050000000003</v>
      </c>
      <c r="G8" s="286">
        <v>1.8097970000000001</v>
      </c>
      <c r="H8" s="286">
        <v>21.722127</v>
      </c>
      <c r="I8" s="286">
        <v>-6.6912449999999998E-2</v>
      </c>
      <c r="J8" s="286">
        <v>-0.25362459999999998</v>
      </c>
      <c r="K8" s="286">
        <v>0.37636370000000002</v>
      </c>
      <c r="L8" s="287">
        <v>2.0999999999999999E-3</v>
      </c>
      <c r="M8" s="288">
        <v>0.72</v>
      </c>
      <c r="N8" s="287">
        <v>8.0000000000000004E-4</v>
      </c>
    </row>
    <row r="9" spans="1:15">
      <c r="A9" s="285" t="s">
        <v>4</v>
      </c>
      <c r="B9" s="285" t="s">
        <v>486</v>
      </c>
      <c r="C9" s="286">
        <v>1.1352960000000001</v>
      </c>
      <c r="D9" s="286">
        <v>1.168685</v>
      </c>
      <c r="E9" s="286">
        <v>0.98121349999999996</v>
      </c>
      <c r="F9" s="286">
        <v>18.383994999999999</v>
      </c>
      <c r="G9" s="286">
        <v>0.72350179999999997</v>
      </c>
      <c r="H9" s="286">
        <v>0.31663069999999999</v>
      </c>
      <c r="I9" s="286">
        <v>0.14342340000000001</v>
      </c>
      <c r="J9" s="286">
        <v>39.092368</v>
      </c>
      <c r="K9" s="286">
        <v>1.6715689999999998E-2</v>
      </c>
      <c r="L9" s="287">
        <v>5.9999999999999995E-4</v>
      </c>
      <c r="M9" s="288">
        <v>0.73</v>
      </c>
      <c r="N9" s="287">
        <v>2.0000000000000001E-4</v>
      </c>
    </row>
    <row r="10" spans="1:15">
      <c r="A10" s="285" t="s">
        <v>5</v>
      </c>
      <c r="B10" s="285" t="s">
        <v>486</v>
      </c>
      <c r="C10" s="286">
        <v>0.88549840000000002</v>
      </c>
      <c r="D10" s="286">
        <v>1.012327</v>
      </c>
      <c r="E10" s="286">
        <v>3.6532149999999999E-2</v>
      </c>
      <c r="F10" s="286">
        <v>4.1813469999999997</v>
      </c>
      <c r="G10" s="286">
        <v>0.65725750000000005</v>
      </c>
      <c r="H10" s="286">
        <v>0.34701759999999998</v>
      </c>
      <c r="I10" s="286">
        <v>0.37564890000000001</v>
      </c>
      <c r="J10" s="286">
        <v>2.1638820000000001</v>
      </c>
      <c r="K10" s="286">
        <v>4.5062480000000002E-2</v>
      </c>
      <c r="L10" s="287">
        <v>0</v>
      </c>
      <c r="M10" s="288">
        <v>2</v>
      </c>
      <c r="N10" s="287">
        <v>0</v>
      </c>
    </row>
    <row r="11" spans="1:15">
      <c r="A11" s="285" t="s">
        <v>6</v>
      </c>
      <c r="B11" s="285" t="s">
        <v>486</v>
      </c>
      <c r="C11" s="286">
        <v>2.1649090000000002</v>
      </c>
      <c r="D11" s="286">
        <v>13.010076</v>
      </c>
      <c r="E11" s="286">
        <v>1.573609</v>
      </c>
      <c r="F11" s="286">
        <v>0.57982299999999998</v>
      </c>
      <c r="G11" s="286">
        <v>1.022076</v>
      </c>
      <c r="H11" s="286">
        <v>29.393197000000001</v>
      </c>
      <c r="I11" s="286">
        <v>-1.193705E-4</v>
      </c>
      <c r="J11" s="286">
        <v>-1.2523629999999999</v>
      </c>
      <c r="K11" s="286">
        <v>0.2390263</v>
      </c>
      <c r="L11" s="287">
        <v>8.0000000000000004E-4</v>
      </c>
      <c r="M11" s="288">
        <v>0.92</v>
      </c>
      <c r="N11" s="287">
        <v>4.0000000000000002E-4</v>
      </c>
    </row>
    <row r="12" spans="1:15">
      <c r="A12" s="285" t="s">
        <v>7</v>
      </c>
      <c r="B12" s="285" t="s">
        <v>486</v>
      </c>
      <c r="C12" s="286">
        <v>1.92608</v>
      </c>
      <c r="D12" s="286">
        <v>13.041456999999999</v>
      </c>
      <c r="E12" s="286">
        <v>1.5610379999999999</v>
      </c>
      <c r="F12" s="286">
        <v>0.55546770000000001</v>
      </c>
      <c r="G12" s="286">
        <v>0.27287420000000001</v>
      </c>
      <c r="H12" s="286">
        <v>30.036961999999999</v>
      </c>
      <c r="I12" s="286">
        <v>32.009425</v>
      </c>
      <c r="J12" s="286">
        <v>2.0237210000000001E-4</v>
      </c>
      <c r="K12" s="286">
        <v>-31.768940000000001</v>
      </c>
      <c r="L12" s="287">
        <v>2.3E-3</v>
      </c>
      <c r="M12" s="288">
        <v>2</v>
      </c>
      <c r="N12" s="287">
        <v>8.9999999999999998E-4</v>
      </c>
    </row>
    <row r="13" spans="1:15">
      <c r="A13" s="285" t="s">
        <v>8</v>
      </c>
      <c r="B13" s="285" t="s">
        <v>486</v>
      </c>
      <c r="C13" s="286">
        <v>1.460378</v>
      </c>
      <c r="D13" s="286">
        <v>0.67343310000000001</v>
      </c>
      <c r="E13" s="286">
        <v>0.95705470000000004</v>
      </c>
      <c r="F13" s="286">
        <v>10.964523</v>
      </c>
      <c r="G13" s="286">
        <v>-0.1608607</v>
      </c>
      <c r="H13" s="286">
        <v>-0.14321829999999999</v>
      </c>
      <c r="I13" s="286">
        <v>0.1851727</v>
      </c>
      <c r="J13" s="286">
        <v>21.670438000000001</v>
      </c>
      <c r="K13" s="286">
        <v>0.55832619999999999</v>
      </c>
      <c r="L13" s="287">
        <v>4.0000000000000002E-4</v>
      </c>
      <c r="M13" s="288">
        <v>2</v>
      </c>
      <c r="N13" s="287">
        <v>1E-4</v>
      </c>
    </row>
    <row r="14" spans="1:15">
      <c r="A14" s="285" t="s">
        <v>9</v>
      </c>
      <c r="B14" s="285" t="s">
        <v>486</v>
      </c>
      <c r="C14" s="286">
        <v>0.86791459999999998</v>
      </c>
      <c r="D14" s="286">
        <v>0.78087300000000004</v>
      </c>
      <c r="E14" s="286">
        <v>0.7716653</v>
      </c>
      <c r="F14" s="286">
        <v>0.27076820000000001</v>
      </c>
      <c r="G14" s="286">
        <v>0.28203309999999998</v>
      </c>
      <c r="H14" s="286">
        <v>1.6387970000000001</v>
      </c>
      <c r="I14" s="286">
        <v>1.9585910000000002E-2</v>
      </c>
      <c r="J14" s="286">
        <v>3.090455</v>
      </c>
      <c r="K14" s="286">
        <v>5.8801109999999997E-2</v>
      </c>
      <c r="L14" s="287">
        <v>0</v>
      </c>
      <c r="M14" s="288">
        <v>2</v>
      </c>
      <c r="N14" s="287">
        <v>0</v>
      </c>
    </row>
    <row r="15" spans="1:15">
      <c r="A15" s="285" t="s">
        <v>306</v>
      </c>
      <c r="B15" s="285" t="s">
        <v>486</v>
      </c>
      <c r="C15" s="286">
        <v>2.4984519999999999</v>
      </c>
      <c r="D15" s="286">
        <v>15.639310999999999</v>
      </c>
      <c r="E15" s="286">
        <v>1.54027</v>
      </c>
      <c r="F15" s="286">
        <v>0.55356700000000003</v>
      </c>
      <c r="G15" s="286">
        <v>1.4909060000000001</v>
      </c>
      <c r="H15" s="286">
        <v>45.532341000000002</v>
      </c>
      <c r="I15" s="286">
        <v>0.26795200000000002</v>
      </c>
      <c r="J15" s="286">
        <v>3.2214510000000001</v>
      </c>
      <c r="K15" s="286">
        <v>0.19908809999999999</v>
      </c>
      <c r="L15" s="287">
        <v>3.5999999999999999E-3</v>
      </c>
      <c r="M15" s="288">
        <v>0.09</v>
      </c>
      <c r="N15" s="287">
        <v>1.4E-3</v>
      </c>
    </row>
    <row r="16" spans="1:15">
      <c r="A16" s="285" t="s">
        <v>10</v>
      </c>
      <c r="B16" s="285" t="s">
        <v>486</v>
      </c>
      <c r="C16" s="286">
        <v>0.2574515</v>
      </c>
      <c r="D16" s="286">
        <v>34.320509000000001</v>
      </c>
      <c r="E16" s="286">
        <v>1.569617</v>
      </c>
      <c r="F16" s="286">
        <v>0.41311740000000002</v>
      </c>
      <c r="G16" s="286">
        <v>2.1063399999999999</v>
      </c>
      <c r="H16" s="286">
        <v>8.1130010000000006</v>
      </c>
      <c r="I16" s="286">
        <v>1.8379719999999999</v>
      </c>
      <c r="J16" s="286">
        <v>16.927333999999998</v>
      </c>
      <c r="K16" s="286">
        <v>0.2286252</v>
      </c>
      <c r="L16" s="287">
        <v>1E-3</v>
      </c>
      <c r="M16" s="288">
        <v>2</v>
      </c>
      <c r="N16" s="287">
        <v>2.0000000000000001E-4</v>
      </c>
    </row>
    <row r="17" spans="1:14">
      <c r="A17" s="285" t="s">
        <v>11</v>
      </c>
      <c r="B17" s="285" t="s">
        <v>486</v>
      </c>
      <c r="C17" s="286">
        <v>1.5795570000000001</v>
      </c>
      <c r="D17" s="286">
        <v>0.40778009999999998</v>
      </c>
      <c r="E17" s="286">
        <v>1.046149</v>
      </c>
      <c r="F17" s="286">
        <v>17.327929000000001</v>
      </c>
      <c r="G17" s="286">
        <v>-3.6122469999999997E-2</v>
      </c>
      <c r="H17" s="286">
        <v>2.5009990000000002</v>
      </c>
      <c r="I17" s="286">
        <v>2.1845240000000001</v>
      </c>
      <c r="J17" s="286">
        <v>8.1442960000000006</v>
      </c>
      <c r="K17" s="286">
        <v>0.22547519999999999</v>
      </c>
      <c r="L17" s="287">
        <v>6.9999999999999999E-4</v>
      </c>
      <c r="M17" s="288">
        <v>2</v>
      </c>
      <c r="N17" s="287">
        <v>2.0000000000000001E-4</v>
      </c>
    </row>
    <row r="18" spans="1:14">
      <c r="A18" s="285" t="s">
        <v>12</v>
      </c>
      <c r="B18" s="285" t="s">
        <v>486</v>
      </c>
      <c r="C18" s="286">
        <v>0.76946490000000001</v>
      </c>
      <c r="D18" s="286">
        <v>14.120279</v>
      </c>
      <c r="E18" s="286">
        <v>1.5939639999999999</v>
      </c>
      <c r="F18" s="286">
        <v>0.40214539999999999</v>
      </c>
      <c r="G18" s="286">
        <v>1.6689419999999999</v>
      </c>
      <c r="H18" s="286">
        <v>7.0305840000000002</v>
      </c>
      <c r="I18" s="286">
        <v>-0.25535669999999999</v>
      </c>
      <c r="J18" s="286">
        <v>3.5308489999999999</v>
      </c>
      <c r="K18" s="286">
        <v>0.22281329999999999</v>
      </c>
      <c r="L18" s="287">
        <v>5.9999999999999995E-4</v>
      </c>
      <c r="M18" s="288">
        <v>2</v>
      </c>
      <c r="N18" s="287">
        <v>1E-4</v>
      </c>
    </row>
    <row r="19" spans="1:14">
      <c r="A19" s="285" t="s">
        <v>13</v>
      </c>
      <c r="B19" s="285" t="s">
        <v>486</v>
      </c>
      <c r="C19" s="286">
        <v>0.2241146</v>
      </c>
      <c r="D19" s="286">
        <v>13.730161000000001</v>
      </c>
      <c r="E19" s="286">
        <v>1.5714790000000001</v>
      </c>
      <c r="F19" s="286">
        <v>0.44674399999999997</v>
      </c>
      <c r="G19" s="286">
        <v>0.93115689999999995</v>
      </c>
      <c r="H19" s="286">
        <v>7.2527249999999999</v>
      </c>
      <c r="I19" s="286">
        <v>-1.502168E-4</v>
      </c>
      <c r="J19" s="286">
        <v>-1.074927</v>
      </c>
      <c r="K19" s="286">
        <v>0.27341939999999998</v>
      </c>
      <c r="L19" s="287">
        <v>2.0000000000000001E-4</v>
      </c>
      <c r="M19" s="288">
        <v>2</v>
      </c>
      <c r="N19" s="287">
        <v>1E-4</v>
      </c>
    </row>
    <row r="20" spans="1:14">
      <c r="A20" s="285" t="s">
        <v>14</v>
      </c>
      <c r="B20" s="285" t="s">
        <v>486</v>
      </c>
      <c r="C20" s="286">
        <v>0.83880140000000003</v>
      </c>
      <c r="D20" s="286">
        <v>0.61796620000000002</v>
      </c>
      <c r="E20" s="286">
        <v>0.2204836</v>
      </c>
      <c r="F20" s="286">
        <v>1.2832269999999999</v>
      </c>
      <c r="G20" s="286">
        <v>0.85827810000000004</v>
      </c>
      <c r="H20" s="286">
        <v>0.21582789999999999</v>
      </c>
      <c r="I20" s="286">
        <v>1.156253E-2</v>
      </c>
      <c r="J20" s="286">
        <v>2.3856869999999999</v>
      </c>
      <c r="K20" s="286">
        <v>7.0874320000000005E-2</v>
      </c>
      <c r="L20" s="287">
        <v>0</v>
      </c>
      <c r="M20" s="288">
        <v>2</v>
      </c>
      <c r="N20" s="287">
        <v>0</v>
      </c>
    </row>
    <row r="21" spans="1:14">
      <c r="A21" s="285" t="s">
        <v>15</v>
      </c>
      <c r="B21" s="285" t="s">
        <v>486</v>
      </c>
      <c r="C21" s="286">
        <v>2.4777960000000001</v>
      </c>
      <c r="D21" s="286">
        <v>11.685701</v>
      </c>
      <c r="E21" s="286">
        <v>2.1810480000000001</v>
      </c>
      <c r="F21" s="286">
        <v>5.5716219999999996</v>
      </c>
      <c r="G21" s="286">
        <v>1.553048</v>
      </c>
      <c r="H21" s="286">
        <v>0.31434420000000002</v>
      </c>
      <c r="I21" s="286">
        <v>0.55238920000000002</v>
      </c>
      <c r="J21" s="286">
        <v>24.480105999999999</v>
      </c>
      <c r="K21" s="286">
        <v>0.23560339999999999</v>
      </c>
      <c r="L21" s="287">
        <v>1E-4</v>
      </c>
      <c r="M21" s="288">
        <v>0.11</v>
      </c>
      <c r="N21" s="287">
        <v>1E-4</v>
      </c>
    </row>
    <row r="22" spans="1:14">
      <c r="A22" s="285" t="s">
        <v>16</v>
      </c>
      <c r="B22" s="285" t="s">
        <v>486</v>
      </c>
      <c r="C22" s="286">
        <v>0.12858649999999999</v>
      </c>
      <c r="D22" s="286">
        <v>24.070834999999999</v>
      </c>
      <c r="E22" s="286">
        <v>1.563175</v>
      </c>
      <c r="F22" s="286">
        <v>0.3045736</v>
      </c>
      <c r="G22" s="286">
        <v>1.7490060000000001</v>
      </c>
      <c r="H22" s="286">
        <v>11.710438</v>
      </c>
      <c r="I22" s="286">
        <v>2.3390279999999999</v>
      </c>
      <c r="J22" s="286">
        <v>5.6997090000000004</v>
      </c>
      <c r="K22" s="286">
        <v>0.2202501</v>
      </c>
      <c r="L22" s="287">
        <v>2.9999999999999997E-4</v>
      </c>
      <c r="M22" s="288">
        <v>2</v>
      </c>
      <c r="N22" s="287">
        <v>1E-4</v>
      </c>
    </row>
    <row r="23" spans="1:14">
      <c r="A23" s="285" t="s">
        <v>326</v>
      </c>
      <c r="B23" s="285" t="s">
        <v>486</v>
      </c>
      <c r="C23" s="286">
        <v>3.3989349999999998</v>
      </c>
      <c r="D23" s="286">
        <v>17.216213</v>
      </c>
      <c r="E23" s="286">
        <v>2.7659539999999998</v>
      </c>
      <c r="F23" s="286">
        <v>6.2463230000000003</v>
      </c>
      <c r="G23" s="286">
        <v>1.538618</v>
      </c>
      <c r="H23" s="286">
        <v>0.33835120000000002</v>
      </c>
      <c r="I23" s="286">
        <v>1.017296</v>
      </c>
      <c r="J23" s="286">
        <v>57.916476000000003</v>
      </c>
      <c r="K23" s="286">
        <v>0.2756305</v>
      </c>
      <c r="L23" s="287">
        <v>3.8E-3</v>
      </c>
      <c r="M23" s="288">
        <v>0.08</v>
      </c>
      <c r="N23" s="287">
        <v>1.1999999999999999E-3</v>
      </c>
    </row>
    <row r="24" spans="1:14">
      <c r="A24" s="285" t="s">
        <v>328</v>
      </c>
      <c r="B24" s="285" t="s">
        <v>486</v>
      </c>
      <c r="C24" s="286">
        <v>3.8406760000000002</v>
      </c>
      <c r="D24" s="286">
        <v>13.120596000000001</v>
      </c>
      <c r="E24" s="286">
        <v>3.194321</v>
      </c>
      <c r="F24" s="286">
        <v>4.7347130000000002</v>
      </c>
      <c r="G24" s="286">
        <v>1.490977</v>
      </c>
      <c r="H24" s="286">
        <v>0.28365960000000001</v>
      </c>
      <c r="I24" s="286">
        <v>1.1397470000000001</v>
      </c>
      <c r="J24" s="286">
        <v>43.373583000000004</v>
      </c>
      <c r="K24" s="286">
        <v>0.33056279999999999</v>
      </c>
      <c r="L24" s="287">
        <v>3.8999999999999998E-3</v>
      </c>
      <c r="M24" s="288">
        <v>0.09</v>
      </c>
      <c r="N24" s="287">
        <v>1.4E-3</v>
      </c>
    </row>
    <row r="25" spans="1:14">
      <c r="A25" s="285" t="s">
        <v>17</v>
      </c>
      <c r="B25" s="285" t="s">
        <v>486</v>
      </c>
      <c r="C25" s="286">
        <v>3.2546439999999999</v>
      </c>
      <c r="D25" s="286">
        <v>2.667389</v>
      </c>
      <c r="E25" s="286">
        <v>3.9366430000000001</v>
      </c>
      <c r="F25" s="286">
        <v>6.1135320000000002</v>
      </c>
      <c r="G25" s="286">
        <v>1.400455</v>
      </c>
      <c r="H25" s="286">
        <v>0.2000796</v>
      </c>
      <c r="I25" s="286">
        <v>1.0043690000000001</v>
      </c>
      <c r="J25" s="286">
        <v>14.021452</v>
      </c>
      <c r="K25" s="286">
        <v>0.40346320000000002</v>
      </c>
      <c r="L25" s="287">
        <v>5.9999999999999995E-4</v>
      </c>
      <c r="M25" s="288">
        <v>2</v>
      </c>
      <c r="N25" s="287">
        <v>2.0000000000000001E-4</v>
      </c>
    </row>
    <row r="26" spans="1:14">
      <c r="A26" s="285" t="s">
        <v>329</v>
      </c>
      <c r="B26" s="285" t="s">
        <v>486</v>
      </c>
      <c r="C26" s="286">
        <v>3.838946</v>
      </c>
      <c r="D26" s="286">
        <v>4.752243</v>
      </c>
      <c r="E26" s="286">
        <v>3.4960230000000001</v>
      </c>
      <c r="F26" s="286">
        <v>2.1676259999999998</v>
      </c>
      <c r="G26" s="286">
        <v>1.3292470000000001</v>
      </c>
      <c r="H26" s="286">
        <v>0.18483469999999999</v>
      </c>
      <c r="I26" s="286">
        <v>0.8511377</v>
      </c>
      <c r="J26" s="286">
        <v>10.124561</v>
      </c>
      <c r="K26" s="286">
        <v>0.4844638</v>
      </c>
      <c r="L26" s="287">
        <v>2.9999999999999997E-4</v>
      </c>
      <c r="M26" s="288">
        <v>2</v>
      </c>
      <c r="N26" s="287">
        <v>1E-4</v>
      </c>
    </row>
    <row r="27" spans="1:14">
      <c r="A27" s="285" t="s">
        <v>18</v>
      </c>
      <c r="B27" s="285" t="s">
        <v>486</v>
      </c>
      <c r="C27" s="286">
        <v>5.6829830000000001</v>
      </c>
      <c r="D27" s="286">
        <v>2.3648009999999999</v>
      </c>
      <c r="E27" s="286">
        <v>1.7968519999999999</v>
      </c>
      <c r="F27" s="286">
        <v>5.5301520000000002</v>
      </c>
      <c r="G27" s="286">
        <v>1.251503</v>
      </c>
      <c r="H27" s="286">
        <v>0.4069275</v>
      </c>
      <c r="I27" s="286">
        <v>2.308513</v>
      </c>
      <c r="J27" s="286">
        <v>43.010786000000003</v>
      </c>
      <c r="K27" s="286">
        <v>0.95309520000000003</v>
      </c>
      <c r="L27" s="287">
        <v>7.6E-3</v>
      </c>
      <c r="M27" s="288">
        <v>0.1</v>
      </c>
      <c r="N27" s="287">
        <v>2E-3</v>
      </c>
    </row>
    <row r="28" spans="1:14">
      <c r="A28" s="285" t="s">
        <v>330</v>
      </c>
      <c r="B28" s="285" t="s">
        <v>486</v>
      </c>
      <c r="C28" s="286">
        <v>3.7808730000000002</v>
      </c>
      <c r="D28" s="286">
        <v>1.81348</v>
      </c>
      <c r="E28" s="286">
        <v>3.6845699999999999</v>
      </c>
      <c r="F28" s="286">
        <v>3.8521269999999999</v>
      </c>
      <c r="G28" s="286">
        <v>0.69813080000000005</v>
      </c>
      <c r="H28" s="286">
        <v>7.8004220000000002</v>
      </c>
      <c r="I28" s="286">
        <v>1.253987</v>
      </c>
      <c r="J28" s="286">
        <v>0.18008759999999999</v>
      </c>
      <c r="K28" s="286">
        <v>0.58236069999999995</v>
      </c>
      <c r="L28" s="287">
        <v>2.0000000000000001E-4</v>
      </c>
      <c r="M28" s="288">
        <v>2</v>
      </c>
      <c r="N28" s="287">
        <v>0</v>
      </c>
    </row>
    <row r="29" spans="1:14">
      <c r="A29" s="285" t="s">
        <v>19</v>
      </c>
      <c r="B29" s="285" t="s">
        <v>486</v>
      </c>
      <c r="C29" s="286">
        <v>6.3144999999999998</v>
      </c>
      <c r="D29" s="286">
        <v>2.4170349999999998</v>
      </c>
      <c r="E29" s="286">
        <v>2.2929810000000002</v>
      </c>
      <c r="F29" s="286">
        <v>26.530961999999999</v>
      </c>
      <c r="G29" s="286">
        <v>1.939349</v>
      </c>
      <c r="H29" s="286">
        <v>0.66442060000000003</v>
      </c>
      <c r="I29" s="286">
        <v>1.316195</v>
      </c>
      <c r="J29" s="286">
        <v>52.973118999999997</v>
      </c>
      <c r="K29" s="286">
        <v>1.1358760000000001</v>
      </c>
      <c r="L29" s="287">
        <v>7.7999999999999996E-3</v>
      </c>
      <c r="M29" s="288">
        <v>2</v>
      </c>
      <c r="N29" s="287">
        <v>1.8E-3</v>
      </c>
    </row>
    <row r="30" spans="1:14">
      <c r="A30" s="285" t="s">
        <v>20</v>
      </c>
      <c r="B30" s="285" t="s">
        <v>486</v>
      </c>
      <c r="C30" s="286">
        <v>1.5824100000000001</v>
      </c>
      <c r="D30" s="286">
        <v>0.53982509999999995</v>
      </c>
      <c r="E30" s="286">
        <v>2.3476059999999999</v>
      </c>
      <c r="F30" s="286">
        <v>28.567685000000001</v>
      </c>
      <c r="G30" s="286">
        <v>6.3479179999999999</v>
      </c>
      <c r="H30" s="286">
        <v>2.2238519999999999</v>
      </c>
      <c r="I30" s="286">
        <v>0.63351729999999995</v>
      </c>
      <c r="J30" s="286">
        <v>6.8523389999999997</v>
      </c>
      <c r="K30" s="286">
        <v>1.084932</v>
      </c>
      <c r="L30" s="287">
        <v>3.8999999999999998E-3</v>
      </c>
      <c r="M30" s="288">
        <v>0.12</v>
      </c>
      <c r="N30" s="287">
        <v>1.6000000000000001E-3</v>
      </c>
    </row>
    <row r="31" spans="1:14">
      <c r="A31" s="285" t="s">
        <v>21</v>
      </c>
      <c r="B31" s="285" t="s">
        <v>486</v>
      </c>
      <c r="C31" s="286">
        <v>1.2363949999999999</v>
      </c>
      <c r="D31" s="286">
        <v>0.36017919999999998</v>
      </c>
      <c r="E31" s="286">
        <v>1.2926580000000001</v>
      </c>
      <c r="F31" s="286">
        <v>23.966277999999999</v>
      </c>
      <c r="G31" s="286">
        <v>5.4256409999999997</v>
      </c>
      <c r="H31" s="286">
        <v>1.887608</v>
      </c>
      <c r="I31" s="286">
        <v>2.0733570000000001</v>
      </c>
      <c r="J31" s="286">
        <v>4.0518660000000004</v>
      </c>
      <c r="K31" s="286">
        <v>0.97027680000000005</v>
      </c>
      <c r="L31" s="287">
        <v>1.8E-3</v>
      </c>
      <c r="M31" s="288">
        <v>0.13</v>
      </c>
      <c r="N31" s="287">
        <v>5.9999999999999995E-4</v>
      </c>
    </row>
    <row r="32" spans="1:14">
      <c r="A32" s="285" t="s">
        <v>22</v>
      </c>
      <c r="B32" s="285" t="s">
        <v>486</v>
      </c>
      <c r="C32" s="286">
        <v>4.0737079999999999</v>
      </c>
      <c r="D32" s="286">
        <v>1.5486279999999999</v>
      </c>
      <c r="E32" s="286">
        <v>3.492594</v>
      </c>
      <c r="F32" s="286">
        <v>3.212574</v>
      </c>
      <c r="G32" s="286">
        <v>1.191109</v>
      </c>
      <c r="H32" s="286">
        <v>0.18170610000000001</v>
      </c>
      <c r="I32" s="286">
        <v>0.56172880000000003</v>
      </c>
      <c r="J32" s="286">
        <v>6.2701169999999999</v>
      </c>
      <c r="K32" s="286">
        <v>0.68082779999999998</v>
      </c>
      <c r="L32" s="287">
        <v>1E-4</v>
      </c>
      <c r="M32" s="288">
        <v>2</v>
      </c>
      <c r="N32" s="287">
        <v>0</v>
      </c>
    </row>
    <row r="33" spans="1:14">
      <c r="A33" s="285" t="s">
        <v>331</v>
      </c>
      <c r="B33" s="285" t="s">
        <v>486</v>
      </c>
      <c r="C33" s="286">
        <v>6.2768050000000004</v>
      </c>
      <c r="D33" s="286">
        <v>2.484899</v>
      </c>
      <c r="E33" s="286">
        <v>2.906158</v>
      </c>
      <c r="F33" s="286">
        <v>35.427961000000003</v>
      </c>
      <c r="G33" s="286">
        <v>2.0647259999999998</v>
      </c>
      <c r="H33" s="286">
        <v>0.69432850000000002</v>
      </c>
      <c r="I33" s="286">
        <v>1.6057380000000001</v>
      </c>
      <c r="J33" s="286">
        <v>86.112544</v>
      </c>
      <c r="K33" s="286">
        <v>1.1446000000000001</v>
      </c>
      <c r="L33" s="287">
        <v>9.1000000000000004E-3</v>
      </c>
      <c r="M33" s="288">
        <v>2</v>
      </c>
      <c r="N33" s="287">
        <v>2.0999999999999999E-3</v>
      </c>
    </row>
    <row r="34" spans="1:14">
      <c r="A34" s="285" t="s">
        <v>23</v>
      </c>
      <c r="B34" s="285" t="s">
        <v>486</v>
      </c>
      <c r="C34" s="286">
        <v>0.8792044</v>
      </c>
      <c r="D34" s="286">
        <v>54.462690000000002</v>
      </c>
      <c r="E34" s="286">
        <v>3.8022529999999999</v>
      </c>
      <c r="F34" s="286">
        <v>24.650183999999999</v>
      </c>
      <c r="G34" s="286">
        <v>6.4132769999999999</v>
      </c>
      <c r="H34" s="286">
        <v>1.9087860000000001</v>
      </c>
      <c r="I34" s="286">
        <v>1.787301</v>
      </c>
      <c r="J34" s="286">
        <v>0.53099149999999995</v>
      </c>
      <c r="K34" s="286">
        <v>1.1182529999999999</v>
      </c>
      <c r="L34" s="287">
        <v>2E-3</v>
      </c>
      <c r="M34" s="288">
        <v>0.62</v>
      </c>
      <c r="N34" s="287">
        <v>8.0000000000000004E-4</v>
      </c>
    </row>
    <row r="35" spans="1:14">
      <c r="A35" s="285" t="s">
        <v>24</v>
      </c>
      <c r="B35" s="285" t="s">
        <v>486</v>
      </c>
      <c r="C35" s="286">
        <v>6.3206740000000003</v>
      </c>
      <c r="D35" s="286">
        <v>1.934957</v>
      </c>
      <c r="E35" s="286">
        <v>3.1415660000000001</v>
      </c>
      <c r="F35" s="286">
        <v>21.392851</v>
      </c>
      <c r="G35" s="286">
        <v>1.868657</v>
      </c>
      <c r="H35" s="286">
        <v>0.56027329999999997</v>
      </c>
      <c r="I35" s="286">
        <v>0.53507320000000003</v>
      </c>
      <c r="J35" s="286">
        <v>43.466887999999997</v>
      </c>
      <c r="K35" s="286">
        <v>1.134226</v>
      </c>
      <c r="L35" s="287">
        <v>2.5000000000000001E-3</v>
      </c>
      <c r="M35" s="288">
        <v>2</v>
      </c>
      <c r="N35" s="287">
        <v>5.9999999999999995E-4</v>
      </c>
    </row>
    <row r="36" spans="1:14">
      <c r="A36" s="285" t="s">
        <v>25</v>
      </c>
      <c r="B36" s="285" t="s">
        <v>486</v>
      </c>
      <c r="C36" s="286">
        <v>6.228745</v>
      </c>
      <c r="D36" s="286">
        <v>1.967185</v>
      </c>
      <c r="E36" s="286">
        <v>1.7684439999999999</v>
      </c>
      <c r="F36" s="286">
        <v>16.123745</v>
      </c>
      <c r="G36" s="286">
        <v>1.9544109999999999</v>
      </c>
      <c r="H36" s="286">
        <v>0.58831350000000004</v>
      </c>
      <c r="I36" s="286">
        <v>0.90003960000000005</v>
      </c>
      <c r="J36" s="286">
        <v>26.217687999999999</v>
      </c>
      <c r="K36" s="286">
        <v>1.1480459999999999</v>
      </c>
      <c r="L36" s="287">
        <v>3.0999999999999999E-3</v>
      </c>
      <c r="M36" s="288">
        <v>2</v>
      </c>
      <c r="N36" s="287">
        <v>5.9999999999999995E-4</v>
      </c>
    </row>
    <row r="37" spans="1:14">
      <c r="A37" s="285" t="s">
        <v>26</v>
      </c>
      <c r="B37" s="285" t="s">
        <v>486</v>
      </c>
      <c r="C37" s="286">
        <v>6.0220060000000002</v>
      </c>
      <c r="D37" s="286">
        <v>1.7702040000000001</v>
      </c>
      <c r="E37" s="286">
        <v>1.0719030000000001</v>
      </c>
      <c r="F37" s="286">
        <v>4.0397340000000002</v>
      </c>
      <c r="G37" s="286">
        <v>1.521995</v>
      </c>
      <c r="H37" s="286">
        <v>0.45075609999999999</v>
      </c>
      <c r="I37" s="286">
        <v>1.3037380000000001</v>
      </c>
      <c r="J37" s="286">
        <v>17.868054000000001</v>
      </c>
      <c r="K37" s="286">
        <v>1.079264</v>
      </c>
      <c r="L37" s="287">
        <v>1.1000000000000001E-3</v>
      </c>
      <c r="M37" s="288">
        <v>0.15</v>
      </c>
      <c r="N37" s="287">
        <v>5.0000000000000001E-4</v>
      </c>
    </row>
    <row r="38" spans="1:14">
      <c r="A38" s="285" t="s">
        <v>27</v>
      </c>
      <c r="B38" s="285" t="s">
        <v>486</v>
      </c>
      <c r="C38" s="286">
        <v>4.3512180000000003</v>
      </c>
      <c r="D38" s="286">
        <v>1.3424579999999999</v>
      </c>
      <c r="E38" s="286">
        <v>3.280799</v>
      </c>
      <c r="F38" s="286">
        <v>2.7339639999999998</v>
      </c>
      <c r="G38" s="286">
        <v>1.1516850000000001</v>
      </c>
      <c r="H38" s="286">
        <v>0.1861805</v>
      </c>
      <c r="I38" s="286">
        <v>0.44807859999999999</v>
      </c>
      <c r="J38" s="286">
        <v>5.1911300000000002</v>
      </c>
      <c r="K38" s="286">
        <v>0.76820509999999997</v>
      </c>
      <c r="L38" s="287">
        <v>0</v>
      </c>
      <c r="M38" s="288">
        <v>2</v>
      </c>
      <c r="N38" s="287">
        <v>0</v>
      </c>
    </row>
    <row r="39" spans="1:14">
      <c r="A39" s="285" t="s">
        <v>28</v>
      </c>
      <c r="B39" s="285" t="s">
        <v>486</v>
      </c>
      <c r="C39" s="286">
        <v>6.866657</v>
      </c>
      <c r="D39" s="286">
        <v>1.473382</v>
      </c>
      <c r="E39" s="286">
        <v>4.886806</v>
      </c>
      <c r="F39" s="286">
        <v>20.691934</v>
      </c>
      <c r="G39" s="286">
        <v>1.4323049999999999</v>
      </c>
      <c r="H39" s="286">
        <v>0.27121289999999998</v>
      </c>
      <c r="I39" s="286">
        <v>0.91044360000000002</v>
      </c>
      <c r="J39" s="286">
        <v>48.114375000000003</v>
      </c>
      <c r="K39" s="286">
        <v>0.90458939999999999</v>
      </c>
      <c r="L39" s="287">
        <v>4.1000000000000003E-3</v>
      </c>
      <c r="M39" s="288">
        <v>0.7</v>
      </c>
      <c r="N39" s="287">
        <v>1.6000000000000001E-3</v>
      </c>
    </row>
    <row r="40" spans="1:14">
      <c r="A40" s="285" t="s">
        <v>29</v>
      </c>
      <c r="B40" s="285" t="s">
        <v>486</v>
      </c>
      <c r="C40" s="286">
        <v>6.7369000000000003</v>
      </c>
      <c r="D40" s="286">
        <v>1.4998610000000001</v>
      </c>
      <c r="E40" s="286">
        <v>4.3314919999999999</v>
      </c>
      <c r="F40" s="286">
        <v>18.806531</v>
      </c>
      <c r="G40" s="286">
        <v>1.477009</v>
      </c>
      <c r="H40" s="286">
        <v>0.33174890000000001</v>
      </c>
      <c r="I40" s="286">
        <v>0.455843</v>
      </c>
      <c r="J40" s="286">
        <v>43.469234</v>
      </c>
      <c r="K40" s="286">
        <v>0.9995153</v>
      </c>
      <c r="L40" s="287">
        <v>2.8999999999999998E-3</v>
      </c>
      <c r="M40" s="288">
        <v>0.71</v>
      </c>
      <c r="N40" s="287">
        <v>1.1000000000000001E-3</v>
      </c>
    </row>
    <row r="41" spans="1:14">
      <c r="A41" s="285" t="s">
        <v>30</v>
      </c>
      <c r="B41" s="285" t="s">
        <v>486</v>
      </c>
      <c r="C41" s="286">
        <v>6.5147870000000001</v>
      </c>
      <c r="D41" s="286">
        <v>1.550589</v>
      </c>
      <c r="E41" s="286">
        <v>3.5037120000000002</v>
      </c>
      <c r="F41" s="286">
        <v>16.578979</v>
      </c>
      <c r="G41" s="286">
        <v>0.25020219999999999</v>
      </c>
      <c r="H41" s="286">
        <v>37.656455999999999</v>
      </c>
      <c r="I41" s="286">
        <v>1.644198</v>
      </c>
      <c r="J41" s="286">
        <v>0.4187632</v>
      </c>
      <c r="K41" s="286">
        <v>1.0875429999999999</v>
      </c>
      <c r="L41" s="287">
        <v>1.5E-3</v>
      </c>
      <c r="M41" s="288">
        <v>0.73</v>
      </c>
      <c r="N41" s="287">
        <v>5.9999999999999995E-4</v>
      </c>
    </row>
    <row r="42" spans="1:14">
      <c r="A42" s="285" t="s">
        <v>31</v>
      </c>
      <c r="B42" s="285" t="s">
        <v>486</v>
      </c>
      <c r="C42" s="286">
        <v>1.922968</v>
      </c>
      <c r="D42" s="286">
        <v>0.5070595</v>
      </c>
      <c r="E42" s="286">
        <v>6.233339</v>
      </c>
      <c r="F42" s="286">
        <v>1.6232409999999999</v>
      </c>
      <c r="G42" s="286">
        <v>2.4524020000000002</v>
      </c>
      <c r="H42" s="286">
        <v>13.85844</v>
      </c>
      <c r="I42" s="286">
        <v>0.2446759</v>
      </c>
      <c r="J42" s="286">
        <v>26.192018000000001</v>
      </c>
      <c r="K42" s="286">
        <v>1.1467080000000001</v>
      </c>
      <c r="L42" s="287">
        <v>8.9999999999999998E-4</v>
      </c>
      <c r="M42" s="288">
        <v>2</v>
      </c>
      <c r="N42" s="287">
        <v>2.0000000000000001E-4</v>
      </c>
    </row>
    <row r="43" spans="1:14">
      <c r="A43" s="285" t="s">
        <v>32</v>
      </c>
      <c r="B43" s="285" t="s">
        <v>486</v>
      </c>
      <c r="C43" s="286">
        <v>6.1191009999999997</v>
      </c>
      <c r="D43" s="286">
        <v>1.6688799999999999</v>
      </c>
      <c r="E43" s="286">
        <v>0.46485710000000002</v>
      </c>
      <c r="F43" s="286">
        <v>5.807696</v>
      </c>
      <c r="G43" s="286">
        <v>2.0419770000000002</v>
      </c>
      <c r="H43" s="286">
        <v>0.52626660000000003</v>
      </c>
      <c r="I43" s="286">
        <v>1.2188019999999999</v>
      </c>
      <c r="J43" s="286">
        <v>14.290179999999999</v>
      </c>
      <c r="K43" s="286">
        <v>1.1547529999999999</v>
      </c>
      <c r="L43" s="287">
        <v>1.1000000000000001E-3</v>
      </c>
      <c r="M43" s="288">
        <v>2</v>
      </c>
      <c r="N43" s="287">
        <v>2.9999999999999997E-4</v>
      </c>
    </row>
    <row r="44" spans="1:14">
      <c r="A44" s="285" t="s">
        <v>33</v>
      </c>
      <c r="B44" s="285" t="s">
        <v>486</v>
      </c>
      <c r="C44" s="286">
        <v>1.1388560000000001</v>
      </c>
      <c r="D44" s="286">
        <v>0.19087850000000001</v>
      </c>
      <c r="E44" s="286">
        <v>4.5998000000000001</v>
      </c>
      <c r="F44" s="286">
        <v>1.177108</v>
      </c>
      <c r="G44" s="286">
        <v>3.063993</v>
      </c>
      <c r="H44" s="286">
        <v>2.3618749999999999</v>
      </c>
      <c r="I44" s="286">
        <v>0.35720190000000002</v>
      </c>
      <c r="J44" s="286">
        <v>4.3913260000000003</v>
      </c>
      <c r="K44" s="286">
        <v>0.84014219999999995</v>
      </c>
      <c r="L44" s="287">
        <v>0</v>
      </c>
      <c r="M44" s="288">
        <v>2</v>
      </c>
      <c r="N44" s="287">
        <v>0</v>
      </c>
    </row>
    <row r="45" spans="1:14">
      <c r="A45" s="285" t="s">
        <v>34</v>
      </c>
      <c r="B45" s="285" t="s">
        <v>486</v>
      </c>
      <c r="C45" s="286">
        <v>7.3402010000000004</v>
      </c>
      <c r="D45" s="286">
        <v>1.1441140000000001</v>
      </c>
      <c r="E45" s="286">
        <v>1.032448</v>
      </c>
      <c r="F45" s="286">
        <v>41.186112999999999</v>
      </c>
      <c r="G45" s="286">
        <v>5.8917469999999996</v>
      </c>
      <c r="H45" s="286">
        <v>17.294661000000001</v>
      </c>
      <c r="I45" s="286">
        <v>-0.1855677</v>
      </c>
      <c r="J45" s="286">
        <v>-0.248423</v>
      </c>
      <c r="K45" s="286">
        <v>1.9222939999999999</v>
      </c>
      <c r="L45" s="287">
        <v>5.5999999999999999E-3</v>
      </c>
      <c r="M45" s="288">
        <v>0.76</v>
      </c>
      <c r="N45" s="287">
        <v>2.3E-3</v>
      </c>
    </row>
    <row r="46" spans="1:14">
      <c r="A46" s="285" t="s">
        <v>35</v>
      </c>
      <c r="B46" s="285" t="s">
        <v>486</v>
      </c>
      <c r="C46" s="286">
        <v>0.53068029999999999</v>
      </c>
      <c r="D46" s="286">
        <v>38.528334999999998</v>
      </c>
      <c r="E46" s="286">
        <v>7.2771160000000004</v>
      </c>
      <c r="F46" s="286">
        <v>1.1587909999999999</v>
      </c>
      <c r="G46" s="286">
        <v>5.3865670000000003</v>
      </c>
      <c r="H46" s="286">
        <v>16.041143999999999</v>
      </c>
      <c r="I46" s="286">
        <v>-0.51922869999999999</v>
      </c>
      <c r="J46" s="286">
        <v>-0.137516</v>
      </c>
      <c r="K46" s="286">
        <v>2.3259759999999998</v>
      </c>
      <c r="L46" s="287">
        <v>4.4000000000000003E-3</v>
      </c>
      <c r="M46" s="288">
        <v>0.77</v>
      </c>
      <c r="N46" s="287">
        <v>1.9E-3</v>
      </c>
    </row>
    <row r="47" spans="1:14">
      <c r="A47" s="285" t="s">
        <v>36</v>
      </c>
      <c r="B47" s="285" t="s">
        <v>486</v>
      </c>
      <c r="C47" s="286">
        <v>4.6195500000000003</v>
      </c>
      <c r="D47" s="286">
        <v>14.586252999999999</v>
      </c>
      <c r="E47" s="286">
        <v>7.1438280000000001</v>
      </c>
      <c r="F47" s="286">
        <v>1.1902140000000001</v>
      </c>
      <c r="G47" s="286">
        <v>0.26943590000000001</v>
      </c>
      <c r="H47" s="286">
        <v>36.193966000000003</v>
      </c>
      <c r="I47" s="286">
        <v>4.759843</v>
      </c>
      <c r="J47" s="286">
        <v>2.965901E-2</v>
      </c>
      <c r="K47" s="286">
        <v>-2.7918729999999998</v>
      </c>
      <c r="L47" s="287">
        <v>2.8999999999999998E-3</v>
      </c>
      <c r="M47" s="288">
        <v>0.78</v>
      </c>
      <c r="N47" s="287">
        <v>1.2999999999999999E-3</v>
      </c>
    </row>
    <row r="48" spans="1:14">
      <c r="A48" s="285" t="s">
        <v>37</v>
      </c>
      <c r="B48" s="285" t="s">
        <v>486</v>
      </c>
      <c r="C48" s="286">
        <v>3.6731319999999998</v>
      </c>
      <c r="D48" s="286">
        <v>13.004648</v>
      </c>
      <c r="E48" s="286">
        <v>0.15878139999999999</v>
      </c>
      <c r="F48" s="286">
        <v>31.777090000000001</v>
      </c>
      <c r="G48" s="286">
        <v>6.8671189999999998</v>
      </c>
      <c r="H48" s="286">
        <v>1.247681</v>
      </c>
      <c r="I48" s="286">
        <v>1.436566</v>
      </c>
      <c r="J48" s="286">
        <v>0.22460730000000001</v>
      </c>
      <c r="K48" s="286">
        <v>0.86484150000000004</v>
      </c>
      <c r="L48" s="287">
        <v>1.5E-3</v>
      </c>
      <c r="M48" s="288">
        <v>0.8</v>
      </c>
      <c r="N48" s="287">
        <v>6.9999999999999999E-4</v>
      </c>
    </row>
    <row r="49" spans="1:14">
      <c r="A49" s="285" t="s">
        <v>38</v>
      </c>
      <c r="B49" s="285" t="s">
        <v>486</v>
      </c>
      <c r="C49" s="286">
        <v>1.745757</v>
      </c>
      <c r="D49" s="286">
        <v>0.39967190000000002</v>
      </c>
      <c r="E49" s="286">
        <v>0.13566449999999999</v>
      </c>
      <c r="F49" s="286">
        <v>23.575742000000002</v>
      </c>
      <c r="G49" s="286">
        <v>6.4008419999999999</v>
      </c>
      <c r="H49" s="286">
        <v>1.338136</v>
      </c>
      <c r="I49" s="286">
        <v>2.6052529999999998</v>
      </c>
      <c r="J49" s="286">
        <v>11.221575</v>
      </c>
      <c r="K49" s="286">
        <v>1.1126389999999999</v>
      </c>
      <c r="L49" s="287">
        <v>4.0000000000000002E-4</v>
      </c>
      <c r="M49" s="288">
        <v>0.83</v>
      </c>
      <c r="N49" s="287">
        <v>2.0000000000000001E-4</v>
      </c>
    </row>
    <row r="50" spans="1:14">
      <c r="A50" s="285" t="s">
        <v>39</v>
      </c>
      <c r="B50" s="285" t="s">
        <v>486</v>
      </c>
      <c r="C50" s="286">
        <v>5.9013249999999999</v>
      </c>
      <c r="D50" s="286">
        <v>1.474915</v>
      </c>
      <c r="E50" s="286">
        <v>0.82780759999999998</v>
      </c>
      <c r="F50" s="286">
        <v>12.524889</v>
      </c>
      <c r="G50" s="286">
        <v>2.352166</v>
      </c>
      <c r="H50" s="286">
        <v>0.51546950000000002</v>
      </c>
      <c r="I50" s="286">
        <v>0.73464660000000004</v>
      </c>
      <c r="J50" s="286">
        <v>7.6715460000000002</v>
      </c>
      <c r="K50" s="286">
        <v>1.1839010000000001</v>
      </c>
      <c r="L50" s="287">
        <v>6.9999999999999999E-4</v>
      </c>
      <c r="M50" s="288">
        <v>2</v>
      </c>
      <c r="N50" s="287">
        <v>1E-4</v>
      </c>
    </row>
    <row r="51" spans="1:14">
      <c r="A51" s="285" t="s">
        <v>40</v>
      </c>
      <c r="B51" s="285" t="s">
        <v>486</v>
      </c>
      <c r="C51" s="286">
        <v>4.8132109999999999</v>
      </c>
      <c r="D51" s="286">
        <v>1.0414870000000001</v>
      </c>
      <c r="E51" s="286">
        <v>2.853005</v>
      </c>
      <c r="F51" s="286">
        <v>2.0642469999999999</v>
      </c>
      <c r="G51" s="286">
        <v>1.150401</v>
      </c>
      <c r="H51" s="286">
        <v>0.19415160000000001</v>
      </c>
      <c r="I51" s="286">
        <v>0.28623720000000002</v>
      </c>
      <c r="J51" s="286">
        <v>3.7757010000000002</v>
      </c>
      <c r="K51" s="286">
        <v>0.89714400000000005</v>
      </c>
      <c r="L51" s="287">
        <v>0</v>
      </c>
      <c r="M51" s="288">
        <v>2</v>
      </c>
      <c r="N51" s="287">
        <v>0</v>
      </c>
    </row>
    <row r="52" spans="1:14">
      <c r="A52" s="285" t="s">
        <v>332</v>
      </c>
      <c r="B52" s="285" t="s">
        <v>486</v>
      </c>
      <c r="C52" s="286">
        <v>6.5032769999999998</v>
      </c>
      <c r="D52" s="286">
        <v>19.432162000000002</v>
      </c>
      <c r="E52" s="286">
        <v>7.3462959999999997</v>
      </c>
      <c r="F52" s="286">
        <v>1.1521300000000001</v>
      </c>
      <c r="G52" s="286">
        <v>2.3785790000000002</v>
      </c>
      <c r="H52" s="286">
        <v>59.882131999999999</v>
      </c>
      <c r="I52" s="286">
        <v>-0.2601289</v>
      </c>
      <c r="J52" s="286">
        <v>-0.20960570000000001</v>
      </c>
      <c r="K52" s="286">
        <v>2.0259079999999998</v>
      </c>
      <c r="L52" s="287">
        <v>6.4999999999999997E-3</v>
      </c>
      <c r="M52" s="288">
        <v>0.08</v>
      </c>
      <c r="N52" s="287">
        <v>2.8999999999999998E-3</v>
      </c>
    </row>
    <row r="53" spans="1:14">
      <c r="A53" s="285" t="s">
        <v>41</v>
      </c>
      <c r="B53" s="285" t="s">
        <v>486</v>
      </c>
      <c r="C53" s="286">
        <v>7.9654350000000003</v>
      </c>
      <c r="D53" s="286">
        <v>12.646145000000001</v>
      </c>
      <c r="E53" s="286">
        <v>7.4942380000000002</v>
      </c>
      <c r="F53" s="286">
        <v>0.7675729</v>
      </c>
      <c r="G53" s="286">
        <v>6.3594670000000004</v>
      </c>
      <c r="H53" s="286">
        <v>-2.0855779999999998E-3</v>
      </c>
      <c r="I53" s="286">
        <v>1.1824539999999999</v>
      </c>
      <c r="J53" s="286">
        <v>31.963201999999999</v>
      </c>
      <c r="K53" s="286">
        <v>-4.9994899999999998</v>
      </c>
      <c r="L53" s="287">
        <v>1.24E-2</v>
      </c>
      <c r="M53" s="288">
        <v>2</v>
      </c>
      <c r="N53" s="287">
        <v>4.7000000000000002E-3</v>
      </c>
    </row>
    <row r="54" spans="1:14">
      <c r="A54" s="285" t="s">
        <v>333</v>
      </c>
      <c r="B54" s="285" t="s">
        <v>486</v>
      </c>
      <c r="C54" s="286">
        <v>3.4822929999999999</v>
      </c>
      <c r="D54" s="286">
        <v>16.851517999999999</v>
      </c>
      <c r="E54" s="286">
        <v>7.530049</v>
      </c>
      <c r="F54" s="286">
        <v>0.68712510000000004</v>
      </c>
      <c r="G54" s="286">
        <v>300</v>
      </c>
      <c r="H54" s="286">
        <v>6.4196689999999998</v>
      </c>
      <c r="I54" s="286">
        <v>-294.44707099999999</v>
      </c>
      <c r="J54" s="286">
        <v>6.3739699999999999</v>
      </c>
      <c r="K54" s="286">
        <v>1.4335260000000001</v>
      </c>
      <c r="L54" s="287">
        <v>6.6E-3</v>
      </c>
      <c r="M54" s="288">
        <v>2</v>
      </c>
      <c r="N54" s="287">
        <v>1.2999999999999999E-3</v>
      </c>
    </row>
    <row r="55" spans="1:14">
      <c r="A55" s="285" t="s">
        <v>42</v>
      </c>
      <c r="B55" s="285" t="s">
        <v>486</v>
      </c>
      <c r="C55" s="286">
        <v>7.3720509999999999</v>
      </c>
      <c r="D55" s="286">
        <v>0.57401460000000004</v>
      </c>
      <c r="E55" s="286">
        <v>9.2071959999999997</v>
      </c>
      <c r="F55" s="286">
        <v>9.0721659999999993</v>
      </c>
      <c r="G55" s="286">
        <v>0.75610730000000004</v>
      </c>
      <c r="H55" s="286">
        <v>104.87421000000001</v>
      </c>
      <c r="I55" s="286">
        <v>1.3298669999999999</v>
      </c>
      <c r="J55" s="286">
        <v>43.619717000000001</v>
      </c>
      <c r="K55" s="286">
        <v>1.3353459999999999</v>
      </c>
      <c r="L55" s="287">
        <v>1.3899999999999999E-2</v>
      </c>
      <c r="M55" s="288">
        <v>1.06</v>
      </c>
      <c r="N55" s="287">
        <v>6.0000000000000001E-3</v>
      </c>
    </row>
    <row r="56" spans="1:14">
      <c r="A56" s="285" t="s">
        <v>43</v>
      </c>
      <c r="B56" s="285" t="s">
        <v>486</v>
      </c>
      <c r="C56" s="286">
        <v>8.6727080000000001</v>
      </c>
      <c r="D56" s="286">
        <v>8.2371800000000004</v>
      </c>
      <c r="E56" s="286">
        <v>7.7042999999999999</v>
      </c>
      <c r="F56" s="286">
        <v>0.62078270000000002</v>
      </c>
      <c r="G56" s="286">
        <v>2.025814</v>
      </c>
      <c r="H56" s="286">
        <v>21.687439000000001</v>
      </c>
      <c r="I56" s="286">
        <v>-0.85742759999999996</v>
      </c>
      <c r="J56" s="286">
        <v>2.2049989999999999</v>
      </c>
      <c r="K56" s="286">
        <v>1.4508760000000001</v>
      </c>
      <c r="L56" s="287">
        <v>4.1000000000000003E-3</v>
      </c>
      <c r="M56" s="288">
        <v>2</v>
      </c>
      <c r="N56" s="287">
        <v>1.6000000000000001E-3</v>
      </c>
    </row>
    <row r="57" spans="1:14">
      <c r="A57" s="285" t="s">
        <v>44</v>
      </c>
      <c r="B57" s="285" t="s">
        <v>486</v>
      </c>
      <c r="C57" s="286">
        <v>8.1176650000000006</v>
      </c>
      <c r="D57" s="286">
        <v>6.490488</v>
      </c>
      <c r="E57" s="286">
        <v>7.594201</v>
      </c>
      <c r="F57" s="286">
        <v>0.60794049999999999</v>
      </c>
      <c r="G57" s="286">
        <v>3.2176580000000001</v>
      </c>
      <c r="H57" s="286">
        <v>13.468427999999999</v>
      </c>
      <c r="I57" s="286">
        <v>-2.3602650000000001</v>
      </c>
      <c r="J57" s="286">
        <v>3.5765220000000002</v>
      </c>
      <c r="K57" s="286">
        <v>1.42998</v>
      </c>
      <c r="L57" s="287">
        <v>2.8999999999999998E-3</v>
      </c>
      <c r="M57" s="288">
        <v>2</v>
      </c>
      <c r="N57" s="287">
        <v>5.9999999999999995E-4</v>
      </c>
    </row>
    <row r="58" spans="1:14">
      <c r="A58" s="285" t="s">
        <v>334</v>
      </c>
      <c r="B58" s="285" t="s">
        <v>486</v>
      </c>
      <c r="C58" s="286">
        <v>9.9133139999999997</v>
      </c>
      <c r="D58" s="286">
        <v>0.62125050000000004</v>
      </c>
      <c r="E58" s="286">
        <v>-3.014894</v>
      </c>
      <c r="F58" s="286">
        <v>1.0088779999999999</v>
      </c>
      <c r="G58" s="286">
        <v>9.3228919999999995</v>
      </c>
      <c r="H58" s="286">
        <v>7.4379400000000002</v>
      </c>
      <c r="I58" s="286">
        <v>2.253654</v>
      </c>
      <c r="J58" s="286">
        <v>21.155652</v>
      </c>
      <c r="K58" s="286">
        <v>1.5201549999999999</v>
      </c>
      <c r="L58" s="287">
        <v>5.1000000000000004E-3</v>
      </c>
      <c r="M58" s="288">
        <v>0.13</v>
      </c>
      <c r="N58" s="287">
        <v>2E-3</v>
      </c>
    </row>
    <row r="59" spans="1:14">
      <c r="A59" s="285" t="s">
        <v>45</v>
      </c>
      <c r="B59" s="285" t="s">
        <v>486</v>
      </c>
      <c r="C59" s="286">
        <v>7.8016819999999996</v>
      </c>
      <c r="D59" s="286">
        <v>0.55647380000000002</v>
      </c>
      <c r="E59" s="286">
        <v>-1.2308889999999999</v>
      </c>
      <c r="F59" s="286">
        <v>1.9275059999999999</v>
      </c>
      <c r="G59" s="286">
        <v>8.6810960000000001</v>
      </c>
      <c r="H59" s="286">
        <v>6.6994150000000001</v>
      </c>
      <c r="I59" s="286">
        <v>2.291153</v>
      </c>
      <c r="J59" s="286">
        <v>15.180736</v>
      </c>
      <c r="K59" s="286">
        <v>1.4553849999999999</v>
      </c>
      <c r="L59" s="287">
        <v>2.0999999999999999E-3</v>
      </c>
      <c r="M59" s="288">
        <v>2</v>
      </c>
      <c r="N59" s="287">
        <v>8.0000000000000004E-4</v>
      </c>
    </row>
    <row r="60" spans="1:14">
      <c r="A60" s="285" t="s">
        <v>46</v>
      </c>
      <c r="B60" s="285" t="s">
        <v>486</v>
      </c>
      <c r="C60" s="286">
        <v>7.687157</v>
      </c>
      <c r="D60" s="286">
        <v>0.54361740000000003</v>
      </c>
      <c r="E60" s="286">
        <v>-1.9058079999999999</v>
      </c>
      <c r="F60" s="286">
        <v>2.5453619999999999</v>
      </c>
      <c r="G60" s="286">
        <v>7.894514</v>
      </c>
      <c r="H60" s="286">
        <v>5.7499830000000003</v>
      </c>
      <c r="I60" s="286">
        <v>2.8933230000000001</v>
      </c>
      <c r="J60" s="286">
        <v>11.15826</v>
      </c>
      <c r="K60" s="286">
        <v>1.4303600000000001</v>
      </c>
      <c r="L60" s="287">
        <v>1.2999999999999999E-3</v>
      </c>
      <c r="M60" s="288">
        <v>2</v>
      </c>
      <c r="N60" s="287">
        <v>2.9999999999999997E-4</v>
      </c>
    </row>
    <row r="61" spans="1:14">
      <c r="A61" s="285" t="s">
        <v>47</v>
      </c>
      <c r="B61" s="285" t="s">
        <v>486</v>
      </c>
      <c r="C61" s="286">
        <v>7.3586980000000004</v>
      </c>
      <c r="D61" s="286">
        <v>0.44500889999999999</v>
      </c>
      <c r="E61" s="286">
        <v>10.019672999999999</v>
      </c>
      <c r="F61" s="286">
        <v>6.9474289999999996</v>
      </c>
      <c r="G61" s="286">
        <v>2.9532210000000001</v>
      </c>
      <c r="H61" s="286">
        <v>21.661272</v>
      </c>
      <c r="I61" s="286">
        <v>0.42224850000000003</v>
      </c>
      <c r="J61" s="286">
        <v>65.920574000000002</v>
      </c>
      <c r="K61" s="286">
        <v>1.2467520000000001</v>
      </c>
      <c r="L61" s="287">
        <v>1.3299999999999999E-2</v>
      </c>
      <c r="M61" s="288">
        <v>2</v>
      </c>
      <c r="N61" s="287">
        <v>4.0000000000000001E-3</v>
      </c>
    </row>
    <row r="62" spans="1:14">
      <c r="A62" s="285" t="s">
        <v>48</v>
      </c>
      <c r="B62" s="285" t="s">
        <v>486</v>
      </c>
      <c r="C62" s="286">
        <v>9.9665610000000004</v>
      </c>
      <c r="D62" s="286">
        <v>6.6857959999999999</v>
      </c>
      <c r="E62" s="286">
        <v>300</v>
      </c>
      <c r="F62" s="286">
        <v>0.2282544</v>
      </c>
      <c r="G62" s="286">
        <v>-295.33305899999999</v>
      </c>
      <c r="H62" s="286">
        <v>0.22166179999999999</v>
      </c>
      <c r="I62" s="286">
        <v>2.558405</v>
      </c>
      <c r="J62" s="286">
        <v>19.736104000000001</v>
      </c>
      <c r="K62" s="286">
        <v>3.8022830000000001</v>
      </c>
      <c r="L62" s="287">
        <v>6.0000000000000001E-3</v>
      </c>
      <c r="M62" s="288">
        <v>0.13</v>
      </c>
      <c r="N62" s="287">
        <v>2.3999999999999998E-3</v>
      </c>
    </row>
    <row r="63" spans="1:14">
      <c r="A63" s="285" t="s">
        <v>49</v>
      </c>
      <c r="B63" s="285" t="s">
        <v>486</v>
      </c>
      <c r="C63" s="286">
        <v>9.6776689999999999</v>
      </c>
      <c r="D63" s="286">
        <v>0.56001389999999995</v>
      </c>
      <c r="E63" s="286">
        <v>9.395035</v>
      </c>
      <c r="F63" s="286">
        <v>6.1738989999999996</v>
      </c>
      <c r="G63" s="286">
        <v>2.3883649999999998</v>
      </c>
      <c r="H63" s="286">
        <v>14.969424</v>
      </c>
      <c r="I63" s="286">
        <v>-3.001128</v>
      </c>
      <c r="J63" s="286">
        <v>0.99645890000000004</v>
      </c>
      <c r="K63" s="286">
        <v>1.5379069999999999</v>
      </c>
      <c r="L63" s="287">
        <v>2.2000000000000001E-3</v>
      </c>
      <c r="M63" s="288">
        <v>0.15</v>
      </c>
      <c r="N63" s="287">
        <v>1E-3</v>
      </c>
    </row>
    <row r="64" spans="1:14">
      <c r="A64" s="285" t="s">
        <v>50</v>
      </c>
      <c r="B64" s="285" t="s">
        <v>486</v>
      </c>
      <c r="C64" s="286">
        <v>7.9689930000000002</v>
      </c>
      <c r="D64" s="286">
        <v>0.50522440000000002</v>
      </c>
      <c r="E64" s="286">
        <v>8.7811859999999999</v>
      </c>
      <c r="F64" s="286">
        <v>5.638452</v>
      </c>
      <c r="G64" s="286">
        <v>-1.579545</v>
      </c>
      <c r="H64" s="286">
        <v>1.5895109999999999</v>
      </c>
      <c r="I64" s="286">
        <v>2.3618399999999999</v>
      </c>
      <c r="J64" s="286">
        <v>11.791162</v>
      </c>
      <c r="K64" s="286">
        <v>1.4667239999999999</v>
      </c>
      <c r="L64" s="287">
        <v>1.1000000000000001E-3</v>
      </c>
      <c r="M64" s="288">
        <v>2</v>
      </c>
      <c r="N64" s="287">
        <v>4.0000000000000002E-4</v>
      </c>
    </row>
    <row r="65" spans="1:14">
      <c r="A65" s="285" t="s">
        <v>51</v>
      </c>
      <c r="B65" s="285" t="s">
        <v>486</v>
      </c>
      <c r="C65" s="286">
        <v>7.8088420000000003</v>
      </c>
      <c r="D65" s="286">
        <v>0.49089100000000002</v>
      </c>
      <c r="E65" s="286">
        <v>8.058522</v>
      </c>
      <c r="F65" s="286">
        <v>5.0433380000000003</v>
      </c>
      <c r="G65" s="286">
        <v>2.6266060000000002</v>
      </c>
      <c r="H65" s="286">
        <v>9.4242480000000004</v>
      </c>
      <c r="I65" s="286">
        <v>-1.929594</v>
      </c>
      <c r="J65" s="286">
        <v>1.9575100000000001</v>
      </c>
      <c r="K65" s="286">
        <v>1.4353469999999999</v>
      </c>
      <c r="L65" s="287">
        <v>6.9999999999999999E-4</v>
      </c>
      <c r="M65" s="288">
        <v>2</v>
      </c>
      <c r="N65" s="287">
        <v>2.0000000000000001E-4</v>
      </c>
    </row>
    <row r="66" spans="1:14">
      <c r="A66" s="285" t="s">
        <v>52</v>
      </c>
      <c r="B66" s="285" t="s">
        <v>486</v>
      </c>
      <c r="C66" s="286">
        <v>3.4862899999999999</v>
      </c>
      <c r="D66" s="286">
        <v>17.842191</v>
      </c>
      <c r="E66" s="286">
        <v>10.374967</v>
      </c>
      <c r="F66" s="286">
        <v>6.0580160000000003</v>
      </c>
      <c r="G66" s="286">
        <v>7.3569440000000004</v>
      </c>
      <c r="H66" s="286">
        <v>0.39192290000000002</v>
      </c>
      <c r="I66" s="286">
        <v>0.60233179999999997</v>
      </c>
      <c r="J66" s="286">
        <v>52.516922999999998</v>
      </c>
      <c r="K66" s="286">
        <v>1.1797150000000001</v>
      </c>
      <c r="L66" s="287">
        <v>1.1900000000000001E-2</v>
      </c>
      <c r="M66" s="288">
        <v>2</v>
      </c>
      <c r="N66" s="287">
        <v>3.0999999999999999E-3</v>
      </c>
    </row>
    <row r="67" spans="1:14">
      <c r="A67" s="285" t="s">
        <v>53</v>
      </c>
      <c r="B67" s="285" t="s">
        <v>486</v>
      </c>
      <c r="C67" s="286">
        <v>10.59355</v>
      </c>
      <c r="D67" s="286">
        <v>5.9786760000000001</v>
      </c>
      <c r="E67" s="286">
        <v>7.6832960000000003</v>
      </c>
      <c r="F67" s="286">
        <v>0.35921930000000002</v>
      </c>
      <c r="G67" s="286">
        <v>2.9388510000000001</v>
      </c>
      <c r="H67" s="286">
        <v>18.005102999999998</v>
      </c>
      <c r="I67" s="286">
        <v>6.4441469999999999E-3</v>
      </c>
      <c r="J67" s="286">
        <v>-0.76136839999999995</v>
      </c>
      <c r="K67" s="286">
        <v>0.77066710000000005</v>
      </c>
      <c r="L67" s="287">
        <v>7.4000000000000003E-3</v>
      </c>
      <c r="M67" s="288">
        <v>0.14000000000000001</v>
      </c>
      <c r="N67" s="287">
        <v>2.7000000000000001E-3</v>
      </c>
    </row>
    <row r="68" spans="1:14">
      <c r="A68" s="285" t="s">
        <v>54</v>
      </c>
      <c r="B68" s="285" t="s">
        <v>486</v>
      </c>
      <c r="C68" s="286">
        <v>2.5522140000000002</v>
      </c>
      <c r="D68" s="286">
        <v>14.384289000000001</v>
      </c>
      <c r="E68" s="286">
        <v>10.106942</v>
      </c>
      <c r="F68" s="286">
        <v>5.6687810000000001</v>
      </c>
      <c r="G68" s="286">
        <v>-161.68351899999999</v>
      </c>
      <c r="H68" s="286">
        <v>0.14204700000000001</v>
      </c>
      <c r="I68" s="286">
        <v>161.609883</v>
      </c>
      <c r="J68" s="286">
        <v>0.15791559999999999</v>
      </c>
      <c r="K68" s="286">
        <v>8.4120030000000003</v>
      </c>
      <c r="L68" s="287">
        <v>3.3E-3</v>
      </c>
      <c r="M68" s="288">
        <v>2</v>
      </c>
      <c r="N68" s="287">
        <v>1.2999999999999999E-3</v>
      </c>
    </row>
    <row r="69" spans="1:14">
      <c r="A69" s="285" t="s">
        <v>55</v>
      </c>
      <c r="B69" s="285" t="s">
        <v>486</v>
      </c>
      <c r="C69" s="286">
        <v>9.5193589999999997</v>
      </c>
      <c r="D69" s="286">
        <v>5.2423609999999998</v>
      </c>
      <c r="E69" s="286">
        <v>12.022048</v>
      </c>
      <c r="F69" s="286">
        <v>0.54205150000000002</v>
      </c>
      <c r="G69" s="286">
        <v>2.4214880000000001</v>
      </c>
      <c r="H69" s="286">
        <v>11.589957999999999</v>
      </c>
      <c r="I69" s="286">
        <v>-5.5439309999999997</v>
      </c>
      <c r="J69" s="286">
        <v>0.81982569999999999</v>
      </c>
      <c r="K69" s="286">
        <v>1.579933</v>
      </c>
      <c r="L69" s="287">
        <v>1.1999999999999999E-3</v>
      </c>
      <c r="M69" s="288">
        <v>2</v>
      </c>
      <c r="N69" s="287">
        <v>5.0000000000000001E-4</v>
      </c>
    </row>
    <row r="70" spans="1:14">
      <c r="A70" s="285" t="s">
        <v>56</v>
      </c>
      <c r="B70" s="285" t="s">
        <v>486</v>
      </c>
      <c r="C70" s="286">
        <v>8.2504220000000004</v>
      </c>
      <c r="D70" s="286">
        <v>0.46571180000000001</v>
      </c>
      <c r="E70" s="286">
        <v>8.9301980000000007</v>
      </c>
      <c r="F70" s="286">
        <v>4.8452679999999999</v>
      </c>
      <c r="G70" s="286">
        <v>2.3312810000000002</v>
      </c>
      <c r="H70" s="286">
        <v>9.6251339999999992</v>
      </c>
      <c r="I70" s="286">
        <v>-2.0005860000000002</v>
      </c>
      <c r="J70" s="286">
        <v>1.2916049999999999</v>
      </c>
      <c r="K70" s="286">
        <v>1.488237</v>
      </c>
      <c r="L70" s="287">
        <v>6.9999999999999999E-4</v>
      </c>
      <c r="M70" s="288">
        <v>2</v>
      </c>
      <c r="N70" s="287">
        <v>2.0000000000000001E-4</v>
      </c>
    </row>
    <row r="71" spans="1:14">
      <c r="A71" s="285" t="s">
        <v>57</v>
      </c>
      <c r="B71" s="285" t="s">
        <v>486</v>
      </c>
      <c r="C71" s="286">
        <v>7.9717440000000002</v>
      </c>
      <c r="D71" s="286">
        <v>0.44787660000000001</v>
      </c>
      <c r="E71" s="286">
        <v>8.2714560000000006</v>
      </c>
      <c r="F71" s="286">
        <v>4.4331160000000001</v>
      </c>
      <c r="G71" s="286">
        <v>2.4082080000000001</v>
      </c>
      <c r="H71" s="286">
        <v>8.078773</v>
      </c>
      <c r="I71" s="286">
        <v>-2.09816</v>
      </c>
      <c r="J71" s="286">
        <v>1.562503</v>
      </c>
      <c r="K71" s="286">
        <v>1.4465790000000001</v>
      </c>
      <c r="L71" s="287">
        <v>4.0000000000000002E-4</v>
      </c>
      <c r="M71" s="288">
        <v>2</v>
      </c>
      <c r="N71" s="287">
        <v>1E-4</v>
      </c>
    </row>
    <row r="72" spans="1:14">
      <c r="A72" s="285" t="s">
        <v>58</v>
      </c>
      <c r="B72" s="285" t="s">
        <v>486</v>
      </c>
      <c r="C72" s="286">
        <v>7.3650180000000001</v>
      </c>
      <c r="D72" s="286">
        <v>0.34190019999999999</v>
      </c>
      <c r="E72" s="286">
        <v>10.996506</v>
      </c>
      <c r="F72" s="286">
        <v>5.2880279999999997</v>
      </c>
      <c r="G72" s="286">
        <v>3.1615820000000001</v>
      </c>
      <c r="H72" s="286">
        <v>15.512307</v>
      </c>
      <c r="I72" s="286">
        <v>1.3992830000000001</v>
      </c>
      <c r="J72" s="286">
        <v>59.917994999999998</v>
      </c>
      <c r="K72" s="286">
        <v>1.075537</v>
      </c>
      <c r="L72" s="287">
        <v>1.01E-2</v>
      </c>
      <c r="M72" s="288">
        <v>2</v>
      </c>
      <c r="N72" s="287">
        <v>2.5999999999999999E-3</v>
      </c>
    </row>
    <row r="73" spans="1:14">
      <c r="A73" s="285" t="s">
        <v>59</v>
      </c>
      <c r="B73" s="285" t="s">
        <v>486</v>
      </c>
      <c r="C73" s="286">
        <v>7.3644990000000004</v>
      </c>
      <c r="D73" s="286">
        <v>0.34343639999999998</v>
      </c>
      <c r="E73" s="286">
        <v>10.813105999999999</v>
      </c>
      <c r="F73" s="286">
        <v>5.2843629999999999</v>
      </c>
      <c r="G73" s="286">
        <v>3.5143270000000002</v>
      </c>
      <c r="H73" s="286">
        <v>14.406344000000001</v>
      </c>
      <c r="I73" s="286">
        <v>0.2232199</v>
      </c>
      <c r="J73" s="286">
        <v>41.456004999999998</v>
      </c>
      <c r="K73" s="286">
        <v>1.0853999999999999</v>
      </c>
      <c r="L73" s="287">
        <v>1.01E-2</v>
      </c>
      <c r="M73" s="288">
        <v>2</v>
      </c>
      <c r="N73" s="287">
        <v>2.3999999999999998E-3</v>
      </c>
    </row>
    <row r="74" spans="1:14">
      <c r="A74" s="285" t="s">
        <v>60</v>
      </c>
      <c r="B74" s="285" t="s">
        <v>486</v>
      </c>
      <c r="C74" s="286">
        <v>10.723000000000001</v>
      </c>
      <c r="D74" s="286">
        <v>5.1061509999999997</v>
      </c>
      <c r="E74" s="286">
        <v>8.0817169999999994</v>
      </c>
      <c r="F74" s="286">
        <v>0.29290139999999998</v>
      </c>
      <c r="G74" s="286">
        <v>2.9420109999999999</v>
      </c>
      <c r="H74" s="286">
        <v>13.291008</v>
      </c>
      <c r="I74" s="286">
        <v>2.523367E-2</v>
      </c>
      <c r="J74" s="286">
        <v>-0.56289429999999996</v>
      </c>
      <c r="K74" s="286">
        <v>0.2245867</v>
      </c>
      <c r="L74" s="287">
        <v>3.5999999999999999E-3</v>
      </c>
      <c r="M74" s="288">
        <v>0.16</v>
      </c>
      <c r="N74" s="287">
        <v>1.5E-3</v>
      </c>
    </row>
    <row r="75" spans="1:14">
      <c r="A75" s="285" t="s">
        <v>61</v>
      </c>
      <c r="B75" s="285" t="s">
        <v>486</v>
      </c>
      <c r="C75" s="286">
        <v>10.271891999999999</v>
      </c>
      <c r="D75" s="286">
        <v>4.8716439999999999</v>
      </c>
      <c r="E75" s="286">
        <v>-201.333619</v>
      </c>
      <c r="F75" s="286">
        <v>8.3746940000000006E-2</v>
      </c>
      <c r="G75" s="286">
        <v>2.5087120000000001</v>
      </c>
      <c r="H75" s="286">
        <v>11.252072</v>
      </c>
      <c r="I75" s="286">
        <v>186.686679</v>
      </c>
      <c r="J75" s="286">
        <v>0.1020118</v>
      </c>
      <c r="K75" s="286">
        <v>22.865120999999998</v>
      </c>
      <c r="L75" s="287">
        <v>2.3E-3</v>
      </c>
      <c r="M75" s="288">
        <v>2</v>
      </c>
      <c r="N75" s="287">
        <v>8.0000000000000004E-4</v>
      </c>
    </row>
    <row r="76" spans="1:14">
      <c r="A76" s="285" t="s">
        <v>62</v>
      </c>
      <c r="B76" s="285" t="s">
        <v>486</v>
      </c>
      <c r="C76" s="286">
        <v>2.4143729999999999</v>
      </c>
      <c r="D76" s="286">
        <v>9.3934350000000002</v>
      </c>
      <c r="E76" s="286">
        <v>299.37266699999998</v>
      </c>
      <c r="F76" s="286">
        <v>0.5929487</v>
      </c>
      <c r="G76" s="286">
        <v>-293.07691899999998</v>
      </c>
      <c r="H76" s="286">
        <v>0.6001417</v>
      </c>
      <c r="I76" s="286">
        <v>9.6632549999999995</v>
      </c>
      <c r="J76" s="286">
        <v>4.5161800000000003</v>
      </c>
      <c r="K76" s="286">
        <v>1.6259859999999999</v>
      </c>
      <c r="L76" s="287">
        <v>6.9999999999999999E-4</v>
      </c>
      <c r="M76" s="288">
        <v>0.18</v>
      </c>
      <c r="N76" s="287">
        <v>2.9999999999999997E-4</v>
      </c>
    </row>
    <row r="77" spans="1:14">
      <c r="A77" s="285" t="s">
        <v>63</v>
      </c>
      <c r="B77" s="285" t="s">
        <v>486</v>
      </c>
      <c r="C77" s="286">
        <v>2.250661</v>
      </c>
      <c r="D77" s="286">
        <v>8.0951179999999994</v>
      </c>
      <c r="E77" s="286">
        <v>8.8059940000000001</v>
      </c>
      <c r="F77" s="286">
        <v>0.43893840000000001</v>
      </c>
      <c r="G77" s="286">
        <v>9.0985630000000004</v>
      </c>
      <c r="H77" s="286">
        <v>4.2235259999999997</v>
      </c>
      <c r="I77" s="286">
        <v>-2.6807180000000002</v>
      </c>
      <c r="J77" s="286">
        <v>1.0331900000000001</v>
      </c>
      <c r="K77" s="286">
        <v>1.525234</v>
      </c>
      <c r="L77" s="287">
        <v>4.0000000000000002E-4</v>
      </c>
      <c r="M77" s="288">
        <v>2</v>
      </c>
      <c r="N77" s="287">
        <v>2.0000000000000001E-4</v>
      </c>
    </row>
    <row r="78" spans="1:14">
      <c r="A78" s="285" t="s">
        <v>64</v>
      </c>
      <c r="B78" s="285" t="s">
        <v>486</v>
      </c>
      <c r="C78" s="286">
        <v>8.4778149999999997</v>
      </c>
      <c r="D78" s="286">
        <v>3.9186830000000001</v>
      </c>
      <c r="E78" s="286">
        <v>8.210744</v>
      </c>
      <c r="F78" s="286">
        <v>0.41374430000000001</v>
      </c>
      <c r="G78" s="286">
        <v>-2.3777430000000002</v>
      </c>
      <c r="H78" s="286">
        <v>1.2669600000000001</v>
      </c>
      <c r="I78" s="286">
        <v>2.2221470000000001</v>
      </c>
      <c r="J78" s="286">
        <v>7.0130039999999996</v>
      </c>
      <c r="K78" s="286">
        <v>1.466926</v>
      </c>
      <c r="L78" s="287">
        <v>2.0000000000000001E-4</v>
      </c>
      <c r="M78" s="288">
        <v>2</v>
      </c>
      <c r="N78" s="287">
        <v>1E-4</v>
      </c>
    </row>
    <row r="79" spans="1:14">
      <c r="A79" s="285" t="s">
        <v>65</v>
      </c>
      <c r="B79" s="285" t="s">
        <v>486</v>
      </c>
      <c r="C79" s="286">
        <v>11.372423</v>
      </c>
      <c r="D79" s="286">
        <v>4.6890130000000001</v>
      </c>
      <c r="E79" s="286">
        <v>7.3750629999999999</v>
      </c>
      <c r="F79" s="286">
        <v>0.30451040000000001</v>
      </c>
      <c r="G79" s="286">
        <v>1.487295</v>
      </c>
      <c r="H79" s="286">
        <v>54.289149999999999</v>
      </c>
      <c r="I79" s="286">
        <v>3.7574149999999999</v>
      </c>
      <c r="J79" s="286">
        <v>13.282973</v>
      </c>
      <c r="K79" s="286">
        <v>1.00475</v>
      </c>
      <c r="L79" s="287">
        <v>7.1999999999999998E-3</v>
      </c>
      <c r="M79" s="288">
        <v>2</v>
      </c>
      <c r="N79" s="287">
        <v>2.0999999999999999E-3</v>
      </c>
    </row>
    <row r="80" spans="1:14">
      <c r="A80" s="285" t="s">
        <v>66</v>
      </c>
      <c r="B80" s="285" t="s">
        <v>486</v>
      </c>
      <c r="C80" s="286">
        <v>11.052255000000001</v>
      </c>
      <c r="D80" s="286">
        <v>4.65829</v>
      </c>
      <c r="E80" s="286">
        <v>7.3767969999999998</v>
      </c>
      <c r="F80" s="286">
        <v>0.30516500000000002</v>
      </c>
      <c r="G80" s="286">
        <v>0.44318930000000001</v>
      </c>
      <c r="H80" s="286">
        <v>31.417303</v>
      </c>
      <c r="I80" s="286">
        <v>4.1205970000000001</v>
      </c>
      <c r="J80" s="286">
        <v>12.096396</v>
      </c>
      <c r="K80" s="286">
        <v>1.0075080000000001</v>
      </c>
      <c r="L80" s="287">
        <v>7.4999999999999997E-3</v>
      </c>
      <c r="M80" s="288">
        <v>2</v>
      </c>
      <c r="N80" s="287">
        <v>1.6000000000000001E-3</v>
      </c>
    </row>
    <row r="81" spans="1:14">
      <c r="A81" s="285" t="s">
        <v>67</v>
      </c>
      <c r="B81" s="285" t="s">
        <v>486</v>
      </c>
      <c r="C81" s="286">
        <v>7.5065840000000001</v>
      </c>
      <c r="D81" s="286">
        <v>0.29126600000000002</v>
      </c>
      <c r="E81" s="286">
        <v>3.2921900000000002</v>
      </c>
      <c r="F81" s="286">
        <v>12.337979000000001</v>
      </c>
      <c r="G81" s="286">
        <v>11.367803</v>
      </c>
      <c r="H81" s="286">
        <v>4.6325839999999996</v>
      </c>
      <c r="I81" s="286">
        <v>8.9509299999999997E-6</v>
      </c>
      <c r="J81" s="286">
        <v>-2.0255230000000002</v>
      </c>
      <c r="K81" s="286">
        <v>0.82906740000000001</v>
      </c>
      <c r="L81" s="287">
        <v>4.4999999999999997E-3</v>
      </c>
      <c r="M81" s="288">
        <v>0.17</v>
      </c>
      <c r="N81" s="287">
        <v>1.8E-3</v>
      </c>
    </row>
    <row r="82" spans="1:14">
      <c r="A82" s="285" t="s">
        <v>68</v>
      </c>
      <c r="B82" s="285" t="s">
        <v>486</v>
      </c>
      <c r="C82" s="286">
        <v>8.3729289999999992</v>
      </c>
      <c r="D82" s="286">
        <v>0.24469440000000001</v>
      </c>
      <c r="E82" s="286">
        <v>10.88416</v>
      </c>
      <c r="F82" s="286">
        <v>4.4213079999999998</v>
      </c>
      <c r="G82" s="286">
        <v>2.8943449999999999</v>
      </c>
      <c r="H82" s="286">
        <v>10.475914</v>
      </c>
      <c r="I82" s="286">
        <v>2.4465899999999999E-2</v>
      </c>
      <c r="J82" s="286">
        <v>-0.5715768</v>
      </c>
      <c r="K82" s="286">
        <v>-0.17774229999999999</v>
      </c>
      <c r="L82" s="287">
        <v>1.9E-3</v>
      </c>
      <c r="M82" s="288">
        <v>0.18</v>
      </c>
      <c r="N82" s="287">
        <v>8.0000000000000004E-4</v>
      </c>
    </row>
    <row r="83" spans="1:14">
      <c r="A83" s="285" t="s">
        <v>69</v>
      </c>
      <c r="B83" s="285" t="s">
        <v>486</v>
      </c>
      <c r="C83" s="286">
        <v>10.436759</v>
      </c>
      <c r="D83" s="286">
        <v>4.2315500000000004</v>
      </c>
      <c r="E83" s="286">
        <v>2.455635</v>
      </c>
      <c r="F83" s="286">
        <v>9.1611410000000006</v>
      </c>
      <c r="G83" s="286">
        <v>186.22071099999999</v>
      </c>
      <c r="H83" s="286">
        <v>6.144413E-2</v>
      </c>
      <c r="I83" s="286">
        <v>-273.12339700000001</v>
      </c>
      <c r="J83" s="286">
        <v>3.5012179999999997E-2</v>
      </c>
      <c r="K83" s="286">
        <v>95.009619999999998</v>
      </c>
      <c r="L83" s="287">
        <v>1.5E-3</v>
      </c>
      <c r="M83" s="288">
        <v>2</v>
      </c>
      <c r="N83" s="287">
        <v>4.0000000000000002E-4</v>
      </c>
    </row>
    <row r="84" spans="1:14">
      <c r="A84" s="285" t="s">
        <v>70</v>
      </c>
      <c r="B84" s="285" t="s">
        <v>486</v>
      </c>
      <c r="C84" s="286">
        <v>2.4138350000000002</v>
      </c>
      <c r="D84" s="286">
        <v>7.8169320000000004</v>
      </c>
      <c r="E84" s="286">
        <v>-293.85450700000001</v>
      </c>
      <c r="F84" s="286">
        <v>0.55239059999999995</v>
      </c>
      <c r="G84" s="286">
        <v>300</v>
      </c>
      <c r="H84" s="286">
        <v>0.54546490000000003</v>
      </c>
      <c r="I84" s="286">
        <v>9.8041269999999994</v>
      </c>
      <c r="J84" s="286">
        <v>3.9260299999999999</v>
      </c>
      <c r="K84" s="286">
        <v>1.636126</v>
      </c>
      <c r="L84" s="287">
        <v>4.0000000000000002E-4</v>
      </c>
      <c r="M84" s="288">
        <v>0.2</v>
      </c>
      <c r="N84" s="287">
        <v>2.0000000000000001E-4</v>
      </c>
    </row>
    <row r="85" spans="1:14">
      <c r="A85" s="285" t="s">
        <v>71</v>
      </c>
      <c r="B85" s="285" t="s">
        <v>486</v>
      </c>
      <c r="C85" s="286">
        <v>1.2266550000000001</v>
      </c>
      <c r="D85" s="286">
        <v>32.045597999999998</v>
      </c>
      <c r="E85" s="286">
        <v>7.378825</v>
      </c>
      <c r="F85" s="286">
        <v>0.27603109999999997</v>
      </c>
      <c r="G85" s="286">
        <v>11.249492</v>
      </c>
      <c r="H85" s="286">
        <v>4.1641050000000002</v>
      </c>
      <c r="I85" s="286">
        <v>5.1783130000000002</v>
      </c>
      <c r="J85" s="286">
        <v>10.941777</v>
      </c>
      <c r="K85" s="286">
        <v>0.96546080000000001</v>
      </c>
      <c r="L85" s="287">
        <v>4.7000000000000002E-3</v>
      </c>
      <c r="M85" s="288">
        <v>2</v>
      </c>
      <c r="N85" s="287">
        <v>1.1000000000000001E-3</v>
      </c>
    </row>
    <row r="86" spans="1:14">
      <c r="A86" s="285" t="s">
        <v>72</v>
      </c>
      <c r="B86" s="285" t="s">
        <v>486</v>
      </c>
      <c r="C86" s="286">
        <v>4.7250949999999996</v>
      </c>
      <c r="D86" s="286">
        <v>10.274176000000001</v>
      </c>
      <c r="E86" s="286">
        <v>11.242399000000001</v>
      </c>
      <c r="F86" s="286">
        <v>4.1273790000000004</v>
      </c>
      <c r="G86" s="286">
        <v>7.391324</v>
      </c>
      <c r="H86" s="286">
        <v>0.27253309999999997</v>
      </c>
      <c r="I86" s="286">
        <v>0.71114160000000004</v>
      </c>
      <c r="J86" s="286">
        <v>25.751197000000001</v>
      </c>
      <c r="K86" s="286">
        <v>0.93009679999999995</v>
      </c>
      <c r="L86" s="287">
        <v>5.1999999999999998E-3</v>
      </c>
      <c r="M86" s="288">
        <v>2</v>
      </c>
      <c r="N86" s="287">
        <v>1E-3</v>
      </c>
    </row>
    <row r="87" spans="1:14">
      <c r="A87" s="285" t="s">
        <v>73</v>
      </c>
      <c r="B87" s="285" t="s">
        <v>486</v>
      </c>
      <c r="C87" s="286">
        <v>0.22576650000000001</v>
      </c>
      <c r="D87" s="286">
        <v>25.859105</v>
      </c>
      <c r="E87" s="286">
        <v>7.4073339999999996</v>
      </c>
      <c r="F87" s="286">
        <v>0.26829779999999998</v>
      </c>
      <c r="G87" s="286">
        <v>4.0775100000000002</v>
      </c>
      <c r="H87" s="286">
        <v>10.018459999999999</v>
      </c>
      <c r="I87" s="286">
        <v>11.401180999999999</v>
      </c>
      <c r="J87" s="286">
        <v>4.1015550000000003</v>
      </c>
      <c r="K87" s="286">
        <v>0.88853850000000001</v>
      </c>
      <c r="L87" s="287">
        <v>5.4999999999999997E-3</v>
      </c>
      <c r="M87" s="288">
        <v>2</v>
      </c>
      <c r="N87" s="287">
        <v>1.1000000000000001E-3</v>
      </c>
    </row>
    <row r="88" spans="1:14">
      <c r="A88" s="285" t="s">
        <v>74</v>
      </c>
      <c r="B88" s="285" t="s">
        <v>486</v>
      </c>
      <c r="C88" s="286">
        <v>7.5854509999999999</v>
      </c>
      <c r="D88" s="286">
        <v>0.25242799999999999</v>
      </c>
      <c r="E88" s="286">
        <v>11.534878000000001</v>
      </c>
      <c r="F88" s="286">
        <v>4.0416860000000003</v>
      </c>
      <c r="G88" s="286">
        <v>6.1682480000000001E-6</v>
      </c>
      <c r="H88" s="286">
        <v>-2.0749949999999999</v>
      </c>
      <c r="I88" s="286">
        <v>3.2282730000000002</v>
      </c>
      <c r="J88" s="286">
        <v>9.813663</v>
      </c>
      <c r="K88" s="286">
        <v>0.64898990000000001</v>
      </c>
      <c r="L88" s="287">
        <v>2.5000000000000001E-3</v>
      </c>
      <c r="M88" s="288">
        <v>0.18</v>
      </c>
      <c r="N88" s="287">
        <v>1.1000000000000001E-3</v>
      </c>
    </row>
    <row r="89" spans="1:14">
      <c r="A89" s="285" t="s">
        <v>75</v>
      </c>
      <c r="B89" s="285" t="s">
        <v>486</v>
      </c>
      <c r="C89" s="286">
        <v>8.4516930000000006</v>
      </c>
      <c r="D89" s="286">
        <v>0.21159939999999999</v>
      </c>
      <c r="E89" s="286">
        <v>11.062277</v>
      </c>
      <c r="F89" s="286">
        <v>3.8714900000000001</v>
      </c>
      <c r="G89" s="286">
        <v>2.8137219999999998</v>
      </c>
      <c r="H89" s="286">
        <v>8.5925779999999996</v>
      </c>
      <c r="I89" s="286">
        <v>1.012683E-2</v>
      </c>
      <c r="J89" s="286">
        <v>-0.69417079999999998</v>
      </c>
      <c r="K89" s="286">
        <v>-0.33887270000000003</v>
      </c>
      <c r="L89" s="287">
        <v>1.1000000000000001E-3</v>
      </c>
      <c r="M89" s="288">
        <v>0.19</v>
      </c>
      <c r="N89" s="287">
        <v>5.0000000000000001E-4</v>
      </c>
    </row>
    <row r="90" spans="1:14">
      <c r="A90" s="285" t="s">
        <v>76</v>
      </c>
      <c r="B90" s="285" t="s">
        <v>486</v>
      </c>
      <c r="C90" s="286">
        <v>5.7286900000000003</v>
      </c>
      <c r="D90" s="286">
        <v>9.6537760000000006</v>
      </c>
      <c r="E90" s="286">
        <v>11.572680999999999</v>
      </c>
      <c r="F90" s="286">
        <v>3.7299669999999998</v>
      </c>
      <c r="G90" s="286">
        <v>1.405443</v>
      </c>
      <c r="H90" s="286">
        <v>28.540424000000002</v>
      </c>
      <c r="I90" s="286">
        <v>7.3793139999999999</v>
      </c>
      <c r="J90" s="286">
        <v>0.24914700000000001</v>
      </c>
      <c r="K90" s="286">
        <v>0.91213710000000003</v>
      </c>
      <c r="L90" s="287">
        <v>2.7000000000000001E-3</v>
      </c>
      <c r="M90" s="288">
        <v>2</v>
      </c>
      <c r="N90" s="287">
        <v>8.9999999999999998E-4</v>
      </c>
    </row>
    <row r="91" spans="1:14">
      <c r="A91" s="285" t="s">
        <v>77</v>
      </c>
      <c r="B91" s="285" t="s">
        <v>486</v>
      </c>
      <c r="C91" s="286">
        <v>0.97599610000000003</v>
      </c>
      <c r="D91" s="286">
        <v>22.220889</v>
      </c>
      <c r="E91" s="286">
        <v>5.3309170000000003</v>
      </c>
      <c r="F91" s="286">
        <v>8.8923260000000006</v>
      </c>
      <c r="G91" s="286">
        <v>7.4038399999999998</v>
      </c>
      <c r="H91" s="286">
        <v>0.24488180000000001</v>
      </c>
      <c r="I91" s="286">
        <v>11.429957999999999</v>
      </c>
      <c r="J91" s="286">
        <v>3.680412</v>
      </c>
      <c r="K91" s="286">
        <v>0.85903269999999998</v>
      </c>
      <c r="L91" s="287">
        <v>3.3E-3</v>
      </c>
      <c r="M91" s="288">
        <v>2</v>
      </c>
      <c r="N91" s="287">
        <v>5.9999999999999995E-4</v>
      </c>
    </row>
    <row r="92" spans="1:14">
      <c r="A92" s="285" t="s">
        <v>78</v>
      </c>
      <c r="B92" s="285" t="s">
        <v>486</v>
      </c>
      <c r="C92" s="286">
        <v>0.47975030000000002</v>
      </c>
      <c r="D92" s="286">
        <v>20.043541000000001</v>
      </c>
      <c r="E92" s="286">
        <v>7.425179</v>
      </c>
      <c r="F92" s="286">
        <v>0.24082870000000001</v>
      </c>
      <c r="G92" s="286">
        <v>11.543203</v>
      </c>
      <c r="H92" s="286">
        <v>3.6553550000000001</v>
      </c>
      <c r="I92" s="286">
        <v>4.7404650000000004</v>
      </c>
      <c r="J92" s="286">
        <v>8.5786200000000008</v>
      </c>
      <c r="K92" s="286">
        <v>0.81157190000000001</v>
      </c>
      <c r="L92" s="287">
        <v>3.5999999999999999E-3</v>
      </c>
      <c r="M92" s="288">
        <v>2</v>
      </c>
      <c r="N92" s="287">
        <v>5.9999999999999995E-4</v>
      </c>
    </row>
    <row r="93" spans="1:14">
      <c r="A93" s="285" t="s">
        <v>79</v>
      </c>
      <c r="B93" s="285" t="s">
        <v>486</v>
      </c>
      <c r="C93" s="286">
        <v>0.1216103</v>
      </c>
      <c r="D93" s="286">
        <v>22.253761999999998</v>
      </c>
      <c r="E93" s="286">
        <v>7.4551040000000004</v>
      </c>
      <c r="F93" s="286">
        <v>0.2358536</v>
      </c>
      <c r="G93" s="286">
        <v>3.9739749999999998</v>
      </c>
      <c r="H93" s="286">
        <v>8.3871920000000006</v>
      </c>
      <c r="I93" s="286">
        <v>11.697791</v>
      </c>
      <c r="J93" s="286">
        <v>3.6262569999999998</v>
      </c>
      <c r="K93" s="286">
        <v>0.75175979999999998</v>
      </c>
      <c r="L93" s="287">
        <v>3.8999999999999998E-3</v>
      </c>
      <c r="M93" s="288">
        <v>2</v>
      </c>
      <c r="N93" s="287">
        <v>6.9999999999999999E-4</v>
      </c>
    </row>
    <row r="94" spans="1:14">
      <c r="A94" s="285" t="s">
        <v>80</v>
      </c>
      <c r="B94" s="285" t="s">
        <v>486</v>
      </c>
      <c r="C94" s="286">
        <v>11.956369</v>
      </c>
      <c r="D94" s="286">
        <v>3.3695729999999999</v>
      </c>
      <c r="E94" s="286">
        <v>7.3610049999999996</v>
      </c>
      <c r="F94" s="286">
        <v>0.22740759999999999</v>
      </c>
      <c r="G94" s="286">
        <v>1.5555159999999999</v>
      </c>
      <c r="H94" s="286">
        <v>25.854548000000001</v>
      </c>
      <c r="I94" s="286">
        <v>6.237495</v>
      </c>
      <c r="J94" s="286">
        <v>8.6688290000000006</v>
      </c>
      <c r="K94" s="286">
        <v>0.88747209999999999</v>
      </c>
      <c r="L94" s="287">
        <v>2.3E-3</v>
      </c>
      <c r="M94" s="288">
        <v>0.12</v>
      </c>
      <c r="N94" s="287">
        <v>8.9999999999999998E-4</v>
      </c>
    </row>
    <row r="95" spans="1:14">
      <c r="A95" s="285" t="s">
        <v>81</v>
      </c>
      <c r="B95" s="285" t="s">
        <v>486</v>
      </c>
      <c r="C95" s="286">
        <v>5.9177379999999999</v>
      </c>
      <c r="D95" s="286">
        <v>7.8613920000000004</v>
      </c>
      <c r="E95" s="286">
        <v>11.664987</v>
      </c>
      <c r="F95" s="286">
        <v>3.3071790000000001</v>
      </c>
      <c r="G95" s="286">
        <v>7.407133</v>
      </c>
      <c r="H95" s="286">
        <v>0.2218002</v>
      </c>
      <c r="I95" s="286">
        <v>1.2058519999999999</v>
      </c>
      <c r="J95" s="286">
        <v>19.831464</v>
      </c>
      <c r="K95" s="286">
        <v>0.80374219999999996</v>
      </c>
      <c r="L95" s="287">
        <v>1.9E-3</v>
      </c>
      <c r="M95" s="288">
        <v>2</v>
      </c>
      <c r="N95" s="287">
        <v>4.0000000000000002E-4</v>
      </c>
    </row>
    <row r="96" spans="1:14">
      <c r="A96" s="285" t="s">
        <v>82</v>
      </c>
      <c r="B96" s="285" t="s">
        <v>486</v>
      </c>
      <c r="C96" s="286">
        <v>5.3833339999999996</v>
      </c>
      <c r="D96" s="286">
        <v>7.4527960000000002</v>
      </c>
      <c r="E96" s="286">
        <v>7.4389589999999997</v>
      </c>
      <c r="F96" s="286">
        <v>0.21744569999999999</v>
      </c>
      <c r="G96" s="286">
        <v>11.667237999999999</v>
      </c>
      <c r="H96" s="286">
        <v>3.2750859999999999</v>
      </c>
      <c r="I96" s="286">
        <v>0.7680053</v>
      </c>
      <c r="J96" s="286">
        <v>16.962651000000001</v>
      </c>
      <c r="K96" s="286">
        <v>0.74244639999999995</v>
      </c>
      <c r="L96" s="287">
        <v>2.2000000000000001E-3</v>
      </c>
      <c r="M96" s="288">
        <v>2</v>
      </c>
      <c r="N96" s="287">
        <v>2.9999999999999997E-4</v>
      </c>
    </row>
    <row r="97" spans="1:14">
      <c r="A97" s="285" t="s">
        <v>83</v>
      </c>
      <c r="B97" s="285" t="s">
        <v>486</v>
      </c>
      <c r="C97" s="286">
        <v>4.6927820000000002</v>
      </c>
      <c r="D97" s="286">
        <v>7.2655419999999999</v>
      </c>
      <c r="E97" s="286">
        <v>11.821561000000001</v>
      </c>
      <c r="F97" s="286">
        <v>3.2523439999999999</v>
      </c>
      <c r="G97" s="286">
        <v>0.33358120000000002</v>
      </c>
      <c r="H97" s="286">
        <v>16.356656999999998</v>
      </c>
      <c r="I97" s="286">
        <v>7.4732289999999999</v>
      </c>
      <c r="J97" s="286">
        <v>0.2129056</v>
      </c>
      <c r="K97" s="286">
        <v>0.67899469999999995</v>
      </c>
      <c r="L97" s="287">
        <v>2.3E-3</v>
      </c>
      <c r="M97" s="288">
        <v>2</v>
      </c>
      <c r="N97" s="287">
        <v>4.0000000000000002E-4</v>
      </c>
    </row>
    <row r="98" spans="1:14">
      <c r="A98" s="285" t="s">
        <v>335</v>
      </c>
      <c r="B98" s="285" t="s">
        <v>486</v>
      </c>
      <c r="C98" s="286">
        <v>6.4580089999999997</v>
      </c>
      <c r="D98" s="286">
        <v>7.088006</v>
      </c>
      <c r="E98" s="286">
        <v>11.981977000000001</v>
      </c>
      <c r="F98" s="286">
        <v>2.9971220000000001</v>
      </c>
      <c r="G98" s="286">
        <v>7.3900810000000003</v>
      </c>
      <c r="H98" s="286">
        <v>0.2030816</v>
      </c>
      <c r="I98" s="286">
        <v>1.391079</v>
      </c>
      <c r="J98" s="286">
        <v>18.100778999999999</v>
      </c>
      <c r="K98" s="286">
        <v>0.77806509999999995</v>
      </c>
      <c r="L98" s="287">
        <v>8.0000000000000004E-4</v>
      </c>
      <c r="M98" s="288">
        <v>0.13</v>
      </c>
      <c r="N98" s="287">
        <v>4.0000000000000002E-4</v>
      </c>
    </row>
    <row r="99" spans="1:14">
      <c r="A99" s="285" t="s">
        <v>84</v>
      </c>
      <c r="B99" s="285" t="s">
        <v>486</v>
      </c>
      <c r="C99" s="286">
        <v>14.200334</v>
      </c>
      <c r="D99" s="286">
        <v>2.8946269999999998</v>
      </c>
      <c r="E99" s="286">
        <v>7.0498969999999996</v>
      </c>
      <c r="F99" s="286">
        <v>0.20642840000000001</v>
      </c>
      <c r="G99" s="286">
        <v>5.0059259999999997</v>
      </c>
      <c r="H99" s="286">
        <v>8.2202470000000005</v>
      </c>
      <c r="I99" s="286">
        <v>2.560346</v>
      </c>
      <c r="J99" s="286">
        <v>37.523842000000002</v>
      </c>
      <c r="K99" s="286">
        <v>1.1761410000000001</v>
      </c>
      <c r="L99" s="287">
        <v>7.7999999999999996E-3</v>
      </c>
      <c r="M99" s="288">
        <v>0.1</v>
      </c>
      <c r="N99" s="287">
        <v>2.8999999999999998E-3</v>
      </c>
    </row>
    <row r="100" spans="1:14">
      <c r="A100" s="285" t="s">
        <v>85</v>
      </c>
      <c r="B100" s="285" t="s">
        <v>486</v>
      </c>
      <c r="C100" s="286">
        <v>13.513885</v>
      </c>
      <c r="D100" s="286">
        <v>2.8183099999999999</v>
      </c>
      <c r="E100" s="286">
        <v>5.6533800000000003</v>
      </c>
      <c r="F100" s="286">
        <v>7.268605</v>
      </c>
      <c r="G100" s="286">
        <v>7.2086110000000003</v>
      </c>
      <c r="H100" s="286">
        <v>0.1951582</v>
      </c>
      <c r="I100" s="286">
        <v>1.6639280000000001</v>
      </c>
      <c r="J100" s="286">
        <v>29.09158</v>
      </c>
      <c r="K100" s="286">
        <v>0.95675980000000005</v>
      </c>
      <c r="L100" s="287">
        <v>3.7000000000000002E-3</v>
      </c>
      <c r="M100" s="288">
        <v>0.12</v>
      </c>
      <c r="N100" s="287">
        <v>1.5E-3</v>
      </c>
    </row>
    <row r="101" spans="1:14">
      <c r="A101" s="285" t="s">
        <v>86</v>
      </c>
      <c r="B101" s="285" t="s">
        <v>486</v>
      </c>
      <c r="C101" s="286">
        <v>6.5660990000000004</v>
      </c>
      <c r="D101" s="286">
        <v>5.9892219999999998</v>
      </c>
      <c r="E101" s="286">
        <v>12.113764</v>
      </c>
      <c r="F101" s="286">
        <v>2.6885829999999999</v>
      </c>
      <c r="G101" s="286">
        <v>1.2282420000000001</v>
      </c>
      <c r="H101" s="286">
        <v>13.828417999999999</v>
      </c>
      <c r="I101" s="286">
        <v>7.4205550000000002</v>
      </c>
      <c r="J101" s="286">
        <v>0.18201400000000001</v>
      </c>
      <c r="K101" s="286">
        <v>0.67100519999999997</v>
      </c>
      <c r="L101" s="287">
        <v>5.0000000000000001E-4</v>
      </c>
      <c r="M101" s="288">
        <v>2</v>
      </c>
      <c r="N101" s="287">
        <v>2.0000000000000001E-4</v>
      </c>
    </row>
    <row r="102" spans="1:14">
      <c r="A102" s="285" t="s">
        <v>87</v>
      </c>
      <c r="B102" s="285" t="s">
        <v>486</v>
      </c>
      <c r="C102" s="286">
        <v>15.373419999999999</v>
      </c>
      <c r="D102" s="286">
        <v>2.7174649999999998</v>
      </c>
      <c r="E102" s="286">
        <v>6.6952040000000004</v>
      </c>
      <c r="F102" s="286">
        <v>0.21272099999999999</v>
      </c>
      <c r="G102" s="286">
        <v>3.2834729999999999</v>
      </c>
      <c r="H102" s="286">
        <v>38.584201999999998</v>
      </c>
      <c r="I102" s="286">
        <v>4.0433709999999996</v>
      </c>
      <c r="J102" s="286">
        <v>8.5184510000000007</v>
      </c>
      <c r="K102" s="286">
        <v>1.5933980000000001</v>
      </c>
      <c r="L102" s="287">
        <v>1.18E-2</v>
      </c>
      <c r="M102" s="288">
        <v>0.1</v>
      </c>
      <c r="N102" s="287">
        <v>4.1999999999999997E-3</v>
      </c>
    </row>
    <row r="103" spans="1:14">
      <c r="A103" s="285" t="s">
        <v>88</v>
      </c>
      <c r="B103" s="285" t="s">
        <v>486</v>
      </c>
      <c r="C103" s="286">
        <v>14.496361</v>
      </c>
      <c r="D103" s="286">
        <v>2.6017299999999999</v>
      </c>
      <c r="E103" s="286">
        <v>4.6994899999999999</v>
      </c>
      <c r="F103" s="286">
        <v>6.9269179999999997</v>
      </c>
      <c r="G103" s="286">
        <v>7.0210730000000003</v>
      </c>
      <c r="H103" s="286">
        <v>0.1868155</v>
      </c>
      <c r="I103" s="286">
        <v>2.6572559999999998</v>
      </c>
      <c r="J103" s="286">
        <v>27.429231999999999</v>
      </c>
      <c r="K103" s="286">
        <v>1.121456</v>
      </c>
      <c r="L103" s="287">
        <v>4.7000000000000002E-3</v>
      </c>
      <c r="M103" s="288">
        <v>0.12</v>
      </c>
      <c r="N103" s="287">
        <v>1.9E-3</v>
      </c>
    </row>
    <row r="104" spans="1:14">
      <c r="A104" s="285" t="s">
        <v>89</v>
      </c>
      <c r="B104" s="285" t="s">
        <v>486</v>
      </c>
      <c r="C104" s="286">
        <v>13.795995</v>
      </c>
      <c r="D104" s="286">
        <v>2.541194</v>
      </c>
      <c r="E104" s="286">
        <v>5.4655620000000003</v>
      </c>
      <c r="F104" s="286">
        <v>6.1872550000000004</v>
      </c>
      <c r="G104" s="286">
        <v>7.1960540000000002</v>
      </c>
      <c r="H104" s="286">
        <v>0.17673330000000001</v>
      </c>
      <c r="I104" s="286">
        <v>1.6459999999999999</v>
      </c>
      <c r="J104" s="286">
        <v>22.667531</v>
      </c>
      <c r="K104" s="286">
        <v>0.89428010000000002</v>
      </c>
      <c r="L104" s="287">
        <v>2.2000000000000001E-3</v>
      </c>
      <c r="M104" s="288">
        <v>0.13</v>
      </c>
      <c r="N104" s="287">
        <v>1E-3</v>
      </c>
    </row>
    <row r="105" spans="1:14">
      <c r="A105" s="285" t="s">
        <v>90</v>
      </c>
      <c r="B105" s="285" t="s">
        <v>486</v>
      </c>
      <c r="C105" s="286">
        <v>7.4551730000000003</v>
      </c>
      <c r="D105" s="286">
        <v>0.1635344</v>
      </c>
      <c r="E105" s="286">
        <v>12.300921000000001</v>
      </c>
      <c r="F105" s="286">
        <v>2.426666</v>
      </c>
      <c r="G105" s="286">
        <v>1.081907</v>
      </c>
      <c r="H105" s="286">
        <v>11.108247</v>
      </c>
      <c r="I105" s="286">
        <v>6.5995799999999996</v>
      </c>
      <c r="J105" s="286">
        <v>5.1631410000000004</v>
      </c>
      <c r="K105" s="286">
        <v>0.56226220000000005</v>
      </c>
      <c r="L105" s="287">
        <v>2.9999999999999997E-4</v>
      </c>
      <c r="M105" s="288">
        <v>2</v>
      </c>
      <c r="N105" s="287">
        <v>1E-4</v>
      </c>
    </row>
    <row r="106" spans="1:14">
      <c r="A106" s="285" t="s">
        <v>336</v>
      </c>
      <c r="B106" s="285" t="s">
        <v>486</v>
      </c>
      <c r="C106" s="286">
        <v>6.6100479999999999</v>
      </c>
      <c r="D106" s="286">
        <v>0.19543579999999999</v>
      </c>
      <c r="E106" s="286">
        <v>3.6003050000000001</v>
      </c>
      <c r="F106" s="286">
        <v>7.3169040000000001</v>
      </c>
      <c r="G106" s="286">
        <v>15.703352000000001</v>
      </c>
      <c r="H106" s="286">
        <v>2.449554</v>
      </c>
      <c r="I106" s="286">
        <v>3.4817710000000002</v>
      </c>
      <c r="J106" s="286">
        <v>27.94295</v>
      </c>
      <c r="K106" s="286">
        <v>1.598125</v>
      </c>
      <c r="L106" s="287">
        <v>6.7999999999999996E-3</v>
      </c>
      <c r="M106" s="288">
        <v>0.12</v>
      </c>
      <c r="N106" s="287">
        <v>2.7000000000000001E-3</v>
      </c>
    </row>
    <row r="107" spans="1:14">
      <c r="A107" s="285" t="s">
        <v>91</v>
      </c>
      <c r="B107" s="285" t="s">
        <v>486</v>
      </c>
      <c r="C107" s="286">
        <v>4.2941510000000003</v>
      </c>
      <c r="D107" s="286">
        <v>6.0545429999999998</v>
      </c>
      <c r="E107" s="286">
        <v>14.899222</v>
      </c>
      <c r="F107" s="286">
        <v>2.3604919999999998</v>
      </c>
      <c r="G107" s="286">
        <v>6.9523010000000003</v>
      </c>
      <c r="H107" s="286">
        <v>0.1719599</v>
      </c>
      <c r="I107" s="286">
        <v>2.7279420000000001</v>
      </c>
      <c r="J107" s="286">
        <v>21.419141</v>
      </c>
      <c r="K107" s="286">
        <v>1.1235649999999999</v>
      </c>
      <c r="L107" s="287">
        <v>3.0000000000000001E-3</v>
      </c>
      <c r="M107" s="288">
        <v>0.13</v>
      </c>
      <c r="N107" s="287">
        <v>1.2999999999999999E-3</v>
      </c>
    </row>
    <row r="108" spans="1:14">
      <c r="A108" s="285" t="s">
        <v>337</v>
      </c>
      <c r="B108" s="285" t="s">
        <v>486</v>
      </c>
      <c r="C108" s="286">
        <v>12.518889</v>
      </c>
      <c r="D108" s="286">
        <v>2.201352</v>
      </c>
      <c r="E108" s="286">
        <v>7.4944959999999998</v>
      </c>
      <c r="F108" s="286">
        <v>0.14726729999999999</v>
      </c>
      <c r="G108" s="286">
        <v>0.95463989999999999</v>
      </c>
      <c r="H108" s="286">
        <v>9.2203370000000007</v>
      </c>
      <c r="I108" s="286">
        <v>6.5805680000000004</v>
      </c>
      <c r="J108" s="286">
        <v>4.5148440000000001</v>
      </c>
      <c r="K108" s="286">
        <v>0.4513278</v>
      </c>
      <c r="L108" s="287">
        <v>1E-4</v>
      </c>
      <c r="M108" s="288">
        <v>2</v>
      </c>
      <c r="N108" s="287">
        <v>0</v>
      </c>
    </row>
    <row r="109" spans="1:14">
      <c r="A109" s="285" t="s">
        <v>338</v>
      </c>
      <c r="B109" s="285" t="s">
        <v>486</v>
      </c>
      <c r="C109" s="286">
        <v>6.1775149999999996</v>
      </c>
      <c r="D109" s="286">
        <v>0.21068600000000001</v>
      </c>
      <c r="E109" s="286">
        <v>2.8232490000000001</v>
      </c>
      <c r="F109" s="286">
        <v>8.4832999999999998</v>
      </c>
      <c r="G109" s="286">
        <v>16.601526</v>
      </c>
      <c r="H109" s="286">
        <v>2.2947700000000002</v>
      </c>
      <c r="I109" s="286">
        <v>4.2653860000000003</v>
      </c>
      <c r="J109" s="286">
        <v>26.415274</v>
      </c>
      <c r="K109" s="286">
        <v>2.1260910000000002</v>
      </c>
      <c r="L109" s="287">
        <v>6.7000000000000002E-3</v>
      </c>
      <c r="M109" s="288">
        <v>2</v>
      </c>
      <c r="N109" s="287">
        <v>3.0999999999999999E-3</v>
      </c>
    </row>
    <row r="110" spans="1:14">
      <c r="A110" s="285" t="s">
        <v>339</v>
      </c>
      <c r="B110" s="285" t="s">
        <v>486</v>
      </c>
      <c r="C110" s="286">
        <v>15.368831</v>
      </c>
      <c r="D110" s="286">
        <v>2.156927</v>
      </c>
      <c r="E110" s="286">
        <v>2.7770049999999999</v>
      </c>
      <c r="F110" s="286">
        <v>17.422505000000001</v>
      </c>
      <c r="G110" s="286">
        <v>3.8280029999999998</v>
      </c>
      <c r="H110" s="286">
        <v>5.4541940000000002</v>
      </c>
      <c r="I110" s="286">
        <v>6.8372289999999998</v>
      </c>
      <c r="J110" s="286">
        <v>0.16109889999999999</v>
      </c>
      <c r="K110" s="286">
        <v>1.1870259999999999</v>
      </c>
      <c r="L110" s="287">
        <v>2E-3</v>
      </c>
      <c r="M110" s="288">
        <v>0.14000000000000001</v>
      </c>
      <c r="N110" s="287">
        <v>8.9999999999999998E-4</v>
      </c>
    </row>
    <row r="111" spans="1:14">
      <c r="A111" s="285" t="s">
        <v>340</v>
      </c>
      <c r="B111" s="285" t="s">
        <v>486</v>
      </c>
      <c r="C111" s="286">
        <v>12.754232999999999</v>
      </c>
      <c r="D111" s="286">
        <v>2.0057689999999999</v>
      </c>
      <c r="E111" s="286">
        <v>7.5382980000000002</v>
      </c>
      <c r="F111" s="286">
        <v>0.1329283</v>
      </c>
      <c r="G111" s="286">
        <v>0.84488430000000003</v>
      </c>
      <c r="H111" s="286">
        <v>7.8337580000000004</v>
      </c>
      <c r="I111" s="286">
        <v>6.523873</v>
      </c>
      <c r="J111" s="286">
        <v>3.992003</v>
      </c>
      <c r="K111" s="286">
        <v>0.33866950000000001</v>
      </c>
      <c r="L111" s="287">
        <v>1E-4</v>
      </c>
      <c r="M111" s="288">
        <v>2</v>
      </c>
      <c r="N111" s="287">
        <v>0</v>
      </c>
    </row>
    <row r="112" spans="1:14">
      <c r="A112" s="285" t="s">
        <v>92</v>
      </c>
      <c r="B112" s="285" t="s">
        <v>486</v>
      </c>
      <c r="C112" s="286">
        <v>4.1941369999999996</v>
      </c>
      <c r="D112" s="286">
        <v>32.024729000000001</v>
      </c>
      <c r="E112" s="286">
        <v>17.162184</v>
      </c>
      <c r="F112" s="286">
        <v>2.1490019999999999</v>
      </c>
      <c r="G112" s="286">
        <v>4.1551369999999999</v>
      </c>
      <c r="H112" s="286">
        <v>13.999643000000001</v>
      </c>
      <c r="I112" s="286">
        <v>5.7175940000000001</v>
      </c>
      <c r="J112" s="286">
        <v>0.2419618</v>
      </c>
      <c r="K112" s="286">
        <v>2.7658809999999998</v>
      </c>
      <c r="L112" s="287">
        <v>9.7000000000000003E-3</v>
      </c>
      <c r="M112" s="288">
        <v>2</v>
      </c>
      <c r="N112" s="287">
        <v>3.3999999999999998E-3</v>
      </c>
    </row>
    <row r="113" spans="1:14">
      <c r="A113" s="285" t="s">
        <v>341</v>
      </c>
      <c r="B113" s="285" t="s">
        <v>486</v>
      </c>
      <c r="C113" s="286">
        <v>16.917518999999999</v>
      </c>
      <c r="D113" s="286">
        <v>2.08846</v>
      </c>
      <c r="E113" s="286">
        <v>4.2670909999999997</v>
      </c>
      <c r="F113" s="286">
        <v>20.996032</v>
      </c>
      <c r="G113" s="286">
        <v>6.0056370000000001</v>
      </c>
      <c r="H113" s="286">
        <v>0.20168140000000001</v>
      </c>
      <c r="I113" s="286">
        <v>2.5559590000000001</v>
      </c>
      <c r="J113" s="286">
        <v>8.3083729999999996</v>
      </c>
      <c r="K113" s="286">
        <v>2.2502529999999998</v>
      </c>
      <c r="L113" s="287">
        <v>5.1000000000000004E-3</v>
      </c>
      <c r="M113" s="288">
        <v>2</v>
      </c>
      <c r="N113" s="287">
        <v>2E-3</v>
      </c>
    </row>
    <row r="114" spans="1:14">
      <c r="A114" s="285" t="s">
        <v>93</v>
      </c>
      <c r="B114" s="285" t="s">
        <v>486</v>
      </c>
      <c r="C114" s="286">
        <v>6.2783259999999999</v>
      </c>
      <c r="D114" s="286">
        <v>0.1778863</v>
      </c>
      <c r="E114" s="286">
        <v>16.550162</v>
      </c>
      <c r="F114" s="286">
        <v>2.0422660000000001</v>
      </c>
      <c r="G114" s="286">
        <v>3.658007</v>
      </c>
      <c r="H114" s="286">
        <v>17.694478</v>
      </c>
      <c r="I114" s="286">
        <v>2.6664859999999999</v>
      </c>
      <c r="J114" s="286">
        <v>6.3264199999999997</v>
      </c>
      <c r="K114" s="286">
        <v>1.844481</v>
      </c>
      <c r="L114" s="287">
        <v>3.0999999999999999E-3</v>
      </c>
      <c r="M114" s="288">
        <v>2</v>
      </c>
      <c r="N114" s="287">
        <v>1.2999999999999999E-3</v>
      </c>
    </row>
    <row r="115" spans="1:14">
      <c r="A115" s="285" t="s">
        <v>94</v>
      </c>
      <c r="B115" s="285" t="s">
        <v>486</v>
      </c>
      <c r="C115" s="286">
        <v>6.673432</v>
      </c>
      <c r="D115" s="286">
        <v>0.153728</v>
      </c>
      <c r="E115" s="286">
        <v>15.865053</v>
      </c>
      <c r="F115" s="286">
        <v>1.9817199999999999</v>
      </c>
      <c r="G115" s="286">
        <v>3.34476</v>
      </c>
      <c r="H115" s="286">
        <v>5.0530460000000001</v>
      </c>
      <c r="I115" s="286">
        <v>2.8017509999999999</v>
      </c>
      <c r="J115" s="286">
        <v>14.583679</v>
      </c>
      <c r="K115" s="286">
        <v>1.3136909999999999</v>
      </c>
      <c r="L115" s="287">
        <v>1.5E-3</v>
      </c>
      <c r="M115" s="288">
        <v>2</v>
      </c>
      <c r="N115" s="287">
        <v>6.9999999999999999E-4</v>
      </c>
    </row>
    <row r="116" spans="1:14">
      <c r="A116" s="285" t="s">
        <v>342</v>
      </c>
      <c r="B116" s="285" t="s">
        <v>486</v>
      </c>
      <c r="C116" s="286">
        <v>6.4402860000000004</v>
      </c>
      <c r="D116" s="286">
        <v>3.5619230000000002</v>
      </c>
      <c r="E116" s="286">
        <v>12.998481</v>
      </c>
      <c r="F116" s="286">
        <v>1.8347789999999999</v>
      </c>
      <c r="G116" s="286">
        <v>7.5860519999999996</v>
      </c>
      <c r="H116" s="286">
        <v>0.12027590000000001</v>
      </c>
      <c r="I116" s="286">
        <v>0.75015489999999996</v>
      </c>
      <c r="J116" s="286">
        <v>6.7738310000000004</v>
      </c>
      <c r="K116" s="286">
        <v>0.2250027</v>
      </c>
      <c r="L116" s="287">
        <v>0</v>
      </c>
      <c r="M116" s="288">
        <v>2</v>
      </c>
      <c r="N116" s="287">
        <v>0</v>
      </c>
    </row>
    <row r="117" spans="1:14">
      <c r="A117" s="285" t="s">
        <v>343</v>
      </c>
      <c r="B117" s="285" t="s">
        <v>486</v>
      </c>
      <c r="C117" s="286">
        <v>5.579942</v>
      </c>
      <c r="D117" s="286">
        <v>0.2858329</v>
      </c>
      <c r="E117" s="286">
        <v>17.180854</v>
      </c>
      <c r="F117" s="286">
        <v>2.2059380000000002</v>
      </c>
      <c r="G117" s="286">
        <v>3.7226940000000002</v>
      </c>
      <c r="H117" s="286">
        <v>58.169111999999998</v>
      </c>
      <c r="I117" s="286">
        <v>6.3352539999999999</v>
      </c>
      <c r="J117" s="286">
        <v>19.355049999999999</v>
      </c>
      <c r="K117" s="286">
        <v>3.166725</v>
      </c>
      <c r="L117" s="287">
        <v>1.5900000000000001E-2</v>
      </c>
      <c r="M117" s="288">
        <v>2</v>
      </c>
      <c r="N117" s="287">
        <v>6.3E-3</v>
      </c>
    </row>
    <row r="118" spans="1:14">
      <c r="A118" s="285" t="s">
        <v>344</v>
      </c>
      <c r="B118" s="285" t="s">
        <v>486</v>
      </c>
      <c r="C118" s="286">
        <v>5.665203</v>
      </c>
      <c r="D118" s="286">
        <v>0.21020050000000001</v>
      </c>
      <c r="E118" s="286">
        <v>17.317471000000001</v>
      </c>
      <c r="F118" s="286">
        <v>1.922971</v>
      </c>
      <c r="G118" s="286">
        <v>3.4342549999999998</v>
      </c>
      <c r="H118" s="286">
        <v>25.976033999999999</v>
      </c>
      <c r="I118" s="286">
        <v>4.9572940000000001</v>
      </c>
      <c r="J118" s="286">
        <v>13.363416000000001</v>
      </c>
      <c r="K118" s="286">
        <v>2.623828</v>
      </c>
      <c r="L118" s="287">
        <v>5.5999999999999999E-3</v>
      </c>
      <c r="M118" s="288">
        <v>2</v>
      </c>
      <c r="N118" s="287">
        <v>1.6000000000000001E-3</v>
      </c>
    </row>
    <row r="119" spans="1:14">
      <c r="A119" s="285" t="s">
        <v>95</v>
      </c>
      <c r="B119" s="285" t="s">
        <v>486</v>
      </c>
      <c r="C119" s="286">
        <v>17.591248</v>
      </c>
      <c r="D119" s="286">
        <v>1.71411</v>
      </c>
      <c r="E119" s="286">
        <v>5.9211640000000001</v>
      </c>
      <c r="F119" s="286">
        <v>0.1590107</v>
      </c>
      <c r="G119" s="286">
        <v>7.6714820000000001</v>
      </c>
      <c r="H119" s="286">
        <v>14.82244</v>
      </c>
      <c r="I119" s="286">
        <v>2.7655560000000001</v>
      </c>
      <c r="J119" s="286">
        <v>31.234179999999999</v>
      </c>
      <c r="K119" s="286">
        <v>2.049544</v>
      </c>
      <c r="L119" s="287">
        <v>1.9E-3</v>
      </c>
      <c r="M119" s="288">
        <v>2</v>
      </c>
      <c r="N119" s="287">
        <v>5.0000000000000001E-4</v>
      </c>
    </row>
    <row r="120" spans="1:14">
      <c r="A120" s="285" t="s">
        <v>345</v>
      </c>
      <c r="B120" s="285" t="s">
        <v>486</v>
      </c>
      <c r="C120" s="286">
        <v>17.871372000000001</v>
      </c>
      <c r="D120" s="286">
        <v>1.51854</v>
      </c>
      <c r="E120" s="286">
        <v>1.8295589999999999</v>
      </c>
      <c r="F120" s="286">
        <v>27.090857</v>
      </c>
      <c r="G120" s="286">
        <v>8.7874540000000003</v>
      </c>
      <c r="H120" s="286">
        <v>13.284703</v>
      </c>
      <c r="I120" s="286">
        <v>8.6262360000000005</v>
      </c>
      <c r="J120" s="286">
        <v>7.4807520000000002E-2</v>
      </c>
      <c r="K120" s="286">
        <v>-1.114252</v>
      </c>
      <c r="L120" s="287">
        <v>2E-3</v>
      </c>
      <c r="M120" s="288">
        <v>0.81</v>
      </c>
      <c r="N120" s="287">
        <v>8.0000000000000004E-4</v>
      </c>
    </row>
    <row r="121" spans="1:14">
      <c r="A121" s="285" t="s">
        <v>346</v>
      </c>
      <c r="B121" s="285" t="s">
        <v>486</v>
      </c>
      <c r="C121" s="286">
        <v>18.177046000000001</v>
      </c>
      <c r="D121" s="286">
        <v>1.362581</v>
      </c>
      <c r="E121" s="286">
        <v>9.9350129999999996</v>
      </c>
      <c r="F121" s="286">
        <v>12.448995</v>
      </c>
      <c r="G121" s="286">
        <v>-100.909443</v>
      </c>
      <c r="H121" s="286">
        <v>-4.3513090000000003E-3</v>
      </c>
      <c r="I121" s="286">
        <v>1.75088</v>
      </c>
      <c r="J121" s="286">
        <v>36.233158000000003</v>
      </c>
      <c r="K121" s="286">
        <v>108.043217</v>
      </c>
      <c r="L121" s="287">
        <v>3.5000000000000001E-3</v>
      </c>
      <c r="M121" s="288">
        <v>0.1</v>
      </c>
      <c r="N121" s="287">
        <v>1.5E-3</v>
      </c>
    </row>
    <row r="122" spans="1:14">
      <c r="A122" s="285" t="s">
        <v>96</v>
      </c>
      <c r="B122" s="285" t="s">
        <v>486</v>
      </c>
      <c r="C122" s="286">
        <v>18.187339999999999</v>
      </c>
      <c r="D122" s="286">
        <v>1.347523</v>
      </c>
      <c r="E122" s="286">
        <v>9.7176290000000005</v>
      </c>
      <c r="F122" s="286">
        <v>11.815329999999999</v>
      </c>
      <c r="G122" s="286">
        <v>-9.8308739999999997</v>
      </c>
      <c r="H122" s="286">
        <v>-3.8814700000000001E-2</v>
      </c>
      <c r="I122" s="286">
        <v>1.088182</v>
      </c>
      <c r="J122" s="286">
        <v>24.910208000000001</v>
      </c>
      <c r="K122" s="286">
        <v>16.838630999999999</v>
      </c>
      <c r="L122" s="287">
        <v>3.8E-3</v>
      </c>
      <c r="M122" s="288">
        <v>2</v>
      </c>
      <c r="N122" s="287">
        <v>1.4E-3</v>
      </c>
    </row>
    <row r="123" spans="1:14">
      <c r="A123" s="285" t="s">
        <v>97</v>
      </c>
      <c r="B123" s="285" t="s">
        <v>486</v>
      </c>
      <c r="C123" s="286">
        <v>18.261385000000001</v>
      </c>
      <c r="D123" s="286">
        <v>1.244713</v>
      </c>
      <c r="E123" s="286">
        <v>10.881197999999999</v>
      </c>
      <c r="F123" s="286">
        <v>11.721284000000001</v>
      </c>
      <c r="G123" s="286">
        <v>-79.562669</v>
      </c>
      <c r="H123" s="286">
        <v>-4.9313530000000003E-3</v>
      </c>
      <c r="I123" s="286">
        <v>2.8204319999999998</v>
      </c>
      <c r="J123" s="286">
        <v>62.381397999999997</v>
      </c>
      <c r="K123" s="286">
        <v>86.583845999999994</v>
      </c>
      <c r="L123" s="287">
        <v>1.72E-2</v>
      </c>
      <c r="M123" s="288">
        <v>0.08</v>
      </c>
      <c r="N123" s="287">
        <v>4.4999999999999997E-3</v>
      </c>
    </row>
    <row r="124" spans="1:14">
      <c r="A124" s="285" t="s">
        <v>98</v>
      </c>
      <c r="B124" s="285" t="s">
        <v>486</v>
      </c>
      <c r="C124" s="286">
        <v>10.506436000000001</v>
      </c>
      <c r="D124" s="286">
        <v>11.459847999999999</v>
      </c>
      <c r="E124" s="286">
        <v>18.533768999999999</v>
      </c>
      <c r="F124" s="286">
        <v>1.2197880000000001</v>
      </c>
      <c r="G124" s="286">
        <v>-1.793053</v>
      </c>
      <c r="H124" s="286">
        <v>-0.13281309999999999</v>
      </c>
      <c r="I124" s="286">
        <v>2.2821349999999998</v>
      </c>
      <c r="J124" s="286">
        <v>34.450296999999999</v>
      </c>
      <c r="K124" s="286">
        <v>8.4669310000000007</v>
      </c>
      <c r="L124" s="287">
        <v>4.1000000000000003E-3</v>
      </c>
      <c r="M124" s="288">
        <v>0.1</v>
      </c>
      <c r="N124" s="287">
        <v>1.9E-3</v>
      </c>
    </row>
    <row r="125" spans="1:14">
      <c r="A125" s="285" t="s">
        <v>99</v>
      </c>
      <c r="B125" s="285" t="s">
        <v>486</v>
      </c>
      <c r="C125" s="286">
        <v>18.539809999999999</v>
      </c>
      <c r="D125" s="286">
        <v>1.20764</v>
      </c>
      <c r="E125" s="286">
        <v>1.5311950000000001</v>
      </c>
      <c r="F125" s="286">
        <v>27.750637999999999</v>
      </c>
      <c r="G125" s="286">
        <v>-1.1285000000000001</v>
      </c>
      <c r="H125" s="286">
        <v>-0.1762801</v>
      </c>
      <c r="I125" s="286">
        <v>10.363930999999999</v>
      </c>
      <c r="J125" s="286">
        <v>10.956376000000001</v>
      </c>
      <c r="K125" s="286">
        <v>7.6932679999999998</v>
      </c>
      <c r="L125" s="287">
        <v>4.8999999999999998E-3</v>
      </c>
      <c r="M125" s="288">
        <v>2</v>
      </c>
      <c r="N125" s="287">
        <v>1.5E-3</v>
      </c>
    </row>
    <row r="126" spans="1:14">
      <c r="A126" s="285" t="s">
        <v>100</v>
      </c>
      <c r="B126" s="285" t="s">
        <v>486</v>
      </c>
      <c r="C126" s="286">
        <v>10.36903</v>
      </c>
      <c r="D126" s="286">
        <v>10.460913</v>
      </c>
      <c r="E126" s="286">
        <v>18.491315</v>
      </c>
      <c r="F126" s="286">
        <v>1.1995400000000001</v>
      </c>
      <c r="G126" s="286">
        <v>0.62961219999999996</v>
      </c>
      <c r="H126" s="286">
        <v>23.741797999999999</v>
      </c>
      <c r="I126" s="286">
        <v>-0.93229450000000003</v>
      </c>
      <c r="J126" s="286">
        <v>-0.19558700000000001</v>
      </c>
      <c r="K126" s="286">
        <v>7.4434110000000002</v>
      </c>
      <c r="L126" s="287">
        <v>5.0000000000000001E-3</v>
      </c>
      <c r="M126" s="288">
        <v>2</v>
      </c>
      <c r="N126" s="287">
        <v>1.6999999999999999E-3</v>
      </c>
    </row>
    <row r="127" spans="1:14">
      <c r="A127" s="285" t="s">
        <v>347</v>
      </c>
      <c r="B127" s="285" t="s">
        <v>486</v>
      </c>
      <c r="C127" s="286">
        <v>11.145210000000001</v>
      </c>
      <c r="D127" s="286">
        <v>10.618874</v>
      </c>
      <c r="E127" s="286">
        <v>18.865600000000001</v>
      </c>
      <c r="F127" s="286">
        <v>1.093844</v>
      </c>
      <c r="G127" s="286">
        <v>-0.29007810000000001</v>
      </c>
      <c r="H127" s="286">
        <v>-0.32745950000000001</v>
      </c>
      <c r="I127" s="286">
        <v>2.758804</v>
      </c>
      <c r="J127" s="286">
        <v>31.601447</v>
      </c>
      <c r="K127" s="286">
        <v>6.5164939999999998</v>
      </c>
      <c r="L127" s="287">
        <v>4.8999999999999998E-3</v>
      </c>
      <c r="M127" s="288">
        <v>2</v>
      </c>
      <c r="N127" s="287">
        <v>2.2000000000000001E-3</v>
      </c>
    </row>
    <row r="128" spans="1:14">
      <c r="A128" s="285" t="s">
        <v>101</v>
      </c>
      <c r="B128" s="285" t="s">
        <v>486</v>
      </c>
      <c r="C128" s="286">
        <v>10.976086</v>
      </c>
      <c r="D128" s="286">
        <v>10.191675</v>
      </c>
      <c r="E128" s="286">
        <v>18.854552999999999</v>
      </c>
      <c r="F128" s="286">
        <v>1.0844590000000001</v>
      </c>
      <c r="G128" s="286">
        <v>-0.19510420000000001</v>
      </c>
      <c r="H128" s="286">
        <v>-0.38445010000000002</v>
      </c>
      <c r="I128" s="286">
        <v>2.0238740000000002</v>
      </c>
      <c r="J128" s="286">
        <v>26.458663000000001</v>
      </c>
      <c r="K128" s="286">
        <v>6.339988</v>
      </c>
      <c r="L128" s="287">
        <v>5.7000000000000002E-3</v>
      </c>
      <c r="M128" s="288">
        <v>2</v>
      </c>
      <c r="N128" s="287">
        <v>1.8E-3</v>
      </c>
    </row>
    <row r="129" spans="1:14">
      <c r="A129" s="285" t="s">
        <v>102</v>
      </c>
      <c r="B129" s="285" t="s">
        <v>486</v>
      </c>
      <c r="C129" s="286">
        <v>18.802250000000001</v>
      </c>
      <c r="D129" s="286">
        <v>1.0784009999999999</v>
      </c>
      <c r="E129" s="286">
        <v>10.910845999999999</v>
      </c>
      <c r="F129" s="286">
        <v>9.7611159999999995</v>
      </c>
      <c r="G129" s="286">
        <v>-0.16566810000000001</v>
      </c>
      <c r="H129" s="286">
        <v>-0.40770299999999998</v>
      </c>
      <c r="I129" s="286">
        <v>1.1804509999999999</v>
      </c>
      <c r="J129" s="286">
        <v>23.538412999999998</v>
      </c>
      <c r="K129" s="286">
        <v>6.2728669999999997</v>
      </c>
      <c r="L129" s="287">
        <v>5.7999999999999996E-3</v>
      </c>
      <c r="M129" s="288">
        <v>2</v>
      </c>
      <c r="N129" s="287">
        <v>1.8E-3</v>
      </c>
    </row>
    <row r="130" spans="1:14">
      <c r="A130" s="285" t="s">
        <v>103</v>
      </c>
      <c r="B130" s="285" t="s">
        <v>486</v>
      </c>
      <c r="C130" s="286">
        <v>18.725974000000001</v>
      </c>
      <c r="D130" s="286">
        <v>1.0736049999999999</v>
      </c>
      <c r="E130" s="286">
        <v>10.820012999999999</v>
      </c>
      <c r="F130" s="286">
        <v>9.2698389999999993</v>
      </c>
      <c r="G130" s="286">
        <v>-0.1549073</v>
      </c>
      <c r="H130" s="286">
        <v>-0.41601100000000002</v>
      </c>
      <c r="I130" s="286">
        <v>0.36874859999999998</v>
      </c>
      <c r="J130" s="286">
        <v>23.183167999999998</v>
      </c>
      <c r="K130" s="286">
        <v>6.2412520000000002</v>
      </c>
      <c r="L130" s="287">
        <v>5.5999999999999999E-3</v>
      </c>
      <c r="M130" s="288">
        <v>2</v>
      </c>
      <c r="N130" s="287">
        <v>1.8E-3</v>
      </c>
    </row>
    <row r="131" spans="1:14">
      <c r="A131" s="285" t="s">
        <v>104</v>
      </c>
      <c r="B131" s="285" t="s">
        <v>486</v>
      </c>
      <c r="C131" s="286">
        <v>12.209320999999999</v>
      </c>
      <c r="D131" s="286">
        <v>10.310764000000001</v>
      </c>
      <c r="E131" s="286">
        <v>19.077404000000001</v>
      </c>
      <c r="F131" s="286">
        <v>0.99820140000000002</v>
      </c>
      <c r="G131" s="286">
        <v>-0.1017284</v>
      </c>
      <c r="H131" s="286">
        <v>-0.45865939999999999</v>
      </c>
      <c r="I131" s="286">
        <v>3.7085539999999999</v>
      </c>
      <c r="J131" s="286">
        <v>36.064329999999998</v>
      </c>
      <c r="K131" s="286">
        <v>6.0945479999999996</v>
      </c>
      <c r="L131" s="287">
        <v>1.26E-2</v>
      </c>
      <c r="M131" s="288">
        <v>0.1</v>
      </c>
      <c r="N131" s="287">
        <v>3.8E-3</v>
      </c>
    </row>
    <row r="132" spans="1:14">
      <c r="A132" s="285" t="s">
        <v>105</v>
      </c>
      <c r="B132" s="285" t="s">
        <v>486</v>
      </c>
      <c r="C132" s="286">
        <v>11.871180000000001</v>
      </c>
      <c r="D132" s="286">
        <v>9.8936050000000009</v>
      </c>
      <c r="E132" s="286">
        <v>3.1570719999999999</v>
      </c>
      <c r="F132" s="286">
        <v>28.942663</v>
      </c>
      <c r="G132" s="286">
        <v>19.108574999999998</v>
      </c>
      <c r="H132" s="286">
        <v>0.98508410000000002</v>
      </c>
      <c r="I132" s="286">
        <v>-3.6071359999999997E-2</v>
      </c>
      <c r="J132" s="286">
        <v>-0.63628510000000005</v>
      </c>
      <c r="K132" s="286">
        <v>5.895251</v>
      </c>
      <c r="L132" s="287">
        <v>5.5999999999999999E-3</v>
      </c>
      <c r="M132" s="288">
        <v>2</v>
      </c>
      <c r="N132" s="287">
        <v>2.3999999999999998E-3</v>
      </c>
    </row>
    <row r="133" spans="1:14">
      <c r="A133" s="285" t="s">
        <v>106</v>
      </c>
      <c r="B133" s="285" t="s">
        <v>486</v>
      </c>
      <c r="C133" s="286">
        <v>2.4306549999999998</v>
      </c>
      <c r="D133" s="286">
        <v>24.75714</v>
      </c>
      <c r="E133" s="286">
        <v>11.683370999999999</v>
      </c>
      <c r="F133" s="286">
        <v>9.5319129999999994</v>
      </c>
      <c r="G133" s="286">
        <v>19.076568000000002</v>
      </c>
      <c r="H133" s="286">
        <v>0.97830539999999999</v>
      </c>
      <c r="I133" s="286">
        <v>-2.3391789999999999E-2</v>
      </c>
      <c r="J133" s="286">
        <v>-0.71405099999999999</v>
      </c>
      <c r="K133" s="286">
        <v>5.8321189999999996</v>
      </c>
      <c r="L133" s="287">
        <v>6.3E-3</v>
      </c>
      <c r="M133" s="288">
        <v>2</v>
      </c>
      <c r="N133" s="287">
        <v>2E-3</v>
      </c>
    </row>
    <row r="134" spans="1:14">
      <c r="A134" s="285" t="s">
        <v>107</v>
      </c>
      <c r="B134" s="285" t="s">
        <v>486</v>
      </c>
      <c r="C134" s="286">
        <v>1.614698</v>
      </c>
      <c r="D134" s="286">
        <v>22.277379</v>
      </c>
      <c r="E134" s="286">
        <v>19.020095000000001</v>
      </c>
      <c r="F134" s="286">
        <v>0.97398790000000002</v>
      </c>
      <c r="G134" s="286">
        <v>-1.9868190000000001E-2</v>
      </c>
      <c r="H134" s="286">
        <v>-0.74205429999999994</v>
      </c>
      <c r="I134" s="286">
        <v>11.579527000000001</v>
      </c>
      <c r="J134" s="286">
        <v>9.1642360000000007</v>
      </c>
      <c r="K134" s="286">
        <v>5.8062469999999999</v>
      </c>
      <c r="L134" s="287">
        <v>6.3E-3</v>
      </c>
      <c r="M134" s="288">
        <v>2</v>
      </c>
      <c r="N134" s="287">
        <v>2E-3</v>
      </c>
    </row>
    <row r="135" spans="1:14">
      <c r="A135" s="285" t="s">
        <v>108</v>
      </c>
      <c r="B135" s="285" t="s">
        <v>486</v>
      </c>
      <c r="C135" s="286">
        <v>18.947075999999999</v>
      </c>
      <c r="D135" s="286">
        <v>0.97089409999999998</v>
      </c>
      <c r="E135" s="286">
        <v>11.448904000000001</v>
      </c>
      <c r="F135" s="286">
        <v>8.7489050000000006</v>
      </c>
      <c r="G135" s="286">
        <v>0.82790280000000005</v>
      </c>
      <c r="H135" s="286">
        <v>21.244565999999999</v>
      </c>
      <c r="I135" s="286">
        <v>-1.9481720000000001E-2</v>
      </c>
      <c r="J135" s="286">
        <v>-0.74273750000000005</v>
      </c>
      <c r="K135" s="286">
        <v>5.7967430000000002</v>
      </c>
      <c r="L135" s="287">
        <v>6.1000000000000004E-3</v>
      </c>
      <c r="M135" s="288">
        <v>2</v>
      </c>
      <c r="N135" s="287">
        <v>2E-3</v>
      </c>
    </row>
    <row r="136" spans="1:14">
      <c r="A136" s="285" t="s">
        <v>109</v>
      </c>
      <c r="B136" s="285" t="s">
        <v>486</v>
      </c>
      <c r="C136" s="286">
        <v>18.859926000000002</v>
      </c>
      <c r="D136" s="286">
        <v>0.9680723</v>
      </c>
      <c r="E136" s="286">
        <v>11.151761</v>
      </c>
      <c r="F136" s="286">
        <v>8.2499900000000004</v>
      </c>
      <c r="G136" s="286">
        <v>0.2176013</v>
      </c>
      <c r="H136" s="286">
        <v>23.215767</v>
      </c>
      <c r="I136" s="286">
        <v>-1.9851580000000001E-2</v>
      </c>
      <c r="J136" s="286">
        <v>-0.73610469999999995</v>
      </c>
      <c r="K136" s="286">
        <v>5.7915859999999997</v>
      </c>
      <c r="L136" s="287">
        <v>5.7000000000000002E-3</v>
      </c>
      <c r="M136" s="288">
        <v>2</v>
      </c>
      <c r="N136" s="287">
        <v>1.8E-3</v>
      </c>
    </row>
    <row r="137" spans="1:14">
      <c r="A137" s="285" t="s">
        <v>110</v>
      </c>
      <c r="B137" s="285" t="s">
        <v>486</v>
      </c>
      <c r="C137" s="286">
        <v>19.097816000000002</v>
      </c>
      <c r="D137" s="286">
        <v>0.91422829999999999</v>
      </c>
      <c r="E137" s="286">
        <v>13.341677000000001</v>
      </c>
      <c r="F137" s="286">
        <v>9.5921489999999991</v>
      </c>
      <c r="G137" s="286">
        <v>-7.5395370000000003E-2</v>
      </c>
      <c r="H137" s="286">
        <v>-0.46073320000000001</v>
      </c>
      <c r="I137" s="286">
        <v>3.678258</v>
      </c>
      <c r="J137" s="286">
        <v>43.914662999999997</v>
      </c>
      <c r="K137" s="286">
        <v>5.9346519999999998</v>
      </c>
      <c r="L137" s="287">
        <v>2.4400000000000002E-2</v>
      </c>
      <c r="M137" s="288">
        <v>0.1</v>
      </c>
      <c r="N137" s="287">
        <v>6.7000000000000002E-3</v>
      </c>
    </row>
    <row r="138" spans="1:14">
      <c r="A138" s="285" t="s">
        <v>111</v>
      </c>
      <c r="B138" s="285" t="s">
        <v>486</v>
      </c>
      <c r="C138" s="286">
        <v>19.236530999999999</v>
      </c>
      <c r="D138" s="286">
        <v>0.89324320000000001</v>
      </c>
      <c r="E138" s="286">
        <v>12.681611999999999</v>
      </c>
      <c r="F138" s="286">
        <v>9.2627600000000001</v>
      </c>
      <c r="G138" s="286">
        <v>3.4720240000000002</v>
      </c>
      <c r="H138" s="286">
        <v>26.673876</v>
      </c>
      <c r="I138" s="286">
        <v>-1.9116249999999999E-3</v>
      </c>
      <c r="J138" s="286">
        <v>-1.1662669999999999</v>
      </c>
      <c r="K138" s="286">
        <v>5.60792</v>
      </c>
      <c r="L138" s="287">
        <v>6.1999999999999998E-3</v>
      </c>
      <c r="M138" s="288">
        <v>2</v>
      </c>
      <c r="N138" s="287">
        <v>2.7000000000000001E-3</v>
      </c>
    </row>
    <row r="139" spans="1:14">
      <c r="A139" s="285" t="s">
        <v>112</v>
      </c>
      <c r="B139" s="285" t="s">
        <v>486</v>
      </c>
      <c r="C139" s="286">
        <v>19.190918</v>
      </c>
      <c r="D139" s="286">
        <v>0.88870550000000004</v>
      </c>
      <c r="E139" s="286">
        <v>2.7352159999999999</v>
      </c>
      <c r="F139" s="286">
        <v>23.208487999999999</v>
      </c>
      <c r="G139" s="286">
        <v>-1.1230820000000001E-3</v>
      </c>
      <c r="H139" s="286">
        <v>-1.276421</v>
      </c>
      <c r="I139" s="286">
        <v>12.493434000000001</v>
      </c>
      <c r="J139" s="286">
        <v>8.9612920000000003</v>
      </c>
      <c r="K139" s="286">
        <v>5.5810170000000001</v>
      </c>
      <c r="L139" s="287">
        <v>6.6E-3</v>
      </c>
      <c r="M139" s="288">
        <v>2</v>
      </c>
      <c r="N139" s="287">
        <v>2.3E-3</v>
      </c>
    </row>
    <row r="140" spans="1:14">
      <c r="A140" s="285" t="s">
        <v>113</v>
      </c>
      <c r="B140" s="285" t="s">
        <v>486</v>
      </c>
      <c r="C140" s="286">
        <v>19.134321</v>
      </c>
      <c r="D140" s="286">
        <v>0.88568340000000001</v>
      </c>
      <c r="E140" s="286">
        <v>1.9243220000000001</v>
      </c>
      <c r="F140" s="286">
        <v>21.106021999999999</v>
      </c>
      <c r="G140" s="286">
        <v>12.374596</v>
      </c>
      <c r="H140" s="286">
        <v>8.6500900000000005</v>
      </c>
      <c r="I140" s="286">
        <v>-9.3684439999999996E-4</v>
      </c>
      <c r="J140" s="286">
        <v>-1.3116719999999999</v>
      </c>
      <c r="K140" s="286">
        <v>5.5685510000000003</v>
      </c>
      <c r="L140" s="287">
        <v>6.6E-3</v>
      </c>
      <c r="M140" s="288">
        <v>2</v>
      </c>
      <c r="N140" s="287">
        <v>2.3E-3</v>
      </c>
    </row>
    <row r="141" spans="1:14">
      <c r="A141" s="285" t="s">
        <v>114</v>
      </c>
      <c r="B141" s="285" t="s">
        <v>486</v>
      </c>
      <c r="C141" s="286">
        <v>12.217409</v>
      </c>
      <c r="D141" s="286">
        <v>8.2956219999999998</v>
      </c>
      <c r="E141" s="286">
        <v>19.068135999999999</v>
      </c>
      <c r="F141" s="286">
        <v>0.88351429999999997</v>
      </c>
      <c r="G141" s="286">
        <v>-9.6181740000000004E-4</v>
      </c>
      <c r="H141" s="286">
        <v>-1.3020659999999999</v>
      </c>
      <c r="I141" s="286">
        <v>1.153111</v>
      </c>
      <c r="J141" s="286">
        <v>20.05292</v>
      </c>
      <c r="K141" s="286">
        <v>5.5636279999999996</v>
      </c>
      <c r="L141" s="287">
        <v>6.3E-3</v>
      </c>
      <c r="M141" s="288">
        <v>2</v>
      </c>
      <c r="N141" s="287">
        <v>2.3E-3</v>
      </c>
    </row>
    <row r="142" spans="1:14">
      <c r="A142" s="285" t="s">
        <v>115</v>
      </c>
      <c r="B142" s="285" t="s">
        <v>486</v>
      </c>
      <c r="C142" s="286">
        <v>18.992017000000001</v>
      </c>
      <c r="D142" s="286">
        <v>0.88190599999999997</v>
      </c>
      <c r="E142" s="286">
        <v>11.917552000000001</v>
      </c>
      <c r="F142" s="286">
        <v>7.8784989999999997</v>
      </c>
      <c r="G142" s="286">
        <v>0.52929579999999998</v>
      </c>
      <c r="H142" s="286">
        <v>20.258512</v>
      </c>
      <c r="I142" s="286">
        <v>-1.119323E-3</v>
      </c>
      <c r="J142" s="286">
        <v>-1.265698</v>
      </c>
      <c r="K142" s="286">
        <v>5.5635620000000001</v>
      </c>
      <c r="L142" s="287">
        <v>5.8999999999999999E-3</v>
      </c>
      <c r="M142" s="288">
        <v>2</v>
      </c>
      <c r="N142" s="287">
        <v>2.0999999999999999E-3</v>
      </c>
    </row>
    <row r="143" spans="1:14">
      <c r="A143" s="285" t="s">
        <v>116</v>
      </c>
      <c r="B143" s="285" t="s">
        <v>486</v>
      </c>
      <c r="C143" s="286">
        <v>18.904147999999999</v>
      </c>
      <c r="D143" s="286">
        <v>0.88031820000000005</v>
      </c>
      <c r="E143" s="286">
        <v>11.409459</v>
      </c>
      <c r="F143" s="286">
        <v>7.3859940000000002</v>
      </c>
      <c r="G143" s="286">
        <v>-1.2956129999999999E-3</v>
      </c>
      <c r="H143" s="286">
        <v>-1.230969</v>
      </c>
      <c r="I143" s="286">
        <v>0.12463009999999999</v>
      </c>
      <c r="J143" s="286">
        <v>24.224433000000001</v>
      </c>
      <c r="K143" s="286">
        <v>5.5640090000000004</v>
      </c>
      <c r="L143" s="287">
        <v>5.4999999999999997E-3</v>
      </c>
      <c r="M143" s="288">
        <v>2</v>
      </c>
      <c r="N143" s="287">
        <v>1.9E-3</v>
      </c>
    </row>
    <row r="144" spans="1:14">
      <c r="A144" s="285" t="s">
        <v>117</v>
      </c>
      <c r="B144" s="285" t="s">
        <v>486</v>
      </c>
      <c r="C144" s="286">
        <v>13.892313</v>
      </c>
      <c r="D144" s="286">
        <v>8.994828</v>
      </c>
      <c r="E144" s="286">
        <v>19.322089999999999</v>
      </c>
      <c r="F144" s="286">
        <v>0.82146339999999995</v>
      </c>
      <c r="G144" s="286">
        <v>4.2980099999999997</v>
      </c>
      <c r="H144" s="286">
        <v>29.556964000000001</v>
      </c>
      <c r="I144" s="286">
        <v>-7.3142389999999999E-5</v>
      </c>
      <c r="J144" s="286">
        <v>-1.8114129999999999</v>
      </c>
      <c r="K144" s="286">
        <v>5.4768140000000001</v>
      </c>
      <c r="L144" s="287">
        <v>1.14E-2</v>
      </c>
      <c r="M144" s="288">
        <v>0.11</v>
      </c>
      <c r="N144" s="287">
        <v>4.1999999999999997E-3</v>
      </c>
    </row>
    <row r="145" spans="1:14">
      <c r="A145" s="285" t="s">
        <v>118</v>
      </c>
      <c r="B145" s="285" t="s">
        <v>486</v>
      </c>
      <c r="C145" s="286">
        <v>19.278732999999999</v>
      </c>
      <c r="D145" s="286">
        <v>0.81669270000000005</v>
      </c>
      <c r="E145" s="286">
        <v>13.582763</v>
      </c>
      <c r="F145" s="286">
        <v>8.7205469999999998</v>
      </c>
      <c r="G145" s="286">
        <v>-1.3390149999999999E-5</v>
      </c>
      <c r="H145" s="286">
        <v>-2.1979540000000002</v>
      </c>
      <c r="I145" s="286">
        <v>3.6861350000000002</v>
      </c>
      <c r="J145" s="286">
        <v>24.839475</v>
      </c>
      <c r="K145" s="286">
        <v>5.4490559999999997</v>
      </c>
      <c r="L145" s="287">
        <v>6.4999999999999997E-3</v>
      </c>
      <c r="M145" s="288">
        <v>1.01</v>
      </c>
      <c r="N145" s="287">
        <v>3.0999999999999999E-3</v>
      </c>
    </row>
    <row r="146" spans="1:14">
      <c r="A146" s="285" t="s">
        <v>119</v>
      </c>
      <c r="B146" s="285" t="s">
        <v>486</v>
      </c>
      <c r="C146" s="286">
        <v>19.231065000000001</v>
      </c>
      <c r="D146" s="286">
        <v>0.81375109999999995</v>
      </c>
      <c r="E146" s="286">
        <v>13.417725000000001</v>
      </c>
      <c r="F146" s="286">
        <v>8.4745220000000003</v>
      </c>
      <c r="G146" s="286">
        <v>2.9152209999999998</v>
      </c>
      <c r="H146" s="286">
        <v>21.974412000000001</v>
      </c>
      <c r="I146" s="286">
        <v>-6.4537319999999998E-6</v>
      </c>
      <c r="J146" s="286">
        <v>-2.362914</v>
      </c>
      <c r="K146" s="286">
        <v>5.4359250000000001</v>
      </c>
      <c r="L146" s="287">
        <v>6.7999999999999996E-3</v>
      </c>
      <c r="M146" s="288">
        <v>1.01</v>
      </c>
      <c r="N146" s="287">
        <v>2.8999999999999998E-3</v>
      </c>
    </row>
    <row r="147" spans="1:14">
      <c r="A147" s="285" t="s">
        <v>120</v>
      </c>
      <c r="B147" s="285" t="s">
        <v>486</v>
      </c>
      <c r="C147" s="286">
        <v>19.178256999999999</v>
      </c>
      <c r="D147" s="286">
        <v>0.81160410000000005</v>
      </c>
      <c r="E147" s="286">
        <v>13.304188</v>
      </c>
      <c r="F147" s="286">
        <v>8.2126999999999999</v>
      </c>
      <c r="G147" s="286">
        <v>-5.1528309999999998E-6</v>
      </c>
      <c r="H147" s="286">
        <v>-2.410552</v>
      </c>
      <c r="I147" s="286">
        <v>2.0901969999999999</v>
      </c>
      <c r="J147" s="286">
        <v>20.245913000000002</v>
      </c>
      <c r="K147" s="286">
        <v>5.4286589999999997</v>
      </c>
      <c r="L147" s="287">
        <v>6.7999999999999996E-3</v>
      </c>
      <c r="M147" s="288">
        <v>1.01</v>
      </c>
      <c r="N147" s="287">
        <v>2.8999999999999998E-3</v>
      </c>
    </row>
    <row r="148" spans="1:14">
      <c r="A148" s="285" t="s">
        <v>121</v>
      </c>
      <c r="B148" s="285" t="s">
        <v>486</v>
      </c>
      <c r="C148" s="286">
        <v>13.130747</v>
      </c>
      <c r="D148" s="286">
        <v>7.9075129999999998</v>
      </c>
      <c r="E148" s="286">
        <v>19.119192999999999</v>
      </c>
      <c r="F148" s="286">
        <v>0.80996389999999996</v>
      </c>
      <c r="G148" s="286">
        <v>1.3267850000000001</v>
      </c>
      <c r="H148" s="286">
        <v>19.375367000000001</v>
      </c>
      <c r="I148" s="286">
        <v>-5.6972430000000004E-6</v>
      </c>
      <c r="J148" s="286">
        <v>-2.382444</v>
      </c>
      <c r="K148" s="286">
        <v>5.4250150000000001</v>
      </c>
      <c r="L148" s="287">
        <v>6.3E-3</v>
      </c>
      <c r="M148" s="288">
        <v>1.01</v>
      </c>
      <c r="N148" s="287">
        <v>2.8E-3</v>
      </c>
    </row>
    <row r="149" spans="1:14">
      <c r="A149" s="285" t="s">
        <v>122</v>
      </c>
      <c r="B149" s="285" t="s">
        <v>486</v>
      </c>
      <c r="C149" s="286">
        <v>19.053207</v>
      </c>
      <c r="D149" s="286">
        <v>0.80874970000000002</v>
      </c>
      <c r="E149" s="286">
        <v>12.806125</v>
      </c>
      <c r="F149" s="286">
        <v>7.5459940000000003</v>
      </c>
      <c r="G149" s="286">
        <v>0.71805719999999995</v>
      </c>
      <c r="H149" s="286">
        <v>19.353715000000001</v>
      </c>
      <c r="I149" s="286">
        <v>-7.9633019999999993E-6</v>
      </c>
      <c r="J149" s="286">
        <v>-2.3002479999999998</v>
      </c>
      <c r="K149" s="286">
        <v>5.4243139999999999</v>
      </c>
      <c r="L149" s="287">
        <v>5.7000000000000002E-3</v>
      </c>
      <c r="M149" s="288">
        <v>1.02</v>
      </c>
      <c r="N149" s="287">
        <v>2.5999999999999999E-3</v>
      </c>
    </row>
    <row r="150" spans="1:14">
      <c r="A150" s="285" t="s">
        <v>123</v>
      </c>
      <c r="B150" s="285" t="s">
        <v>486</v>
      </c>
      <c r="C150" s="286">
        <v>18.979444000000001</v>
      </c>
      <c r="D150" s="286">
        <v>0.80790360000000006</v>
      </c>
      <c r="E150" s="286">
        <v>12.295170000000001</v>
      </c>
      <c r="F150" s="286">
        <v>7.1278410000000001</v>
      </c>
      <c r="G150" s="286">
        <v>-1.289421E-5</v>
      </c>
      <c r="H150" s="286">
        <v>-2.184895</v>
      </c>
      <c r="I150" s="286">
        <v>0.30069050000000003</v>
      </c>
      <c r="J150" s="286">
        <v>20.699418999999999</v>
      </c>
      <c r="K150" s="286">
        <v>5.4260979999999996</v>
      </c>
      <c r="L150" s="287">
        <v>5.1000000000000004E-3</v>
      </c>
      <c r="M150" s="288">
        <v>2</v>
      </c>
      <c r="N150" s="287">
        <v>2.3E-3</v>
      </c>
    </row>
    <row r="151" spans="1:14">
      <c r="A151" s="285" t="s">
        <v>124</v>
      </c>
      <c r="B151" s="285" t="s">
        <v>486</v>
      </c>
      <c r="C151" s="286">
        <v>18.894897</v>
      </c>
      <c r="D151" s="286">
        <v>0.80708780000000002</v>
      </c>
      <c r="E151" s="286">
        <v>11.612914</v>
      </c>
      <c r="F151" s="286">
        <v>6.6548800000000004</v>
      </c>
      <c r="G151" s="286">
        <v>-1.94877E-5</v>
      </c>
      <c r="H151" s="286">
        <v>-2.0866799999999999</v>
      </c>
      <c r="I151" s="286">
        <v>6.4882270000000006E-2</v>
      </c>
      <c r="J151" s="286">
        <v>27.373940000000001</v>
      </c>
      <c r="K151" s="286">
        <v>5.4281889999999997</v>
      </c>
      <c r="L151" s="287">
        <v>4.8999999999999998E-3</v>
      </c>
      <c r="M151" s="288">
        <v>2</v>
      </c>
      <c r="N151" s="287">
        <v>2E-3</v>
      </c>
    </row>
    <row r="152" spans="1:14">
      <c r="A152" s="285" t="s">
        <v>125</v>
      </c>
      <c r="B152" s="285" t="s">
        <v>486</v>
      </c>
      <c r="C152" s="286">
        <v>19.327811000000001</v>
      </c>
      <c r="D152" s="286">
        <v>0.754992</v>
      </c>
      <c r="E152" s="286">
        <v>14.844466000000001</v>
      </c>
      <c r="F152" s="286">
        <v>8.4729200000000002</v>
      </c>
      <c r="G152" s="286">
        <v>-4.0878120000000004E-9</v>
      </c>
      <c r="H152" s="286">
        <v>-4.0140060000000002</v>
      </c>
      <c r="I152" s="286">
        <v>4.4590649999999998</v>
      </c>
      <c r="J152" s="286">
        <v>27.322573999999999</v>
      </c>
      <c r="K152" s="286">
        <v>5.3589520000000004</v>
      </c>
      <c r="L152" s="287">
        <v>1.01E-2</v>
      </c>
      <c r="M152" s="288">
        <v>0.11</v>
      </c>
      <c r="N152" s="287">
        <v>4.8999999999999998E-3</v>
      </c>
    </row>
    <row r="153" spans="1:14">
      <c r="A153" s="285" t="s">
        <v>126</v>
      </c>
      <c r="B153" s="285" t="s">
        <v>486</v>
      </c>
      <c r="C153" s="286">
        <v>19.284714000000001</v>
      </c>
      <c r="D153" s="286">
        <v>0.75204899999999997</v>
      </c>
      <c r="E153" s="286">
        <v>3.7832309999999998</v>
      </c>
      <c r="F153" s="286">
        <v>23.428744999999999</v>
      </c>
      <c r="G153" s="286">
        <v>14.584819</v>
      </c>
      <c r="H153" s="286">
        <v>8.2581480000000003</v>
      </c>
      <c r="I153" s="286">
        <v>-2.039821E-10</v>
      </c>
      <c r="J153" s="286">
        <v>-4.7276400000000001</v>
      </c>
      <c r="K153" s="286">
        <v>5.3448659999999997</v>
      </c>
      <c r="L153" s="287">
        <v>9.4000000000000004E-3</v>
      </c>
      <c r="M153" s="288">
        <v>1.05</v>
      </c>
      <c r="N153" s="287">
        <v>4.0000000000000001E-3</v>
      </c>
    </row>
    <row r="154" spans="1:14">
      <c r="A154" s="285" t="s">
        <v>127</v>
      </c>
      <c r="B154" s="285" t="s">
        <v>486</v>
      </c>
      <c r="C154" s="286">
        <v>14.459517</v>
      </c>
      <c r="D154" s="286">
        <v>8.0581440000000004</v>
      </c>
      <c r="E154" s="286">
        <v>19.240760999999999</v>
      </c>
      <c r="F154" s="286">
        <v>0.74998149999999997</v>
      </c>
      <c r="G154" s="286">
        <v>2.963838</v>
      </c>
      <c r="H154" s="286">
        <v>21.079933</v>
      </c>
      <c r="I154" s="286">
        <v>-4.9280870000000001E-11</v>
      </c>
      <c r="J154" s="286">
        <v>-5.0635570000000003</v>
      </c>
      <c r="K154" s="286">
        <v>5.3366790000000002</v>
      </c>
      <c r="L154" s="287">
        <v>9.7000000000000003E-3</v>
      </c>
      <c r="M154" s="288">
        <v>1.04</v>
      </c>
      <c r="N154" s="287">
        <v>3.8999999999999998E-3</v>
      </c>
    </row>
    <row r="155" spans="1:14">
      <c r="A155" s="285" t="s">
        <v>128</v>
      </c>
      <c r="B155" s="285" t="s">
        <v>486</v>
      </c>
      <c r="C155" s="286">
        <v>19.192889000000001</v>
      </c>
      <c r="D155" s="286">
        <v>0.74836970000000003</v>
      </c>
      <c r="E155" s="286">
        <v>14.361948999999999</v>
      </c>
      <c r="F155" s="286">
        <v>7.836849</v>
      </c>
      <c r="G155" s="286">
        <v>2.1156760000000001</v>
      </c>
      <c r="H155" s="286">
        <v>19.729320999999999</v>
      </c>
      <c r="I155" s="286">
        <v>-3.2441349999999997E-11</v>
      </c>
      <c r="J155" s="286">
        <v>-5.1587569999999996</v>
      </c>
      <c r="K155" s="286">
        <v>5.3315710000000003</v>
      </c>
      <c r="L155" s="287">
        <v>9.4999999999999998E-3</v>
      </c>
      <c r="M155" s="288">
        <v>1.05</v>
      </c>
      <c r="N155" s="287">
        <v>4.0000000000000001E-3</v>
      </c>
    </row>
    <row r="156" spans="1:14">
      <c r="A156" s="285" t="s">
        <v>129</v>
      </c>
      <c r="B156" s="285" t="s">
        <v>486</v>
      </c>
      <c r="C156" s="286">
        <v>19.139813</v>
      </c>
      <c r="D156" s="286">
        <v>0.74708779999999997</v>
      </c>
      <c r="E156" s="286">
        <v>14.17558</v>
      </c>
      <c r="F156" s="286">
        <v>7.5712460000000004</v>
      </c>
      <c r="G156" s="286">
        <v>1.3583780000000001</v>
      </c>
      <c r="H156" s="286">
        <v>19.152379</v>
      </c>
      <c r="I156" s="286">
        <v>-4.4148450000000001E-11</v>
      </c>
      <c r="J156" s="286">
        <v>-5.0795669999999999</v>
      </c>
      <c r="K156" s="286">
        <v>5.3286709999999999</v>
      </c>
      <c r="L156" s="287">
        <v>8.9999999999999993E-3</v>
      </c>
      <c r="M156" s="288">
        <v>1.05</v>
      </c>
      <c r="N156" s="287">
        <v>3.8E-3</v>
      </c>
    </row>
    <row r="157" spans="1:14">
      <c r="A157" s="285" t="s">
        <v>130</v>
      </c>
      <c r="B157" s="285" t="s">
        <v>486</v>
      </c>
      <c r="C157" s="286">
        <v>0.77484399999999998</v>
      </c>
      <c r="D157" s="286">
        <v>19.301648</v>
      </c>
      <c r="E157" s="286">
        <v>13.81856</v>
      </c>
      <c r="F157" s="286">
        <v>7.2523200000000001</v>
      </c>
      <c r="G157" s="286">
        <v>19.081130000000002</v>
      </c>
      <c r="H157" s="286">
        <v>0.74612029999999996</v>
      </c>
      <c r="I157" s="286">
        <v>-1.05884E-10</v>
      </c>
      <c r="J157" s="286">
        <v>-4.8647200000000002</v>
      </c>
      <c r="K157" s="286">
        <v>5.3277789999999996</v>
      </c>
      <c r="L157" s="287">
        <v>8.2000000000000007E-3</v>
      </c>
      <c r="M157" s="288">
        <v>1.06</v>
      </c>
      <c r="N157" s="287">
        <v>3.5000000000000001E-3</v>
      </c>
    </row>
    <row r="158" spans="1:14">
      <c r="A158" s="285" t="s">
        <v>348</v>
      </c>
      <c r="B158" s="285" t="s">
        <v>486</v>
      </c>
      <c r="C158" s="286">
        <v>15.515698</v>
      </c>
      <c r="D158" s="286">
        <v>7.2895830000000004</v>
      </c>
      <c r="E158" s="286">
        <v>19.529568000000001</v>
      </c>
      <c r="F158" s="286">
        <v>0.70742850000000002</v>
      </c>
      <c r="G158" s="286">
        <v>4.7425610000000002</v>
      </c>
      <c r="H158" s="286">
        <v>20.293164000000001</v>
      </c>
      <c r="I158" s="286">
        <v>-1.1045609999999999</v>
      </c>
      <c r="J158" s="286">
        <v>2.972172</v>
      </c>
      <c r="K158" s="286">
        <v>5.3111949999999997</v>
      </c>
      <c r="L158" s="287">
        <v>1.38E-2</v>
      </c>
      <c r="M158" s="288">
        <v>2</v>
      </c>
      <c r="N158" s="287">
        <v>3.5000000000000001E-3</v>
      </c>
    </row>
    <row r="159" spans="1:14">
      <c r="A159" s="285" t="s">
        <v>349</v>
      </c>
      <c r="B159" s="285" t="s">
        <v>486</v>
      </c>
      <c r="C159" s="286">
        <v>19.408823999999999</v>
      </c>
      <c r="D159" s="286">
        <v>0.70396069999999999</v>
      </c>
      <c r="E159" s="286">
        <v>4.7002269999999999</v>
      </c>
      <c r="F159" s="286">
        <v>14.724734</v>
      </c>
      <c r="G159" s="286">
        <v>299.10695800000002</v>
      </c>
      <c r="H159" s="286">
        <v>5.3331580000000001</v>
      </c>
      <c r="I159" s="286">
        <v>-286.51911699999999</v>
      </c>
      <c r="J159" s="286">
        <v>5.2693399999999997</v>
      </c>
      <c r="K159" s="286">
        <v>5.3011699999999999</v>
      </c>
      <c r="L159" s="287">
        <v>1.32E-2</v>
      </c>
      <c r="M159" s="288">
        <v>2</v>
      </c>
      <c r="N159" s="287">
        <v>2.2000000000000001E-3</v>
      </c>
    </row>
    <row r="160" spans="1:14">
      <c r="A160" s="285" t="s">
        <v>131</v>
      </c>
      <c r="B160" s="285" t="s">
        <v>486</v>
      </c>
      <c r="C160" s="286">
        <v>16.654112000000001</v>
      </c>
      <c r="D160" s="286">
        <v>7.2731029999999999</v>
      </c>
      <c r="E160" s="286">
        <v>21.804590999999999</v>
      </c>
      <c r="F160" s="286">
        <v>0.69636629999999999</v>
      </c>
      <c r="G160" s="286">
        <v>-2.9931320000000001</v>
      </c>
      <c r="H160" s="286">
        <v>1.202577</v>
      </c>
      <c r="I160" s="286">
        <v>5.1836500000000001</v>
      </c>
      <c r="J160" s="286">
        <v>22.591669</v>
      </c>
      <c r="K160" s="286">
        <v>5.3394589999999997</v>
      </c>
      <c r="L160" s="287">
        <v>1.18E-2</v>
      </c>
      <c r="M160" s="288">
        <v>0.13</v>
      </c>
      <c r="N160" s="287">
        <v>4.7999999999999996E-3</v>
      </c>
    </row>
    <row r="161" spans="1:14">
      <c r="A161" s="285" t="s">
        <v>132</v>
      </c>
      <c r="B161" s="285" t="s">
        <v>486</v>
      </c>
      <c r="C161" s="286">
        <v>16.254553999999999</v>
      </c>
      <c r="D161" s="286">
        <v>6.8597510000000002</v>
      </c>
      <c r="E161" s="286">
        <v>20.028708000000002</v>
      </c>
      <c r="F161" s="286">
        <v>0.67318520000000004</v>
      </c>
      <c r="G161" s="286">
        <v>5.032438</v>
      </c>
      <c r="H161" s="286">
        <v>18.845614999999999</v>
      </c>
      <c r="I161" s="286">
        <v>-1.6261509999999999</v>
      </c>
      <c r="J161" s="286">
        <v>1.9768749999999999</v>
      </c>
      <c r="K161" s="286">
        <v>5.304602</v>
      </c>
      <c r="L161" s="287">
        <v>9.1999999999999998E-3</v>
      </c>
      <c r="M161" s="288">
        <v>2</v>
      </c>
      <c r="N161" s="287">
        <v>3.0999999999999999E-3</v>
      </c>
    </row>
    <row r="162" spans="1:14">
      <c r="A162" s="285" t="s">
        <v>133</v>
      </c>
      <c r="B162" s="285" t="s">
        <v>486</v>
      </c>
      <c r="C162" s="286">
        <v>19.773145</v>
      </c>
      <c r="D162" s="286">
        <v>0.66725299999999999</v>
      </c>
      <c r="E162" s="286">
        <v>16.094192</v>
      </c>
      <c r="F162" s="286">
        <v>6.408493</v>
      </c>
      <c r="G162" s="286">
        <v>4.9146979999999996</v>
      </c>
      <c r="H162" s="286">
        <v>16.109805999999999</v>
      </c>
      <c r="I162" s="286">
        <v>-2.0738370000000002</v>
      </c>
      <c r="J162" s="286">
        <v>2.5769869999999999</v>
      </c>
      <c r="K162" s="286">
        <v>5.2883979999999999</v>
      </c>
      <c r="L162" s="287">
        <v>8.5000000000000006E-3</v>
      </c>
      <c r="M162" s="288">
        <v>2</v>
      </c>
      <c r="N162" s="287">
        <v>2.2000000000000001E-3</v>
      </c>
    </row>
    <row r="163" spans="1:14">
      <c r="A163" s="285" t="s">
        <v>350</v>
      </c>
      <c r="B163" s="285" t="s">
        <v>486</v>
      </c>
      <c r="C163" s="286">
        <v>21.539062000000001</v>
      </c>
      <c r="D163" s="286">
        <v>0.65620670000000003</v>
      </c>
      <c r="E163" s="286">
        <v>17.118879</v>
      </c>
      <c r="F163" s="286">
        <v>6.4685629999999996</v>
      </c>
      <c r="G163" s="286">
        <v>5.2682380000000002</v>
      </c>
      <c r="H163" s="286">
        <v>17.616523000000001</v>
      </c>
      <c r="I163" s="286">
        <v>-3.2617120000000002</v>
      </c>
      <c r="J163" s="286">
        <v>1.3756649999999999</v>
      </c>
      <c r="K163" s="286">
        <v>5.3295579999999996</v>
      </c>
      <c r="L163" s="287">
        <v>7.0000000000000001E-3</v>
      </c>
      <c r="M163" s="288">
        <v>2</v>
      </c>
      <c r="N163" s="287">
        <v>2.8999999999999998E-3</v>
      </c>
    </row>
    <row r="164" spans="1:14">
      <c r="A164" s="285" t="s">
        <v>134</v>
      </c>
      <c r="B164" s="285" t="s">
        <v>486</v>
      </c>
      <c r="C164" s="286">
        <v>18.444279000000002</v>
      </c>
      <c r="D164" s="286">
        <v>6.3703690000000002</v>
      </c>
      <c r="E164" s="286">
        <v>19.168296999999999</v>
      </c>
      <c r="F164" s="286">
        <v>0.54779469999999997</v>
      </c>
      <c r="G164" s="286">
        <v>1.074614</v>
      </c>
      <c r="H164" s="286">
        <v>66.250100000000003</v>
      </c>
      <c r="I164" s="286">
        <v>4.3759300000000003</v>
      </c>
      <c r="J164" s="286">
        <v>24.283598999999999</v>
      </c>
      <c r="K164" s="286">
        <v>4.9381930000000001</v>
      </c>
      <c r="L164" s="287">
        <v>2.75E-2</v>
      </c>
      <c r="M164" s="288">
        <v>2</v>
      </c>
      <c r="N164" s="287">
        <v>8.8000000000000005E-3</v>
      </c>
    </row>
    <row r="165" spans="1:14">
      <c r="A165" s="285" t="s">
        <v>135</v>
      </c>
      <c r="B165" s="285" t="s">
        <v>486</v>
      </c>
      <c r="C165" s="286">
        <v>20.351734</v>
      </c>
      <c r="D165" s="286">
        <v>0.50402860000000005</v>
      </c>
      <c r="E165" s="286">
        <v>18.904858000000001</v>
      </c>
      <c r="F165" s="286">
        <v>6.3710740000000001</v>
      </c>
      <c r="G165" s="286">
        <v>0.80500760000000005</v>
      </c>
      <c r="H165" s="286">
        <v>-0.1764946</v>
      </c>
      <c r="I165" s="286">
        <v>4.143764</v>
      </c>
      <c r="J165" s="286">
        <v>24.574755</v>
      </c>
      <c r="K165" s="286">
        <v>2.7756110000000001</v>
      </c>
      <c r="L165" s="287">
        <v>1.9800000000000002E-2</v>
      </c>
      <c r="M165" s="288">
        <v>0.13</v>
      </c>
      <c r="N165" s="287">
        <v>7.1999999999999998E-3</v>
      </c>
    </row>
    <row r="166" spans="1:14">
      <c r="A166" s="285" t="s">
        <v>136</v>
      </c>
      <c r="B166" s="285" t="s">
        <v>486</v>
      </c>
      <c r="C166" s="286">
        <v>21.942209999999999</v>
      </c>
      <c r="D166" s="286">
        <v>0.62379070000000003</v>
      </c>
      <c r="E166" s="286">
        <v>17.614523999999999</v>
      </c>
      <c r="F166" s="286">
        <v>5.8033979999999996</v>
      </c>
      <c r="G166" s="286">
        <v>5.2946499999999999</v>
      </c>
      <c r="H166" s="286">
        <v>14.380521</v>
      </c>
      <c r="I166" s="286">
        <v>-4.175662</v>
      </c>
      <c r="J166" s="286">
        <v>1.3629359999999999</v>
      </c>
      <c r="K166" s="286">
        <v>5.3207740000000001</v>
      </c>
      <c r="L166" s="287">
        <v>4.7999999999999996E-3</v>
      </c>
      <c r="M166" s="288">
        <v>2</v>
      </c>
      <c r="N166" s="287">
        <v>1.8E-3</v>
      </c>
    </row>
    <row r="167" spans="1:14">
      <c r="A167" s="285" t="s">
        <v>351</v>
      </c>
      <c r="B167" s="285" t="s">
        <v>486</v>
      </c>
      <c r="C167" s="286">
        <v>19.369633</v>
      </c>
      <c r="D167" s="286">
        <v>5.825717</v>
      </c>
      <c r="E167" s="286">
        <v>19.503744000000001</v>
      </c>
      <c r="F167" s="286">
        <v>0.48077039999999999</v>
      </c>
      <c r="G167" s="286">
        <v>4.8404379999999998</v>
      </c>
      <c r="H167" s="286">
        <v>26.348898999999999</v>
      </c>
      <c r="I167" s="286">
        <v>1.180176E-2</v>
      </c>
      <c r="J167" s="286">
        <v>-0.78256479999999995</v>
      </c>
      <c r="K167" s="286">
        <v>4.2533430000000001</v>
      </c>
      <c r="L167" s="287">
        <v>2.2100000000000002E-2</v>
      </c>
      <c r="M167" s="288">
        <v>0.13</v>
      </c>
      <c r="N167" s="287">
        <v>8.2000000000000007E-3</v>
      </c>
    </row>
    <row r="168" spans="1:14">
      <c r="A168" s="285" t="s">
        <v>352</v>
      </c>
      <c r="B168" s="285" t="s">
        <v>486</v>
      </c>
      <c r="C168" s="286">
        <v>18.122415</v>
      </c>
      <c r="D168" s="286">
        <v>5.2495469999999997</v>
      </c>
      <c r="E168" s="286">
        <v>22.588414</v>
      </c>
      <c r="F168" s="286">
        <v>0.59596470000000001</v>
      </c>
      <c r="G168" s="286">
        <v>5.2620750000000003</v>
      </c>
      <c r="H168" s="286">
        <v>12.110367</v>
      </c>
      <c r="I168" s="286">
        <v>-5.2910550000000001</v>
      </c>
      <c r="J168" s="286">
        <v>1.2865329999999999</v>
      </c>
      <c r="K168" s="286">
        <v>5.3159749999999999</v>
      </c>
      <c r="L168" s="287">
        <v>3.3E-3</v>
      </c>
      <c r="M168" s="288">
        <v>2</v>
      </c>
      <c r="N168" s="287">
        <v>1.1999999999999999E-3</v>
      </c>
    </row>
    <row r="169" spans="1:14">
      <c r="A169" s="285" t="s">
        <v>353</v>
      </c>
      <c r="B169" s="285" t="s">
        <v>486</v>
      </c>
      <c r="C169" s="286">
        <v>19.670404999999999</v>
      </c>
      <c r="D169" s="286">
        <v>5.2549419999999998</v>
      </c>
      <c r="E169" s="286">
        <v>20.017596999999999</v>
      </c>
      <c r="F169" s="286">
        <v>0.42160819999999999</v>
      </c>
      <c r="G169" s="286">
        <v>7.2406620000000005E-2</v>
      </c>
      <c r="H169" s="286">
        <v>-0.52314070000000001</v>
      </c>
      <c r="I169" s="286">
        <v>4.8720270000000001</v>
      </c>
      <c r="J169" s="286">
        <v>22.058626</v>
      </c>
      <c r="K169" s="286">
        <v>3.3536839999999999</v>
      </c>
      <c r="L169" s="287">
        <v>1.46E-2</v>
      </c>
      <c r="M169" s="288">
        <v>0.14000000000000001</v>
      </c>
      <c r="N169" s="287">
        <v>5.8999999999999999E-3</v>
      </c>
    </row>
    <row r="170" spans="1:14">
      <c r="A170" s="285" t="s">
        <v>354</v>
      </c>
      <c r="B170" s="285" t="s">
        <v>486</v>
      </c>
      <c r="C170" s="286">
        <v>-6.6036140000000003</v>
      </c>
      <c r="D170" s="286">
        <v>1.189643</v>
      </c>
      <c r="E170" s="286">
        <v>5.1796810000000004</v>
      </c>
      <c r="F170" s="286">
        <v>10.429119999999999</v>
      </c>
      <c r="G170" s="286">
        <v>23.470942999999998</v>
      </c>
      <c r="H170" s="286">
        <v>0.57206029999999997</v>
      </c>
      <c r="I170" s="286">
        <v>18.635546000000001</v>
      </c>
      <c r="J170" s="286">
        <v>4.781193</v>
      </c>
      <c r="K170" s="286">
        <v>5.3160449999999999</v>
      </c>
      <c r="L170" s="287">
        <v>2.3E-3</v>
      </c>
      <c r="M170" s="288">
        <v>2</v>
      </c>
      <c r="N170" s="287">
        <v>8.0000000000000004E-4</v>
      </c>
    </row>
    <row r="171" spans="1:14">
      <c r="A171" s="285" t="s">
        <v>355</v>
      </c>
      <c r="B171" s="285" t="s">
        <v>486</v>
      </c>
      <c r="C171" s="286">
        <v>19.021335000000001</v>
      </c>
      <c r="D171" s="286">
        <v>0.4214696</v>
      </c>
      <c r="E171" s="286">
        <v>19.913333000000002</v>
      </c>
      <c r="F171" s="286">
        <v>4.8310250000000003</v>
      </c>
      <c r="G171" s="286">
        <v>5.8016610000000002</v>
      </c>
      <c r="H171" s="286">
        <v>25.036898999999998</v>
      </c>
      <c r="I171" s="286">
        <v>0.89428379999999996</v>
      </c>
      <c r="J171" s="286">
        <v>57.224088000000002</v>
      </c>
      <c r="K171" s="286">
        <v>4.3708600000000004</v>
      </c>
      <c r="L171" s="287">
        <v>3.61E-2</v>
      </c>
      <c r="M171" s="288">
        <v>2</v>
      </c>
      <c r="N171" s="287">
        <v>8.6E-3</v>
      </c>
    </row>
    <row r="172" spans="1:14">
      <c r="A172" s="285" t="s">
        <v>356</v>
      </c>
      <c r="B172" s="285" t="s">
        <v>486</v>
      </c>
      <c r="C172" s="286">
        <v>4.9020149999999996</v>
      </c>
      <c r="D172" s="286">
        <v>18.87968</v>
      </c>
      <c r="E172" s="286">
        <v>19.960363999999998</v>
      </c>
      <c r="F172" s="286">
        <v>4.7644419999999998</v>
      </c>
      <c r="G172" s="286">
        <v>20.919425</v>
      </c>
      <c r="H172" s="286">
        <v>0.3650545</v>
      </c>
      <c r="I172" s="286">
        <v>0.24022879999999999</v>
      </c>
      <c r="J172" s="286">
        <v>-0.3828491</v>
      </c>
      <c r="K172" s="286">
        <v>1.968334</v>
      </c>
      <c r="L172" s="287">
        <v>1.0200000000000001E-2</v>
      </c>
      <c r="M172" s="288">
        <v>0.15</v>
      </c>
      <c r="N172" s="287">
        <v>4.3E-3</v>
      </c>
    </row>
    <row r="173" spans="1:14">
      <c r="A173" s="285" t="s">
        <v>137</v>
      </c>
      <c r="B173" s="285" t="s">
        <v>486</v>
      </c>
      <c r="C173" s="286">
        <v>-276.19028100000003</v>
      </c>
      <c r="D173" s="286">
        <v>0.1761443</v>
      </c>
      <c r="E173" s="286">
        <v>20.274443999999999</v>
      </c>
      <c r="F173" s="286">
        <v>4.7817569999999998</v>
      </c>
      <c r="G173" s="286">
        <v>3.7198120000000001</v>
      </c>
      <c r="H173" s="286">
        <v>15.825958999999999</v>
      </c>
      <c r="I173" s="286">
        <v>283.44998099999998</v>
      </c>
      <c r="J173" s="286">
        <v>0.19734840000000001</v>
      </c>
      <c r="K173" s="286">
        <v>15.740202</v>
      </c>
      <c r="L173" s="287">
        <v>6.1000000000000004E-3</v>
      </c>
      <c r="M173" s="288">
        <v>0.15</v>
      </c>
      <c r="N173" s="287">
        <v>2.8999999999999998E-3</v>
      </c>
    </row>
    <row r="174" spans="1:14">
      <c r="A174" s="285" t="s">
        <v>138</v>
      </c>
      <c r="B174" s="285" t="s">
        <v>486</v>
      </c>
      <c r="C174" s="286">
        <v>24.670499</v>
      </c>
      <c r="D174" s="286">
        <v>0.55189339999999998</v>
      </c>
      <c r="E174" s="286">
        <v>19.148796000000001</v>
      </c>
      <c r="F174" s="286">
        <v>4.3790820000000004</v>
      </c>
      <c r="G174" s="286">
        <v>5.0592629999999996</v>
      </c>
      <c r="H174" s="286">
        <v>9.1328209999999999</v>
      </c>
      <c r="I174" s="286">
        <v>-8.2009950000000007</v>
      </c>
      <c r="J174" s="286">
        <v>1.088549</v>
      </c>
      <c r="K174" s="286">
        <v>5.3215149999999998</v>
      </c>
      <c r="L174" s="287">
        <v>1.6000000000000001E-3</v>
      </c>
      <c r="M174" s="288">
        <v>2</v>
      </c>
      <c r="N174" s="287">
        <v>5.0000000000000001E-4</v>
      </c>
    </row>
    <row r="175" spans="1:14">
      <c r="A175" s="285" t="s">
        <v>139</v>
      </c>
      <c r="B175" s="285" t="s">
        <v>486</v>
      </c>
      <c r="C175" s="286">
        <v>19.004023</v>
      </c>
      <c r="D175" s="286">
        <v>0.38193480000000002</v>
      </c>
      <c r="E175" s="286">
        <v>7.397087</v>
      </c>
      <c r="F175" s="286">
        <v>26.564354999999999</v>
      </c>
      <c r="G175" s="286">
        <v>20.131361999999999</v>
      </c>
      <c r="H175" s="286">
        <v>4.3560410000000003</v>
      </c>
      <c r="I175" s="286">
        <v>1.393893</v>
      </c>
      <c r="J175" s="286">
        <v>60.506838000000002</v>
      </c>
      <c r="K175" s="286">
        <v>4.0751189999999999</v>
      </c>
      <c r="L175" s="287">
        <v>3.7199999999999997E-2</v>
      </c>
      <c r="M175" s="288">
        <v>2</v>
      </c>
      <c r="N175" s="287">
        <v>8.6E-3</v>
      </c>
    </row>
    <row r="176" spans="1:14">
      <c r="A176" s="285" t="s">
        <v>357</v>
      </c>
      <c r="B176" s="285" t="s">
        <v>486</v>
      </c>
      <c r="C176" s="286">
        <v>6.6912989999999999</v>
      </c>
      <c r="D176" s="286">
        <v>23.692603999999999</v>
      </c>
      <c r="E176" s="286">
        <v>19.640018000000001</v>
      </c>
      <c r="F176" s="286">
        <v>0.3576336</v>
      </c>
      <c r="G176" s="286">
        <v>20.344386</v>
      </c>
      <c r="H176" s="286">
        <v>4.35982</v>
      </c>
      <c r="I176" s="286">
        <v>2.745876E-3</v>
      </c>
      <c r="J176" s="286">
        <v>-1.119116</v>
      </c>
      <c r="K176" s="286">
        <v>3.3040099999999999</v>
      </c>
      <c r="L176" s="287">
        <v>1.8499999999999999E-2</v>
      </c>
      <c r="M176" s="288">
        <v>0.13</v>
      </c>
      <c r="N176" s="287">
        <v>6.6E-3</v>
      </c>
    </row>
    <row r="177" spans="1:14">
      <c r="A177" s="285" t="s">
        <v>358</v>
      </c>
      <c r="B177" s="285" t="s">
        <v>486</v>
      </c>
      <c r="C177" s="286">
        <v>20.231932</v>
      </c>
      <c r="D177" s="286">
        <v>4.3398630000000002</v>
      </c>
      <c r="E177" s="286">
        <v>22.186696000000001</v>
      </c>
      <c r="F177" s="286">
        <v>0.31326880000000001</v>
      </c>
      <c r="G177" s="286">
        <v>0.50905679999999998</v>
      </c>
      <c r="H177" s="286">
        <v>-0.31184269999999997</v>
      </c>
      <c r="I177" s="286">
        <v>4.9353210000000001</v>
      </c>
      <c r="J177" s="286">
        <v>16.417946000000001</v>
      </c>
      <c r="K177" s="286">
        <v>0.13006219999999999</v>
      </c>
      <c r="L177" s="287">
        <v>7.3000000000000001E-3</v>
      </c>
      <c r="M177" s="288">
        <v>0.15</v>
      </c>
      <c r="N177" s="287">
        <v>3.2000000000000002E-3</v>
      </c>
    </row>
    <row r="178" spans="1:14">
      <c r="A178" s="285" t="s">
        <v>359</v>
      </c>
      <c r="B178" s="285" t="s">
        <v>486</v>
      </c>
      <c r="C178" s="286">
        <v>26.369976000000001</v>
      </c>
      <c r="D178" s="286">
        <v>0.53560260000000004</v>
      </c>
      <c r="E178" s="286">
        <v>19.657015999999999</v>
      </c>
      <c r="F178" s="286">
        <v>4.029433</v>
      </c>
      <c r="G178" s="286">
        <v>4.9120179999999998</v>
      </c>
      <c r="H178" s="286">
        <v>8.1020179999999993</v>
      </c>
      <c r="I178" s="286">
        <v>-10.272493000000001</v>
      </c>
      <c r="J178" s="286">
        <v>0.98915439999999999</v>
      </c>
      <c r="K178" s="286">
        <v>5.3328639999999998</v>
      </c>
      <c r="L178" s="287">
        <v>1.1000000000000001E-3</v>
      </c>
      <c r="M178" s="288">
        <v>2</v>
      </c>
      <c r="N178" s="287">
        <v>4.0000000000000002E-4</v>
      </c>
    </row>
    <row r="179" spans="1:14">
      <c r="A179" s="285" t="s">
        <v>360</v>
      </c>
      <c r="B179" s="285" t="s">
        <v>486</v>
      </c>
      <c r="C179" s="286">
        <v>2.8669899999999999</v>
      </c>
      <c r="D179" s="286">
        <v>85.161769000000007</v>
      </c>
      <c r="E179" s="286">
        <v>20.240580000000001</v>
      </c>
      <c r="F179" s="286">
        <v>4.3610530000000001</v>
      </c>
      <c r="G179" s="286">
        <v>19.004466000000001</v>
      </c>
      <c r="H179" s="286">
        <v>0.38143519999999997</v>
      </c>
      <c r="I179" s="286">
        <v>7.8163850000000004</v>
      </c>
      <c r="J179" s="286">
        <v>29.612237</v>
      </c>
      <c r="K179" s="286">
        <v>4.0664559999999996</v>
      </c>
      <c r="L179" s="287">
        <v>3.7600000000000001E-2</v>
      </c>
      <c r="M179" s="288">
        <v>2</v>
      </c>
      <c r="N179" s="287">
        <v>9.1000000000000004E-3</v>
      </c>
    </row>
    <row r="180" spans="1:14">
      <c r="A180" s="285" t="s">
        <v>361</v>
      </c>
      <c r="B180" s="285" t="s">
        <v>486</v>
      </c>
      <c r="C180" s="286">
        <v>19.034395</v>
      </c>
      <c r="D180" s="286">
        <v>0.34604309999999999</v>
      </c>
      <c r="E180" s="286">
        <v>20.242531</v>
      </c>
      <c r="F180" s="286">
        <v>3.9492560000000001</v>
      </c>
      <c r="G180" s="286">
        <v>8.4448629999999998</v>
      </c>
      <c r="H180" s="286">
        <v>23.824895000000001</v>
      </c>
      <c r="I180" s="286">
        <v>0.5314025</v>
      </c>
      <c r="J180" s="286">
        <v>61.304375</v>
      </c>
      <c r="K180" s="286">
        <v>3.748723</v>
      </c>
      <c r="L180" s="287">
        <v>3.5900000000000001E-2</v>
      </c>
      <c r="M180" s="288">
        <v>2</v>
      </c>
      <c r="N180" s="287">
        <v>8.3000000000000001E-3</v>
      </c>
    </row>
    <row r="181" spans="1:14">
      <c r="A181" s="285" t="s">
        <v>362</v>
      </c>
      <c r="B181" s="285" t="s">
        <v>486</v>
      </c>
      <c r="C181" s="286">
        <v>20.319952000000001</v>
      </c>
      <c r="D181" s="286">
        <v>0.30856479999999997</v>
      </c>
      <c r="E181" s="286">
        <v>6.9204230000000004</v>
      </c>
      <c r="F181" s="286">
        <v>20.073644000000002</v>
      </c>
      <c r="G181" s="286">
        <v>20.483832</v>
      </c>
      <c r="H181" s="286">
        <v>3.941039</v>
      </c>
      <c r="I181" s="286">
        <v>1.334071E-2</v>
      </c>
      <c r="J181" s="286">
        <v>-0.84590620000000005</v>
      </c>
      <c r="K181" s="286">
        <v>2.2502770000000001</v>
      </c>
      <c r="L181" s="287">
        <v>1.2800000000000001E-2</v>
      </c>
      <c r="M181" s="288">
        <v>0.14000000000000001</v>
      </c>
      <c r="N181" s="287">
        <v>4.7000000000000002E-3</v>
      </c>
    </row>
    <row r="182" spans="1:14">
      <c r="A182" s="285" t="s">
        <v>363</v>
      </c>
      <c r="B182" s="285" t="s">
        <v>486</v>
      </c>
      <c r="C182" s="286">
        <v>23.611889999999999</v>
      </c>
      <c r="D182" s="286">
        <v>0.26856679999999999</v>
      </c>
      <c r="E182" s="286">
        <v>20.481995999999999</v>
      </c>
      <c r="F182" s="286">
        <v>3.9700700000000002</v>
      </c>
      <c r="G182" s="286">
        <v>4.9732390000000004</v>
      </c>
      <c r="H182" s="286">
        <v>14.452218999999999</v>
      </c>
      <c r="I182" s="286">
        <v>0.72002549999999998</v>
      </c>
      <c r="J182" s="286">
        <v>-0.2882673</v>
      </c>
      <c r="K182" s="286">
        <v>-1.7922769999999999</v>
      </c>
      <c r="L182" s="287">
        <v>5.4000000000000003E-3</v>
      </c>
      <c r="M182" s="288">
        <v>0.16</v>
      </c>
      <c r="N182" s="287">
        <v>2.3999999999999998E-3</v>
      </c>
    </row>
    <row r="183" spans="1:14">
      <c r="A183" s="285" t="s">
        <v>364</v>
      </c>
      <c r="B183" s="285" t="s">
        <v>486</v>
      </c>
      <c r="C183" s="286">
        <v>28.982064000000001</v>
      </c>
      <c r="D183" s="286">
        <v>0.52376319999999998</v>
      </c>
      <c r="E183" s="286">
        <v>20.155293</v>
      </c>
      <c r="F183" s="286">
        <v>3.7222919999999999</v>
      </c>
      <c r="G183" s="286">
        <v>4.7474379999999998</v>
      </c>
      <c r="H183" s="286">
        <v>7.2622229999999997</v>
      </c>
      <c r="I183" s="286">
        <v>-13.235776</v>
      </c>
      <c r="J183" s="286">
        <v>0.8929182</v>
      </c>
      <c r="K183" s="286">
        <v>5.3505599999999998</v>
      </c>
      <c r="L183" s="287">
        <v>8.0000000000000004E-4</v>
      </c>
      <c r="M183" s="288">
        <v>2</v>
      </c>
      <c r="N183" s="287">
        <v>2.9999999999999997E-4</v>
      </c>
    </row>
    <row r="184" spans="1:14">
      <c r="A184" s="285" t="s">
        <v>140</v>
      </c>
      <c r="B184" s="285" t="s">
        <v>486</v>
      </c>
      <c r="C184" s="286">
        <v>0.93336949999999996</v>
      </c>
      <c r="D184" s="286">
        <v>59.993887000000001</v>
      </c>
      <c r="E184" s="286">
        <v>19.137858999999999</v>
      </c>
      <c r="F184" s="286">
        <v>0.30846440000000003</v>
      </c>
      <c r="G184" s="286">
        <v>10.299094999999999</v>
      </c>
      <c r="H184" s="286">
        <v>23.776281000000001</v>
      </c>
      <c r="I184" s="286">
        <v>20.360796000000001</v>
      </c>
      <c r="J184" s="286">
        <v>3.5546129999999998</v>
      </c>
      <c r="K184" s="286">
        <v>3.2713320000000001</v>
      </c>
      <c r="L184" s="287">
        <v>3.6299999999999999E-2</v>
      </c>
      <c r="M184" s="288">
        <v>2</v>
      </c>
      <c r="N184" s="287">
        <v>8.6999999999999994E-3</v>
      </c>
    </row>
    <row r="185" spans="1:14">
      <c r="A185" s="285" t="s">
        <v>365</v>
      </c>
      <c r="B185" s="285" t="s">
        <v>486</v>
      </c>
      <c r="C185" s="286">
        <v>20.411360999999999</v>
      </c>
      <c r="D185" s="286">
        <v>3.2201919999999999</v>
      </c>
      <c r="E185" s="286">
        <v>19.333362999999999</v>
      </c>
      <c r="F185" s="286">
        <v>0.2743527</v>
      </c>
      <c r="G185" s="286">
        <v>0.36568650000000003</v>
      </c>
      <c r="H185" s="286">
        <v>63.620258</v>
      </c>
      <c r="I185" s="286">
        <v>11.166975000000001</v>
      </c>
      <c r="J185" s="286">
        <v>20.937276000000001</v>
      </c>
      <c r="K185" s="286">
        <v>2.7250070000000002</v>
      </c>
      <c r="L185" s="287">
        <v>3.4500000000000003E-2</v>
      </c>
      <c r="M185" s="288">
        <v>2</v>
      </c>
      <c r="N185" s="287">
        <v>8.5000000000000006E-3</v>
      </c>
    </row>
    <row r="186" spans="1:14">
      <c r="A186" s="285" t="s">
        <v>366</v>
      </c>
      <c r="B186" s="285" t="s">
        <v>486</v>
      </c>
      <c r="C186" s="286">
        <v>19.670963</v>
      </c>
      <c r="D186" s="286">
        <v>0.2418091</v>
      </c>
      <c r="E186" s="286">
        <v>20.651807000000002</v>
      </c>
      <c r="F186" s="286">
        <v>2.943902</v>
      </c>
      <c r="G186" s="286">
        <v>11.551295</v>
      </c>
      <c r="H186" s="286">
        <v>19.309270999999999</v>
      </c>
      <c r="I186" s="286">
        <v>1.0909439999999999</v>
      </c>
      <c r="J186" s="286">
        <v>60.118288</v>
      </c>
      <c r="K186" s="286">
        <v>2.0367169999999999</v>
      </c>
      <c r="L186" s="287">
        <v>3.2500000000000001E-2</v>
      </c>
      <c r="M186" s="288">
        <v>2</v>
      </c>
      <c r="N186" s="287">
        <v>8.0999999999999996E-3</v>
      </c>
    </row>
    <row r="187" spans="1:14">
      <c r="A187" s="285" t="s">
        <v>141</v>
      </c>
      <c r="B187" s="285" t="s">
        <v>486</v>
      </c>
      <c r="C187" s="286">
        <v>20.930485999999998</v>
      </c>
      <c r="D187" s="286">
        <v>2.858155</v>
      </c>
      <c r="E187" s="286">
        <v>11.881047000000001</v>
      </c>
      <c r="F187" s="286">
        <v>18.492111999999999</v>
      </c>
      <c r="G187" s="286">
        <v>28.632162999999998</v>
      </c>
      <c r="H187" s="286">
        <v>0.14615349999999999</v>
      </c>
      <c r="I187" s="286">
        <v>0.1119542</v>
      </c>
      <c r="J187" s="286">
        <v>-0.58632019999999996</v>
      </c>
      <c r="K187" s="286">
        <v>-7.5744179999999997</v>
      </c>
      <c r="L187" s="287">
        <v>1.9599999999999999E-2</v>
      </c>
      <c r="M187" s="288">
        <v>0.15</v>
      </c>
      <c r="N187" s="287">
        <v>5.8999999999999999E-3</v>
      </c>
    </row>
    <row r="188" spans="1:14">
      <c r="A188" s="285" t="s">
        <v>367</v>
      </c>
      <c r="B188" s="285" t="s">
        <v>486</v>
      </c>
      <c r="C188" s="286">
        <v>19.690321000000001</v>
      </c>
      <c r="D188" s="286">
        <v>0.23277519999999999</v>
      </c>
      <c r="E188" s="286">
        <v>11.650577</v>
      </c>
      <c r="F188" s="286">
        <v>17.615852</v>
      </c>
      <c r="G188" s="286">
        <v>1.1557820000000001</v>
      </c>
      <c r="H188" s="286">
        <v>41.208646000000002</v>
      </c>
      <c r="I188" s="286">
        <v>21.439350000000001</v>
      </c>
      <c r="J188" s="286">
        <v>2.8859819999999998</v>
      </c>
      <c r="K188" s="286">
        <v>2.0657009999999998</v>
      </c>
      <c r="L188" s="287">
        <v>2.4E-2</v>
      </c>
      <c r="M188" s="288">
        <v>2</v>
      </c>
      <c r="N188" s="287">
        <v>5.4000000000000003E-3</v>
      </c>
    </row>
    <row r="189" spans="1:14">
      <c r="A189" s="285" t="s">
        <v>142</v>
      </c>
      <c r="B189" s="285" t="s">
        <v>486</v>
      </c>
      <c r="C189" s="286">
        <v>19.895354999999999</v>
      </c>
      <c r="D189" s="286">
        <v>0.2224758</v>
      </c>
      <c r="E189" s="286">
        <v>21.047795000000001</v>
      </c>
      <c r="F189" s="286">
        <v>2.7847629999999999</v>
      </c>
      <c r="G189" s="286">
        <v>0.30393870000000001</v>
      </c>
      <c r="H189" s="286">
        <v>52.013075000000001</v>
      </c>
      <c r="I189" s="286">
        <v>12.08963</v>
      </c>
      <c r="J189" s="286">
        <v>17.068289</v>
      </c>
      <c r="K189" s="286">
        <v>1.665297</v>
      </c>
      <c r="L189" s="287">
        <v>2.7E-2</v>
      </c>
      <c r="M189" s="288">
        <v>2</v>
      </c>
      <c r="N189" s="287">
        <v>6.4000000000000003E-3</v>
      </c>
    </row>
    <row r="190" spans="1:14">
      <c r="A190" s="285" t="s">
        <v>143</v>
      </c>
      <c r="B190" s="285" t="s">
        <v>486</v>
      </c>
      <c r="C190" s="286">
        <v>227.88001399999999</v>
      </c>
      <c r="D190" s="286">
        <v>-0.1233002</v>
      </c>
      <c r="E190" s="286">
        <v>21.219334</v>
      </c>
      <c r="F190" s="286">
        <v>2.5620180000000001</v>
      </c>
      <c r="G190" s="286">
        <v>-300</v>
      </c>
      <c r="H190" s="286">
        <v>-0.10460179999999999</v>
      </c>
      <c r="I190" s="286">
        <v>12.304812999999999</v>
      </c>
      <c r="J190" s="286">
        <v>16.034403999999999</v>
      </c>
      <c r="K190" s="286">
        <v>92.582594999999998</v>
      </c>
      <c r="L190" s="287">
        <v>1.38E-2</v>
      </c>
      <c r="M190" s="288">
        <v>0.16</v>
      </c>
      <c r="N190" s="287">
        <v>4.4999999999999997E-3</v>
      </c>
    </row>
    <row r="191" spans="1:14">
      <c r="A191" s="285" t="s">
        <v>368</v>
      </c>
      <c r="B191" s="285" t="s">
        <v>486</v>
      </c>
      <c r="C191" s="286">
        <v>19.87668</v>
      </c>
      <c r="D191" s="286">
        <v>0.2155647</v>
      </c>
      <c r="E191" s="286">
        <v>22.005815999999999</v>
      </c>
      <c r="F191" s="286">
        <v>2.747214</v>
      </c>
      <c r="G191" s="286">
        <v>11.631444999999999</v>
      </c>
      <c r="H191" s="286">
        <v>16.143968000000001</v>
      </c>
      <c r="I191" s="286">
        <v>1.735627</v>
      </c>
      <c r="J191" s="286">
        <v>35.286136999999997</v>
      </c>
      <c r="K191" s="286">
        <v>1.751587</v>
      </c>
      <c r="L191" s="287">
        <v>1.9400000000000001E-2</v>
      </c>
      <c r="M191" s="288">
        <v>2</v>
      </c>
      <c r="N191" s="287">
        <v>4.1000000000000003E-3</v>
      </c>
    </row>
    <row r="192" spans="1:14">
      <c r="A192" s="285" t="s">
        <v>144</v>
      </c>
      <c r="B192" s="285" t="s">
        <v>486</v>
      </c>
      <c r="C192" s="286">
        <v>21.652626000000001</v>
      </c>
      <c r="D192" s="286">
        <v>2.6595300000000002</v>
      </c>
      <c r="E192" s="286">
        <v>0.59511740000000002</v>
      </c>
      <c r="F192" s="286">
        <v>39.892209999999999</v>
      </c>
      <c r="G192" s="286">
        <v>12.31183</v>
      </c>
      <c r="H192" s="286">
        <v>15.858214</v>
      </c>
      <c r="I192" s="286">
        <v>20.121502</v>
      </c>
      <c r="J192" s="286">
        <v>0.2058287</v>
      </c>
      <c r="K192" s="286">
        <v>1.320781</v>
      </c>
      <c r="L192" s="287">
        <v>2.1899999999999999E-2</v>
      </c>
      <c r="M192" s="288">
        <v>2</v>
      </c>
      <c r="N192" s="287">
        <v>5.0000000000000001E-3</v>
      </c>
    </row>
    <row r="193" spans="1:14">
      <c r="A193" s="285" t="s">
        <v>145</v>
      </c>
      <c r="B193" s="285" t="s">
        <v>486</v>
      </c>
      <c r="C193" s="286">
        <v>25.737905999999999</v>
      </c>
      <c r="D193" s="286">
        <v>0.13850029999999999</v>
      </c>
      <c r="E193" s="286">
        <v>12.624006</v>
      </c>
      <c r="F193" s="286">
        <v>15.315877</v>
      </c>
      <c r="G193" s="286">
        <v>3.59881E-3</v>
      </c>
      <c r="H193" s="286">
        <v>-1.124061</v>
      </c>
      <c r="I193" s="286">
        <v>21.536131999999998</v>
      </c>
      <c r="J193" s="286">
        <v>2.5125570000000002</v>
      </c>
      <c r="K193" s="286">
        <v>-4.9171930000000001</v>
      </c>
      <c r="L193" s="287">
        <v>1.6199999999999999E-2</v>
      </c>
      <c r="M193" s="288">
        <v>0.16</v>
      </c>
      <c r="N193" s="287">
        <v>5.1999999999999998E-3</v>
      </c>
    </row>
    <row r="194" spans="1:14">
      <c r="A194" s="285" t="s">
        <v>369</v>
      </c>
      <c r="B194" s="285" t="s">
        <v>486</v>
      </c>
      <c r="C194" s="286">
        <v>20.059318999999999</v>
      </c>
      <c r="D194" s="286">
        <v>0.2003096</v>
      </c>
      <c r="E194" s="286">
        <v>2.395556</v>
      </c>
      <c r="F194" s="286">
        <v>31.152445</v>
      </c>
      <c r="G194" s="286">
        <v>11.504339999999999</v>
      </c>
      <c r="H194" s="286">
        <v>14.801072</v>
      </c>
      <c r="I194" s="286">
        <v>22.588639000000001</v>
      </c>
      <c r="J194" s="286">
        <v>2.6210599999999999</v>
      </c>
      <c r="K194" s="286">
        <v>1.452647</v>
      </c>
      <c r="L194" s="287">
        <v>1.54E-2</v>
      </c>
      <c r="M194" s="288">
        <v>2</v>
      </c>
      <c r="N194" s="287">
        <v>3.0000000000000001E-3</v>
      </c>
    </row>
    <row r="195" spans="1:14">
      <c r="A195" s="285" t="s">
        <v>146</v>
      </c>
      <c r="B195" s="285" t="s">
        <v>486</v>
      </c>
      <c r="C195" s="286">
        <v>22.267157000000001</v>
      </c>
      <c r="D195" s="286">
        <v>2.543968</v>
      </c>
      <c r="E195" s="286">
        <v>20.347162999999998</v>
      </c>
      <c r="F195" s="286">
        <v>0.1909691</v>
      </c>
      <c r="G195" s="286">
        <v>1.051024</v>
      </c>
      <c r="H195" s="286">
        <v>32.536678999999999</v>
      </c>
      <c r="I195" s="286">
        <v>12.350847999999999</v>
      </c>
      <c r="J195" s="286">
        <v>14.689553</v>
      </c>
      <c r="K195" s="286">
        <v>0.98532949999999997</v>
      </c>
      <c r="L195" s="287">
        <v>1.7399999999999999E-2</v>
      </c>
      <c r="M195" s="288">
        <v>2</v>
      </c>
      <c r="N195" s="287">
        <v>3.8E-3</v>
      </c>
    </row>
    <row r="196" spans="1:14">
      <c r="A196" s="285" t="s">
        <v>370</v>
      </c>
      <c r="B196" s="285" t="s">
        <v>486</v>
      </c>
      <c r="C196" s="286">
        <v>20.564897999999999</v>
      </c>
      <c r="D196" s="286">
        <v>0.17774229999999999</v>
      </c>
      <c r="E196" s="286">
        <v>22.885883</v>
      </c>
      <c r="F196" s="286">
        <v>2.4366050000000001</v>
      </c>
      <c r="G196" s="286">
        <v>12.210906</v>
      </c>
      <c r="H196" s="286">
        <v>13.569993999999999</v>
      </c>
      <c r="I196" s="286">
        <v>1.673422</v>
      </c>
      <c r="J196" s="286">
        <v>27.789280000000002</v>
      </c>
      <c r="K196" s="286">
        <v>0.66596840000000002</v>
      </c>
      <c r="L196" s="287">
        <v>1.37E-2</v>
      </c>
      <c r="M196" s="288">
        <v>2</v>
      </c>
      <c r="N196" s="287">
        <v>2.8E-3</v>
      </c>
    </row>
    <row r="197" spans="1:14">
      <c r="A197" s="285" t="s">
        <v>371</v>
      </c>
      <c r="B197" s="285" t="s">
        <v>486</v>
      </c>
      <c r="C197" s="286">
        <v>20.371628999999999</v>
      </c>
      <c r="D197" s="286">
        <v>0.17512030000000001</v>
      </c>
      <c r="E197" s="286">
        <v>23.781238999999999</v>
      </c>
      <c r="F197" s="286">
        <v>2.3988429999999998</v>
      </c>
      <c r="G197" s="286">
        <v>11.204409</v>
      </c>
      <c r="H197" s="286">
        <v>12.537712000000001</v>
      </c>
      <c r="I197" s="286">
        <v>3.700828</v>
      </c>
      <c r="J197" s="286">
        <v>25.949482</v>
      </c>
      <c r="K197" s="286">
        <v>0.94104849999999995</v>
      </c>
      <c r="L197" s="287">
        <v>8.8000000000000005E-3</v>
      </c>
      <c r="M197" s="288">
        <v>2</v>
      </c>
      <c r="N197" s="287">
        <v>1.6000000000000001E-3</v>
      </c>
    </row>
    <row r="198" spans="1:14">
      <c r="A198" s="285" t="s">
        <v>147</v>
      </c>
      <c r="B198" s="285" t="s">
        <v>486</v>
      </c>
      <c r="C198" s="286">
        <v>23.505604000000002</v>
      </c>
      <c r="D198" s="286">
        <v>2.3365230000000001</v>
      </c>
      <c r="E198" s="286">
        <v>20.764481</v>
      </c>
      <c r="F198" s="286">
        <v>0.16604959999999999</v>
      </c>
      <c r="G198" s="286">
        <v>11.950879</v>
      </c>
      <c r="H198" s="286">
        <v>12.520239999999999</v>
      </c>
      <c r="I198" s="286">
        <v>2.4064079999999999</v>
      </c>
      <c r="J198" s="286">
        <v>24.585577000000001</v>
      </c>
      <c r="K198" s="286">
        <v>0.37321379999999998</v>
      </c>
      <c r="L198" s="287">
        <v>1.0500000000000001E-2</v>
      </c>
      <c r="M198" s="288">
        <v>2</v>
      </c>
      <c r="N198" s="287">
        <v>2E-3</v>
      </c>
    </row>
    <row r="199" spans="1:14">
      <c r="A199" s="285" t="s">
        <v>372</v>
      </c>
      <c r="B199" s="285" t="s">
        <v>486</v>
      </c>
      <c r="C199" s="286">
        <v>24.385428000000001</v>
      </c>
      <c r="D199" s="286">
        <v>2.300459</v>
      </c>
      <c r="E199" s="286">
        <v>11.127916000000001</v>
      </c>
      <c r="F199" s="286">
        <v>11.616248000000001</v>
      </c>
      <c r="G199" s="286">
        <v>20.472670000000001</v>
      </c>
      <c r="H199" s="286">
        <v>0.1650537</v>
      </c>
      <c r="I199" s="286">
        <v>4.2542059999999999</v>
      </c>
      <c r="J199" s="286">
        <v>24.237183000000002</v>
      </c>
      <c r="K199" s="286">
        <v>0.75829590000000002</v>
      </c>
      <c r="L199" s="287">
        <v>6.1999999999999998E-3</v>
      </c>
      <c r="M199" s="288">
        <v>2</v>
      </c>
      <c r="N199" s="287">
        <v>1.2999999999999999E-3</v>
      </c>
    </row>
    <row r="200" spans="1:14">
      <c r="A200" s="285" t="s">
        <v>148</v>
      </c>
      <c r="B200" s="285" t="s">
        <v>486</v>
      </c>
      <c r="C200" s="286">
        <v>20.932265000000001</v>
      </c>
      <c r="D200" s="286">
        <v>0.1558359</v>
      </c>
      <c r="E200" s="286">
        <v>11.661678</v>
      </c>
      <c r="F200" s="286">
        <v>11.562837999999999</v>
      </c>
      <c r="G200" s="286">
        <v>3.15991</v>
      </c>
      <c r="H200" s="286">
        <v>22.334403999999999</v>
      </c>
      <c r="I200" s="286">
        <v>24.124735000000001</v>
      </c>
      <c r="J200" s="286">
        <v>2.2431130000000001</v>
      </c>
      <c r="K200" s="286">
        <v>0.1214961</v>
      </c>
      <c r="L200" s="287">
        <v>7.7999999999999996E-3</v>
      </c>
      <c r="M200" s="288">
        <v>2</v>
      </c>
      <c r="N200" s="287">
        <v>1.4E-3</v>
      </c>
    </row>
    <row r="201" spans="1:14">
      <c r="A201" s="285" t="s">
        <v>149</v>
      </c>
      <c r="B201" s="285" t="s">
        <v>486</v>
      </c>
      <c r="C201" s="286">
        <v>13.806654</v>
      </c>
      <c r="D201" s="286">
        <v>12.619027000000001</v>
      </c>
      <c r="E201" s="286">
        <v>25.026631999999999</v>
      </c>
      <c r="F201" s="286">
        <v>2.2264379999999999</v>
      </c>
      <c r="G201" s="286">
        <v>19.582355</v>
      </c>
      <c r="H201" s="286">
        <v>0.17122860000000001</v>
      </c>
      <c r="I201" s="286">
        <v>2.8078979999999998</v>
      </c>
      <c r="J201" s="286">
        <v>69.616392000000005</v>
      </c>
      <c r="K201" s="286">
        <v>1.7574989999999999</v>
      </c>
      <c r="L201" s="287">
        <v>2.1000000000000001E-2</v>
      </c>
      <c r="M201" s="288">
        <v>0.08</v>
      </c>
      <c r="N201" s="287">
        <v>7.0000000000000001E-3</v>
      </c>
    </row>
    <row r="202" spans="1:14">
      <c r="A202" s="285" t="s">
        <v>150</v>
      </c>
      <c r="B202" s="285" t="s">
        <v>486</v>
      </c>
      <c r="C202" s="286">
        <v>24.984002</v>
      </c>
      <c r="D202" s="286">
        <v>2.186391</v>
      </c>
      <c r="E202" s="286">
        <v>20.531896</v>
      </c>
      <c r="F202" s="286">
        <v>0.15478890000000001</v>
      </c>
      <c r="G202" s="286">
        <v>12.917707999999999</v>
      </c>
      <c r="H202" s="286">
        <v>11.841786000000001</v>
      </c>
      <c r="I202" s="286">
        <v>2.9904489999999999</v>
      </c>
      <c r="J202" s="286">
        <v>33.073250000000002</v>
      </c>
      <c r="K202" s="286">
        <v>0.56840610000000003</v>
      </c>
      <c r="L202" s="287">
        <v>7.9000000000000008E-3</v>
      </c>
      <c r="M202" s="288">
        <v>0.1</v>
      </c>
      <c r="N202" s="287">
        <v>2.5999999999999999E-3</v>
      </c>
    </row>
    <row r="203" spans="1:14">
      <c r="A203" s="285" t="s">
        <v>151</v>
      </c>
      <c r="B203" s="285" t="s">
        <v>486</v>
      </c>
      <c r="C203" s="286">
        <v>3.8559070000000002</v>
      </c>
      <c r="D203" s="286">
        <v>20.686420999999999</v>
      </c>
      <c r="E203" s="286">
        <v>21.050993999999999</v>
      </c>
      <c r="F203" s="286">
        <v>0.14707970000000001</v>
      </c>
      <c r="G203" s="286">
        <v>24.742723999999999</v>
      </c>
      <c r="H203" s="286">
        <v>2.1559370000000002</v>
      </c>
      <c r="I203" s="286">
        <v>11.420766</v>
      </c>
      <c r="J203" s="286">
        <v>10.711531000000001</v>
      </c>
      <c r="K203" s="286">
        <v>-7.0788210000000004E-2</v>
      </c>
      <c r="L203" s="287">
        <v>5.4999999999999997E-3</v>
      </c>
      <c r="M203" s="288">
        <v>2</v>
      </c>
      <c r="N203" s="287">
        <v>1E-3</v>
      </c>
    </row>
    <row r="204" spans="1:14">
      <c r="A204" s="285" t="s">
        <v>152</v>
      </c>
      <c r="B204" s="285" t="s">
        <v>486</v>
      </c>
      <c r="C204" s="286">
        <v>18.659286000000002</v>
      </c>
      <c r="D204" s="286">
        <v>0.1842886</v>
      </c>
      <c r="E204" s="286">
        <v>25.861231</v>
      </c>
      <c r="F204" s="286">
        <v>2.2138770000000001</v>
      </c>
      <c r="G204" s="286">
        <v>14.323124999999999</v>
      </c>
      <c r="H204" s="286">
        <v>12.359518</v>
      </c>
      <c r="I204" s="286">
        <v>2.1730299999999998</v>
      </c>
      <c r="J204" s="286">
        <v>73.952754999999996</v>
      </c>
      <c r="K204" s="286">
        <v>2.9626980000000001</v>
      </c>
      <c r="L204" s="287">
        <v>2.3599999999999999E-2</v>
      </c>
      <c r="M204" s="288">
        <v>0.17</v>
      </c>
      <c r="N204" s="287">
        <v>9.1000000000000004E-3</v>
      </c>
    </row>
    <row r="205" spans="1:14">
      <c r="A205" s="285" t="s">
        <v>373</v>
      </c>
      <c r="B205" s="285" t="s">
        <v>486</v>
      </c>
      <c r="C205" s="286">
        <v>25.359310000000001</v>
      </c>
      <c r="D205" s="286">
        <v>2.0746289999999998</v>
      </c>
      <c r="E205" s="286">
        <v>11.268234</v>
      </c>
      <c r="F205" s="286">
        <v>9.9677559999999996</v>
      </c>
      <c r="G205" s="286">
        <v>4.4531179999999999</v>
      </c>
      <c r="H205" s="286">
        <v>19.429763000000001</v>
      </c>
      <c r="I205" s="286">
        <v>21.100061</v>
      </c>
      <c r="J205" s="286">
        <v>0.13978869999999999</v>
      </c>
      <c r="K205" s="286">
        <v>-0.18156749999999999</v>
      </c>
      <c r="L205" s="287">
        <v>3.7000000000000002E-3</v>
      </c>
      <c r="M205" s="288">
        <v>2</v>
      </c>
      <c r="N205" s="287">
        <v>8.0000000000000004E-4</v>
      </c>
    </row>
    <row r="206" spans="1:14">
      <c r="A206" s="285" t="s">
        <v>153</v>
      </c>
      <c r="B206" s="285" t="s">
        <v>486</v>
      </c>
      <c r="C206" s="286">
        <v>12.034592</v>
      </c>
      <c r="D206" s="286">
        <v>9.9921439999999997</v>
      </c>
      <c r="E206" s="286">
        <v>3.1862240000000002</v>
      </c>
      <c r="F206" s="286">
        <v>18.494365999999999</v>
      </c>
      <c r="G206" s="286">
        <v>21.897801000000001</v>
      </c>
      <c r="H206" s="286">
        <v>0.1289073</v>
      </c>
      <c r="I206" s="286">
        <v>25.069243</v>
      </c>
      <c r="J206" s="286">
        <v>2.018157</v>
      </c>
      <c r="K206" s="286">
        <v>-1.1877899999999999</v>
      </c>
      <c r="L206" s="287">
        <v>5.0000000000000001E-3</v>
      </c>
      <c r="M206" s="288">
        <v>2</v>
      </c>
      <c r="N206" s="287">
        <v>8.0000000000000004E-4</v>
      </c>
    </row>
    <row r="207" spans="1:14">
      <c r="A207" s="285" t="s">
        <v>374</v>
      </c>
      <c r="B207" s="285" t="s">
        <v>486</v>
      </c>
      <c r="C207" s="286">
        <v>26.213705999999998</v>
      </c>
      <c r="D207" s="286">
        <v>2.0475759999999998</v>
      </c>
      <c r="E207" s="286">
        <v>20.333879</v>
      </c>
      <c r="F207" s="286">
        <v>0.1448566</v>
      </c>
      <c r="G207" s="286">
        <v>11.313681000000001</v>
      </c>
      <c r="H207" s="286">
        <v>9.5461740000000006</v>
      </c>
      <c r="I207" s="286">
        <v>5.396515</v>
      </c>
      <c r="J207" s="286">
        <v>20.835260999999999</v>
      </c>
      <c r="K207" s="286">
        <v>0.73912239999999996</v>
      </c>
      <c r="L207" s="287">
        <v>3.3E-3</v>
      </c>
      <c r="M207" s="288">
        <v>0.13</v>
      </c>
      <c r="N207" s="287">
        <v>1.2999999999999999E-3</v>
      </c>
    </row>
    <row r="208" spans="1:14">
      <c r="A208" s="285" t="s">
        <v>154</v>
      </c>
      <c r="B208" s="285" t="s">
        <v>486</v>
      </c>
      <c r="C208" s="286">
        <v>25.974589999999999</v>
      </c>
      <c r="D208" s="286">
        <v>1.9988680000000001</v>
      </c>
      <c r="E208" s="286">
        <v>4.9416250000000002</v>
      </c>
      <c r="F208" s="286">
        <v>18.435081</v>
      </c>
      <c r="G208" s="286">
        <v>21.057881999999999</v>
      </c>
      <c r="H208" s="286">
        <v>0.13398450000000001</v>
      </c>
      <c r="I208" s="286">
        <v>11.212353</v>
      </c>
      <c r="J208" s="286">
        <v>9.3243089999999995</v>
      </c>
      <c r="K208" s="286">
        <v>-0.1876979</v>
      </c>
      <c r="L208" s="287">
        <v>2.0999999999999999E-3</v>
      </c>
      <c r="M208" s="288">
        <v>2</v>
      </c>
      <c r="N208" s="287">
        <v>6.9999999999999999E-4</v>
      </c>
    </row>
    <row r="209" spans="1:14">
      <c r="A209" s="285" t="s">
        <v>375</v>
      </c>
      <c r="B209" s="285" t="s">
        <v>486</v>
      </c>
      <c r="C209" s="286">
        <v>20.904164999999999</v>
      </c>
      <c r="D209" s="286">
        <v>0.12970290000000001</v>
      </c>
      <c r="E209" s="286">
        <v>11.243726000000001</v>
      </c>
      <c r="F209" s="286">
        <v>8.7693750000000001</v>
      </c>
      <c r="G209" s="286">
        <v>26.588418000000001</v>
      </c>
      <c r="H209" s="286">
        <v>1.9283440000000001</v>
      </c>
      <c r="I209" s="286">
        <v>5.3292289999999998</v>
      </c>
      <c r="J209" s="286">
        <v>17.621721000000001</v>
      </c>
      <c r="K209" s="286">
        <v>-6.7143560000000005E-2</v>
      </c>
      <c r="L209" s="287">
        <v>1.6999999999999999E-3</v>
      </c>
      <c r="M209" s="288">
        <v>0.14000000000000001</v>
      </c>
      <c r="N209" s="287">
        <v>8.0000000000000004E-4</v>
      </c>
    </row>
    <row r="210" spans="1:14">
      <c r="A210" s="285" t="s">
        <v>376</v>
      </c>
      <c r="B210" s="285" t="s">
        <v>486</v>
      </c>
      <c r="C210" s="286">
        <v>20.623443000000002</v>
      </c>
      <c r="D210" s="286">
        <v>0.1269904</v>
      </c>
      <c r="E210" s="286">
        <v>27.200201</v>
      </c>
      <c r="F210" s="286">
        <v>1.8627549999999999</v>
      </c>
      <c r="G210" s="286">
        <v>5.6302279999999998</v>
      </c>
      <c r="H210" s="286">
        <v>16.938330000000001</v>
      </c>
      <c r="I210" s="286">
        <v>11.346716000000001</v>
      </c>
      <c r="J210" s="286">
        <v>8.2900039999999997</v>
      </c>
      <c r="K210" s="286">
        <v>0.197492</v>
      </c>
      <c r="L210" s="287">
        <v>2E-3</v>
      </c>
      <c r="M210" s="288">
        <v>0.14000000000000001</v>
      </c>
      <c r="N210" s="287">
        <v>8.9999999999999998E-4</v>
      </c>
    </row>
    <row r="211" spans="1:14">
      <c r="A211" s="285" t="s">
        <v>377</v>
      </c>
      <c r="B211" s="285" t="s">
        <v>486</v>
      </c>
      <c r="C211" s="286">
        <v>19.216736999999998</v>
      </c>
      <c r="D211" s="286">
        <v>0.14031730000000001</v>
      </c>
      <c r="E211" s="286">
        <v>28.040551000000001</v>
      </c>
      <c r="F211" s="286">
        <v>1.847593</v>
      </c>
      <c r="G211" s="286">
        <v>5.9387499999999998</v>
      </c>
      <c r="H211" s="286">
        <v>18.754349000000001</v>
      </c>
      <c r="I211" s="286">
        <v>11.932547</v>
      </c>
      <c r="J211" s="286">
        <v>8.2036010000000008</v>
      </c>
      <c r="K211" s="286">
        <v>1.8671850000000001</v>
      </c>
      <c r="L211" s="287">
        <v>4.4000000000000003E-3</v>
      </c>
      <c r="M211" s="288">
        <v>0.13</v>
      </c>
      <c r="N211" s="287">
        <v>2E-3</v>
      </c>
    </row>
    <row r="212" spans="1:14">
      <c r="A212" s="285" t="s">
        <v>155</v>
      </c>
      <c r="B212" s="285" t="s">
        <v>486</v>
      </c>
      <c r="C212" s="286">
        <v>27.808983000000001</v>
      </c>
      <c r="D212" s="286">
        <v>1.801809</v>
      </c>
      <c r="E212" s="286">
        <v>20.209184</v>
      </c>
      <c r="F212" s="286">
        <v>0.1258976</v>
      </c>
      <c r="G212" s="286">
        <v>11.505404</v>
      </c>
      <c r="H212" s="286">
        <v>7.8741500000000002</v>
      </c>
      <c r="I212" s="286">
        <v>5.8594150000000003</v>
      </c>
      <c r="J212" s="286">
        <v>16.351420999999998</v>
      </c>
      <c r="K212" s="286">
        <v>0.61482429999999999</v>
      </c>
      <c r="L212" s="287">
        <v>2.3E-3</v>
      </c>
      <c r="M212" s="288">
        <v>0.14000000000000001</v>
      </c>
      <c r="N212" s="287">
        <v>1.1000000000000001E-3</v>
      </c>
    </row>
    <row r="213" spans="1:14">
      <c r="A213" s="285" t="s">
        <v>378</v>
      </c>
      <c r="B213" s="285" t="s">
        <v>486</v>
      </c>
      <c r="C213" s="286">
        <v>28.640954000000001</v>
      </c>
      <c r="D213" s="286">
        <v>1.790826</v>
      </c>
      <c r="E213" s="286">
        <v>18.624490000000002</v>
      </c>
      <c r="F213" s="286">
        <v>0.14251179999999999</v>
      </c>
      <c r="G213" s="286">
        <v>12.188675</v>
      </c>
      <c r="H213" s="286">
        <v>7.862311</v>
      </c>
      <c r="I213" s="286">
        <v>6.0300269999999996</v>
      </c>
      <c r="J213" s="286">
        <v>18.220804999999999</v>
      </c>
      <c r="K213" s="286">
        <v>2.5113379999999998</v>
      </c>
      <c r="L213" s="287">
        <v>4.7000000000000002E-3</v>
      </c>
      <c r="M213" s="288">
        <v>0.14000000000000001</v>
      </c>
      <c r="N213" s="287">
        <v>2.2000000000000001E-3</v>
      </c>
    </row>
    <row r="214" spans="1:14">
      <c r="A214" s="285" t="s">
        <v>156</v>
      </c>
      <c r="B214" s="285" t="s">
        <v>486</v>
      </c>
      <c r="C214" s="286">
        <v>19.66696</v>
      </c>
      <c r="D214" s="286">
        <v>0.126474</v>
      </c>
      <c r="E214" s="286">
        <v>28.413522</v>
      </c>
      <c r="F214" s="286">
        <v>1.7452289999999999</v>
      </c>
      <c r="G214" s="286">
        <v>6.029801</v>
      </c>
      <c r="H214" s="286">
        <v>15.838514</v>
      </c>
      <c r="I214" s="286">
        <v>11.705795</v>
      </c>
      <c r="J214" s="286">
        <v>7.5114289999999997</v>
      </c>
      <c r="K214" s="286">
        <v>1.1815040000000001</v>
      </c>
      <c r="L214" s="287">
        <v>2.5000000000000001E-3</v>
      </c>
      <c r="M214" s="288">
        <v>0.14000000000000001</v>
      </c>
      <c r="N214" s="287">
        <v>1.1999999999999999E-3</v>
      </c>
    </row>
    <row r="215" spans="1:14">
      <c r="A215" s="285" t="s">
        <v>379</v>
      </c>
      <c r="B215" s="285" t="s">
        <v>486</v>
      </c>
      <c r="C215" s="286">
        <v>29.011862000000001</v>
      </c>
      <c r="D215" s="286">
        <v>1.692755</v>
      </c>
      <c r="E215" s="286">
        <v>11.936415</v>
      </c>
      <c r="F215" s="286">
        <v>7.1930189999999996</v>
      </c>
      <c r="G215" s="286">
        <v>19.014773999999999</v>
      </c>
      <c r="H215" s="286">
        <v>0.12877259999999999</v>
      </c>
      <c r="I215" s="286">
        <v>6.1522259999999998</v>
      </c>
      <c r="J215" s="286">
        <v>15.383991999999999</v>
      </c>
      <c r="K215" s="286">
        <v>1.882112</v>
      </c>
      <c r="L215" s="287">
        <v>2.7000000000000001E-3</v>
      </c>
      <c r="M215" s="288">
        <v>0.15</v>
      </c>
      <c r="N215" s="287">
        <v>1.4E-3</v>
      </c>
    </row>
    <row r="216" spans="1:14">
      <c r="A216" s="285" t="s">
        <v>380</v>
      </c>
      <c r="B216" s="285" t="s">
        <v>486</v>
      </c>
      <c r="C216" s="286">
        <v>15.79909</v>
      </c>
      <c r="D216" s="286">
        <v>0.18704979999999999</v>
      </c>
      <c r="E216" s="286">
        <v>14.728077000000001</v>
      </c>
      <c r="F216" s="286">
        <v>8.5856729999999999</v>
      </c>
      <c r="G216" s="286">
        <v>29.710865999999999</v>
      </c>
      <c r="H216" s="286">
        <v>1.708968</v>
      </c>
      <c r="I216" s="286">
        <v>3.7636530000000001</v>
      </c>
      <c r="J216" s="286">
        <v>28.959638000000002</v>
      </c>
      <c r="K216" s="286">
        <v>5.983581</v>
      </c>
      <c r="L216" s="287">
        <v>1.54E-2</v>
      </c>
      <c r="M216" s="288">
        <v>0.11</v>
      </c>
      <c r="N216" s="287">
        <v>6.1999999999999998E-3</v>
      </c>
    </row>
    <row r="217" spans="1:14">
      <c r="A217" s="285" t="s">
        <v>157</v>
      </c>
      <c r="B217" s="285" t="s">
        <v>486</v>
      </c>
      <c r="C217" s="286">
        <v>17.035843</v>
      </c>
      <c r="D217" s="286">
        <v>0.15256800000000001</v>
      </c>
      <c r="E217" s="286">
        <v>29.646896999999999</v>
      </c>
      <c r="F217" s="286">
        <v>1.658131</v>
      </c>
      <c r="G217" s="286">
        <v>14.149651</v>
      </c>
      <c r="H217" s="286">
        <v>7.8296869999999998</v>
      </c>
      <c r="I217" s="286">
        <v>3.968016</v>
      </c>
      <c r="J217" s="286">
        <v>20.597562</v>
      </c>
      <c r="K217" s="286">
        <v>4.1920310000000001</v>
      </c>
      <c r="L217" s="287">
        <v>7.9000000000000008E-3</v>
      </c>
      <c r="M217" s="288">
        <v>0.13</v>
      </c>
      <c r="N217" s="287">
        <v>3.3E-3</v>
      </c>
    </row>
    <row r="218" spans="1:14">
      <c r="A218" s="285" t="s">
        <v>158</v>
      </c>
      <c r="B218" s="285" t="s">
        <v>486</v>
      </c>
      <c r="C218" s="286">
        <v>29.378934999999998</v>
      </c>
      <c r="D218" s="286">
        <v>1.6019209999999999</v>
      </c>
      <c r="E218" s="286">
        <v>6.030621</v>
      </c>
      <c r="F218" s="286">
        <v>13.452529</v>
      </c>
      <c r="G218" s="286">
        <v>11.919889</v>
      </c>
      <c r="H218" s="286">
        <v>6.6924409999999996</v>
      </c>
      <c r="I218" s="286">
        <v>19.434726000000001</v>
      </c>
      <c r="J218" s="286">
        <v>0.11648989999999999</v>
      </c>
      <c r="K218" s="286">
        <v>1.2341660000000001</v>
      </c>
      <c r="L218" s="287">
        <v>1.6999999999999999E-3</v>
      </c>
      <c r="M218" s="288">
        <v>0.16</v>
      </c>
      <c r="N218" s="287">
        <v>8.9999999999999998E-4</v>
      </c>
    </row>
    <row r="219" spans="1:14">
      <c r="A219" s="285" t="s">
        <v>381</v>
      </c>
      <c r="B219" s="285" t="s">
        <v>486</v>
      </c>
      <c r="C219" s="286">
        <v>30.079689999999999</v>
      </c>
      <c r="D219" s="286">
        <v>1.63669</v>
      </c>
      <c r="E219" s="286">
        <v>14.773785999999999</v>
      </c>
      <c r="F219" s="286">
        <v>8.3357270000000003</v>
      </c>
      <c r="G219" s="286">
        <v>15.264986</v>
      </c>
      <c r="H219" s="286">
        <v>0.1915895</v>
      </c>
      <c r="I219" s="286">
        <v>4.3141449999999999</v>
      </c>
      <c r="J219" s="286">
        <v>28.294525</v>
      </c>
      <c r="K219" s="286">
        <v>6.553223</v>
      </c>
      <c r="L219" s="287">
        <v>1.4800000000000001E-2</v>
      </c>
      <c r="M219" s="288">
        <v>0.12</v>
      </c>
      <c r="N219" s="287">
        <v>6.1000000000000004E-3</v>
      </c>
    </row>
    <row r="220" spans="1:14">
      <c r="A220" s="285" t="s">
        <v>159</v>
      </c>
      <c r="B220" s="285" t="s">
        <v>486</v>
      </c>
      <c r="C220" s="286">
        <v>30.092918999999998</v>
      </c>
      <c r="D220" s="286">
        <v>1.5942270000000001</v>
      </c>
      <c r="E220" s="286">
        <v>16.233944000000001</v>
      </c>
      <c r="F220" s="286">
        <v>0.15953429999999999</v>
      </c>
      <c r="G220" s="286">
        <v>14.437211</v>
      </c>
      <c r="H220" s="286">
        <v>7.7427270000000004</v>
      </c>
      <c r="I220" s="286">
        <v>4.170782</v>
      </c>
      <c r="J220" s="286">
        <v>21.969729000000001</v>
      </c>
      <c r="K220" s="286">
        <v>5.0570729999999999</v>
      </c>
      <c r="L220" s="287">
        <v>8.5000000000000006E-3</v>
      </c>
      <c r="M220" s="288">
        <v>0.13</v>
      </c>
      <c r="N220" s="287">
        <v>3.7000000000000002E-3</v>
      </c>
    </row>
    <row r="221" spans="1:14">
      <c r="A221" s="285" t="s">
        <v>160</v>
      </c>
      <c r="B221" s="285" t="s">
        <v>486</v>
      </c>
      <c r="C221" s="286">
        <v>29.988690999999999</v>
      </c>
      <c r="D221" s="286">
        <v>1.5582020000000001</v>
      </c>
      <c r="E221" s="286">
        <v>4.1929550000000004</v>
      </c>
      <c r="F221" s="286">
        <v>17.004132999999999</v>
      </c>
      <c r="G221" s="286">
        <v>13.936705</v>
      </c>
      <c r="H221" s="286">
        <v>7.1550580000000004</v>
      </c>
      <c r="I221" s="286">
        <v>17.560199999999998</v>
      </c>
      <c r="J221" s="286">
        <v>0.13329070000000001</v>
      </c>
      <c r="K221" s="286">
        <v>3.3171089999999999</v>
      </c>
      <c r="L221" s="287">
        <v>4.4999999999999997E-3</v>
      </c>
      <c r="M221" s="288">
        <v>0.14000000000000001</v>
      </c>
      <c r="N221" s="287">
        <v>2E-3</v>
      </c>
    </row>
    <row r="222" spans="1:14">
      <c r="A222" s="285" t="s">
        <v>161</v>
      </c>
      <c r="B222" s="285" t="s">
        <v>486</v>
      </c>
      <c r="C222" s="286">
        <v>19.989636999999998</v>
      </c>
      <c r="D222" s="286">
        <v>0.1045291</v>
      </c>
      <c r="E222" s="286">
        <v>29.733117</v>
      </c>
      <c r="F222" s="286">
        <v>1.5164</v>
      </c>
      <c r="G222" s="286">
        <v>12.04538</v>
      </c>
      <c r="H222" s="286">
        <v>6.2804250000000001</v>
      </c>
      <c r="I222" s="286">
        <v>5.7841550000000002</v>
      </c>
      <c r="J222" s="286">
        <v>11.996745000000001</v>
      </c>
      <c r="K222" s="286">
        <v>0.4466212</v>
      </c>
      <c r="L222" s="287">
        <v>1.1999999999999999E-3</v>
      </c>
      <c r="M222" s="288">
        <v>2</v>
      </c>
      <c r="N222" s="287">
        <v>5.9999999999999995E-4</v>
      </c>
    </row>
    <row r="223" spans="1:14">
      <c r="A223" s="285" t="s">
        <v>162</v>
      </c>
      <c r="B223" s="285" t="s">
        <v>486</v>
      </c>
      <c r="C223" s="286">
        <v>14.193702999999999</v>
      </c>
      <c r="D223" s="286">
        <v>0.26355790000000001</v>
      </c>
      <c r="E223" s="286">
        <v>29.766566000000001</v>
      </c>
      <c r="F223" s="286">
        <v>1.6436409999999999</v>
      </c>
      <c r="G223" s="286">
        <v>15.353088</v>
      </c>
      <c r="H223" s="286">
        <v>8.7234359999999995</v>
      </c>
      <c r="I223" s="286">
        <v>4.7548459999999997</v>
      </c>
      <c r="J223" s="286">
        <v>41.492018999999999</v>
      </c>
      <c r="K223" s="286">
        <v>8.9038090000000008</v>
      </c>
      <c r="L223" s="287">
        <v>2.98E-2</v>
      </c>
      <c r="M223" s="288">
        <v>0.1</v>
      </c>
      <c r="N223" s="287">
        <v>1.1299999999999999E-2</v>
      </c>
    </row>
    <row r="224" spans="1:14">
      <c r="A224" s="285" t="s">
        <v>163</v>
      </c>
      <c r="B224" s="285" t="s">
        <v>486</v>
      </c>
      <c r="C224" s="286">
        <v>14.777372</v>
      </c>
      <c r="D224" s="286">
        <v>0.1950258</v>
      </c>
      <c r="E224" s="286">
        <v>30.405374999999999</v>
      </c>
      <c r="F224" s="286">
        <v>1.564084</v>
      </c>
      <c r="G224" s="286">
        <v>14.879804</v>
      </c>
      <c r="H224" s="286">
        <v>8.1134839999999997</v>
      </c>
      <c r="I224" s="286">
        <v>4.8741779999999997</v>
      </c>
      <c r="J224" s="286">
        <v>26.93131</v>
      </c>
      <c r="K224" s="286">
        <v>7.049747</v>
      </c>
      <c r="L224" s="287">
        <v>1.4200000000000001E-2</v>
      </c>
      <c r="M224" s="288">
        <v>0.12</v>
      </c>
      <c r="N224" s="287">
        <v>5.8999999999999999E-3</v>
      </c>
    </row>
    <row r="225" spans="1:14">
      <c r="A225" s="285" t="s">
        <v>164</v>
      </c>
      <c r="B225" s="285" t="s">
        <v>486</v>
      </c>
      <c r="C225" s="286">
        <v>15.6449</v>
      </c>
      <c r="D225" s="286">
        <v>0.1622498</v>
      </c>
      <c r="E225" s="286">
        <v>30.489725</v>
      </c>
      <c r="F225" s="286">
        <v>1.5252399999999999</v>
      </c>
      <c r="G225" s="286">
        <v>14.567615999999999</v>
      </c>
      <c r="H225" s="286">
        <v>7.5839790000000002</v>
      </c>
      <c r="I225" s="286">
        <v>4.6573890000000002</v>
      </c>
      <c r="J225" s="286">
        <v>21.798338999999999</v>
      </c>
      <c r="K225" s="286">
        <v>5.6323619999999996</v>
      </c>
      <c r="L225" s="287">
        <v>8.3999999999999995E-3</v>
      </c>
      <c r="M225" s="288">
        <v>0.13</v>
      </c>
      <c r="N225" s="287">
        <v>3.7000000000000002E-3</v>
      </c>
    </row>
    <row r="226" spans="1:14">
      <c r="A226" s="285" t="s">
        <v>165</v>
      </c>
      <c r="B226" s="285" t="s">
        <v>486</v>
      </c>
      <c r="C226" s="286">
        <v>16.761046</v>
      </c>
      <c r="D226" s="286">
        <v>0.13733390000000001</v>
      </c>
      <c r="E226" s="286">
        <v>30.45177</v>
      </c>
      <c r="F226" s="286">
        <v>1.4948939999999999</v>
      </c>
      <c r="G226" s="286">
        <v>14.27111</v>
      </c>
      <c r="H226" s="286">
        <v>7.1052169999999997</v>
      </c>
      <c r="I226" s="286">
        <v>4.3929609999999997</v>
      </c>
      <c r="J226" s="286">
        <v>17.952756000000001</v>
      </c>
      <c r="K226" s="286">
        <v>4.1183360000000002</v>
      </c>
      <c r="L226" s="287">
        <v>5.0000000000000001E-3</v>
      </c>
      <c r="M226" s="288">
        <v>0.14000000000000001</v>
      </c>
      <c r="N226" s="287">
        <v>2.3E-3</v>
      </c>
    </row>
    <row r="227" spans="1:14">
      <c r="A227" s="285" t="s">
        <v>166</v>
      </c>
      <c r="B227" s="285" t="s">
        <v>486</v>
      </c>
      <c r="C227" s="286">
        <v>18.211600000000001</v>
      </c>
      <c r="D227" s="286">
        <v>0.11620369999999999</v>
      </c>
      <c r="E227" s="286">
        <v>30.320919</v>
      </c>
      <c r="F227" s="286">
        <v>1.467762</v>
      </c>
      <c r="G227" s="286">
        <v>13.860408</v>
      </c>
      <c r="H227" s="286">
        <v>6.6210209999999998</v>
      </c>
      <c r="I227" s="286">
        <v>4.2630340000000002</v>
      </c>
      <c r="J227" s="286">
        <v>14.591806999999999</v>
      </c>
      <c r="K227" s="286">
        <v>2.3414009999999998</v>
      </c>
      <c r="L227" s="287">
        <v>2.8E-3</v>
      </c>
      <c r="M227" s="288">
        <v>0.15</v>
      </c>
      <c r="N227" s="287">
        <v>1.2999999999999999E-3</v>
      </c>
    </row>
    <row r="228" spans="1:14">
      <c r="A228" s="285" t="s">
        <v>167</v>
      </c>
      <c r="B228" s="285" t="s">
        <v>486</v>
      </c>
      <c r="C228" s="286">
        <v>20.784041999999999</v>
      </c>
      <c r="D228" s="286">
        <v>9.2464770000000002E-2</v>
      </c>
      <c r="E228" s="286">
        <v>30.070944000000001</v>
      </c>
      <c r="F228" s="286">
        <v>1.4355340000000001</v>
      </c>
      <c r="G228" s="286">
        <v>12.275474000000001</v>
      </c>
      <c r="H228" s="286">
        <v>5.9229089999999998</v>
      </c>
      <c r="I228" s="286">
        <v>5.4590170000000002</v>
      </c>
      <c r="J228" s="286">
        <v>10.843397</v>
      </c>
      <c r="K228" s="286">
        <v>-0.59019270000000001</v>
      </c>
      <c r="L228" s="287">
        <v>8.0000000000000004E-4</v>
      </c>
      <c r="M228" s="288">
        <v>0.17</v>
      </c>
      <c r="N228" s="287">
        <v>4.0000000000000002E-4</v>
      </c>
    </row>
    <row r="229" spans="1:14">
      <c r="A229" s="285" t="s">
        <v>168</v>
      </c>
      <c r="B229" s="285" t="s">
        <v>486</v>
      </c>
      <c r="C229" s="286">
        <v>29.780128000000001</v>
      </c>
      <c r="D229" s="286">
        <v>1.580074</v>
      </c>
      <c r="E229" s="286">
        <v>15.635228</v>
      </c>
      <c r="F229" s="286">
        <v>8.5525789999999997</v>
      </c>
      <c r="G229" s="286">
        <v>5.1581979999999996</v>
      </c>
      <c r="H229" s="286">
        <v>38.136969999999998</v>
      </c>
      <c r="I229" s="286">
        <v>13.933177000000001</v>
      </c>
      <c r="J229" s="286">
        <v>0.27931509999999998</v>
      </c>
      <c r="K229" s="286">
        <v>9.4652840000000005</v>
      </c>
      <c r="L229" s="287">
        <v>2.9499999999999998E-2</v>
      </c>
      <c r="M229" s="288">
        <v>0.1</v>
      </c>
      <c r="N229" s="287">
        <v>1.12E-2</v>
      </c>
    </row>
    <row r="230" spans="1:14">
      <c r="A230" s="285" t="s">
        <v>169</v>
      </c>
      <c r="B230" s="285" t="s">
        <v>486</v>
      </c>
      <c r="C230" s="286">
        <v>15.100721999999999</v>
      </c>
      <c r="D230" s="286">
        <v>7.9236199999999997</v>
      </c>
      <c r="E230" s="286">
        <v>30.688141000000002</v>
      </c>
      <c r="F230" s="286">
        <v>1.492181</v>
      </c>
      <c r="G230" s="286">
        <v>14.315281000000001</v>
      </c>
      <c r="H230" s="286">
        <v>0.1978046</v>
      </c>
      <c r="I230" s="286">
        <v>5.3834249999999999</v>
      </c>
      <c r="J230" s="286">
        <v>25.458279000000001</v>
      </c>
      <c r="K230" s="286">
        <v>7.4996130000000001</v>
      </c>
      <c r="L230" s="287">
        <v>1.35E-2</v>
      </c>
      <c r="M230" s="288">
        <v>0.12</v>
      </c>
      <c r="N230" s="287">
        <v>5.5999999999999999E-3</v>
      </c>
    </row>
    <row r="231" spans="1:14">
      <c r="A231" s="285" t="s">
        <v>170</v>
      </c>
      <c r="B231" s="285" t="s">
        <v>486</v>
      </c>
      <c r="C231" s="286">
        <v>30.849812</v>
      </c>
      <c r="D231" s="286">
        <v>1.455511</v>
      </c>
      <c r="E231" s="286">
        <v>14.759065</v>
      </c>
      <c r="F231" s="286">
        <v>7.4323709999999998</v>
      </c>
      <c r="G231" s="286">
        <v>5.1617819999999996</v>
      </c>
      <c r="H231" s="286">
        <v>21.113146</v>
      </c>
      <c r="I231" s="286">
        <v>15.130913</v>
      </c>
      <c r="J231" s="286">
        <v>0.16309199999999999</v>
      </c>
      <c r="K231" s="286">
        <v>6.090662</v>
      </c>
      <c r="L231" s="287">
        <v>8.2000000000000007E-3</v>
      </c>
      <c r="M231" s="288">
        <v>0.13</v>
      </c>
      <c r="N231" s="287">
        <v>3.5999999999999999E-3</v>
      </c>
    </row>
    <row r="232" spans="1:14">
      <c r="A232" s="285" t="s">
        <v>171</v>
      </c>
      <c r="B232" s="285" t="s">
        <v>486</v>
      </c>
      <c r="C232" s="286">
        <v>16.201087999999999</v>
      </c>
      <c r="D232" s="286">
        <v>0.13743320000000001</v>
      </c>
      <c r="E232" s="286">
        <v>30.871449999999999</v>
      </c>
      <c r="F232" s="286">
        <v>1.427978</v>
      </c>
      <c r="G232" s="286">
        <v>4.8425640000000003</v>
      </c>
      <c r="H232" s="286">
        <v>17.898447999999998</v>
      </c>
      <c r="I232" s="286">
        <v>14.473141</v>
      </c>
      <c r="J232" s="286">
        <v>6.998526</v>
      </c>
      <c r="K232" s="286">
        <v>4.6069420000000001</v>
      </c>
      <c r="L232" s="287">
        <v>5.1000000000000004E-3</v>
      </c>
      <c r="M232" s="288">
        <v>0.14000000000000001</v>
      </c>
      <c r="N232" s="287">
        <v>2.3E-3</v>
      </c>
    </row>
    <row r="233" spans="1:14">
      <c r="A233" s="285" t="s">
        <v>172</v>
      </c>
      <c r="B233" s="285" t="s">
        <v>486</v>
      </c>
      <c r="C233" s="286">
        <v>30.796662000000001</v>
      </c>
      <c r="D233" s="286">
        <v>1.4053150000000001</v>
      </c>
      <c r="E233" s="286">
        <v>17.492733000000001</v>
      </c>
      <c r="F233" s="286">
        <v>0.11734219999999999</v>
      </c>
      <c r="G233" s="286">
        <v>4.4783879999999998</v>
      </c>
      <c r="H233" s="286">
        <v>15.275149000000001</v>
      </c>
      <c r="I233" s="286">
        <v>14.225046000000001</v>
      </c>
      <c r="J233" s="286">
        <v>6.5919449999999999</v>
      </c>
      <c r="K233" s="286">
        <v>3.0042200000000001</v>
      </c>
      <c r="L233" s="287">
        <v>3.0999999999999999E-3</v>
      </c>
      <c r="M233" s="288">
        <v>0.15</v>
      </c>
      <c r="N233" s="287">
        <v>1.5E-3</v>
      </c>
    </row>
    <row r="234" spans="1:14">
      <c r="A234" s="285" t="s">
        <v>173</v>
      </c>
      <c r="B234" s="285" t="s">
        <v>486</v>
      </c>
      <c r="C234" s="286">
        <v>19.126612000000002</v>
      </c>
      <c r="D234" s="286">
        <v>9.9940769999999998E-2</v>
      </c>
      <c r="E234" s="286">
        <v>30.642873000000002</v>
      </c>
      <c r="F234" s="286">
        <v>1.3843049999999999</v>
      </c>
      <c r="G234" s="286">
        <v>4.22417</v>
      </c>
      <c r="H234" s="286">
        <v>12.824935</v>
      </c>
      <c r="I234" s="286">
        <v>13.896642999999999</v>
      </c>
      <c r="J234" s="286">
        <v>6.1760000000000002</v>
      </c>
      <c r="K234" s="286">
        <v>1.1080479999999999</v>
      </c>
      <c r="L234" s="287">
        <v>1.6999999999999999E-3</v>
      </c>
      <c r="M234" s="288">
        <v>0.16</v>
      </c>
      <c r="N234" s="287">
        <v>8.0000000000000004E-4</v>
      </c>
    </row>
    <row r="235" spans="1:14">
      <c r="A235" s="285" t="s">
        <v>174</v>
      </c>
      <c r="B235" s="285" t="s">
        <v>486</v>
      </c>
      <c r="C235" s="286">
        <v>30.391408999999999</v>
      </c>
      <c r="D235" s="286">
        <v>1.3589990000000001</v>
      </c>
      <c r="E235" s="286">
        <v>12.586425</v>
      </c>
      <c r="F235" s="286">
        <v>5.6016240000000002</v>
      </c>
      <c r="G235" s="286">
        <v>21.973846000000002</v>
      </c>
      <c r="H235" s="286">
        <v>8.0073800000000001E-2</v>
      </c>
      <c r="I235" s="286">
        <v>5.08216</v>
      </c>
      <c r="J235" s="286">
        <v>9.9013810000000007</v>
      </c>
      <c r="K235" s="286">
        <v>-2.0343059999999999</v>
      </c>
      <c r="L235" s="287">
        <v>5.0000000000000001E-4</v>
      </c>
      <c r="M235" s="288">
        <v>0.17</v>
      </c>
      <c r="N235" s="287">
        <v>2.9999999999999997E-4</v>
      </c>
    </row>
    <row r="236" spans="1:14">
      <c r="A236" s="285" t="s">
        <v>175</v>
      </c>
      <c r="B236" s="285" t="s">
        <v>486</v>
      </c>
      <c r="C236" s="286">
        <v>13.772817999999999</v>
      </c>
      <c r="D236" s="286">
        <v>0.2969021</v>
      </c>
      <c r="E236" s="286">
        <v>29.665053</v>
      </c>
      <c r="F236" s="286">
        <v>1.5187999999999999</v>
      </c>
      <c r="G236" s="286">
        <v>16.068304999999999</v>
      </c>
      <c r="H236" s="286">
        <v>8.4032409999999995</v>
      </c>
      <c r="I236" s="286">
        <v>5.4752200000000002</v>
      </c>
      <c r="J236" s="286">
        <v>35.408214999999998</v>
      </c>
      <c r="K236" s="286">
        <v>9.9909540000000003</v>
      </c>
      <c r="L236" s="287">
        <v>2.8899999999999999E-2</v>
      </c>
      <c r="M236" s="288">
        <v>0.11</v>
      </c>
      <c r="N236" s="287">
        <v>1.0999999999999999E-2</v>
      </c>
    </row>
    <row r="237" spans="1:14">
      <c r="A237" s="285" t="s">
        <v>176</v>
      </c>
      <c r="B237" s="285" t="s">
        <v>486</v>
      </c>
      <c r="C237" s="286">
        <v>13.874674000000001</v>
      </c>
      <c r="D237" s="286">
        <v>0.19952339999999999</v>
      </c>
      <c r="E237" s="286">
        <v>30.934756</v>
      </c>
      <c r="F237" s="286">
        <v>1.4209069999999999</v>
      </c>
      <c r="G237" s="286">
        <v>5.8254859999999997</v>
      </c>
      <c r="H237" s="286">
        <v>24.051922999999999</v>
      </c>
      <c r="I237" s="286">
        <v>15.456151</v>
      </c>
      <c r="J237" s="286">
        <v>7.7539410000000002</v>
      </c>
      <c r="K237" s="286">
        <v>7.8968629999999997</v>
      </c>
      <c r="L237" s="287">
        <v>1.26E-2</v>
      </c>
      <c r="M237" s="288">
        <v>0.12</v>
      </c>
      <c r="N237" s="287">
        <v>5.3E-3</v>
      </c>
    </row>
    <row r="238" spans="1:14">
      <c r="A238" s="285" t="s">
        <v>177</v>
      </c>
      <c r="B238" s="285" t="s">
        <v>486</v>
      </c>
      <c r="C238" s="286">
        <v>31.181709999999999</v>
      </c>
      <c r="D238" s="286">
        <v>1.385823</v>
      </c>
      <c r="E238" s="286">
        <v>14.669744</v>
      </c>
      <c r="F238" s="286">
        <v>0.1621224</v>
      </c>
      <c r="G238" s="286">
        <v>5.6205280000000002</v>
      </c>
      <c r="H238" s="286">
        <v>20.275202</v>
      </c>
      <c r="I238" s="286">
        <v>15.068535000000001</v>
      </c>
      <c r="J238" s="286">
        <v>7.2941250000000002</v>
      </c>
      <c r="K238" s="286">
        <v>6.4520559999999998</v>
      </c>
      <c r="L238" s="287">
        <v>7.7999999999999996E-3</v>
      </c>
      <c r="M238" s="288">
        <v>0.13</v>
      </c>
      <c r="N238" s="287">
        <v>3.5000000000000001E-3</v>
      </c>
    </row>
    <row r="239" spans="1:14">
      <c r="A239" s="285" t="s">
        <v>178</v>
      </c>
      <c r="B239" s="285" t="s">
        <v>486</v>
      </c>
      <c r="C239" s="286">
        <v>5.3027129999999998</v>
      </c>
      <c r="D239" s="286">
        <v>17.480111000000001</v>
      </c>
      <c r="E239" s="286">
        <v>14.74738</v>
      </c>
      <c r="F239" s="286">
        <v>6.8903549999999996</v>
      </c>
      <c r="G239" s="286">
        <v>15.767896</v>
      </c>
      <c r="H239" s="286">
        <v>0.1349158</v>
      </c>
      <c r="I239" s="286">
        <v>31.263935</v>
      </c>
      <c r="J239" s="286">
        <v>1.3602559999999999</v>
      </c>
      <c r="K239" s="286">
        <v>4.913373</v>
      </c>
      <c r="L239" s="287">
        <v>5.0000000000000001E-3</v>
      </c>
      <c r="M239" s="288">
        <v>0.14000000000000001</v>
      </c>
      <c r="N239" s="287">
        <v>2.3E-3</v>
      </c>
    </row>
    <row r="240" spans="1:14">
      <c r="A240" s="285" t="s">
        <v>179</v>
      </c>
      <c r="B240" s="285" t="s">
        <v>486</v>
      </c>
      <c r="C240" s="286">
        <v>31.237932000000001</v>
      </c>
      <c r="D240" s="286">
        <v>1.340123</v>
      </c>
      <c r="E240" s="286">
        <v>14.494225999999999</v>
      </c>
      <c r="F240" s="286">
        <v>6.5182390000000003</v>
      </c>
      <c r="G240" s="286">
        <v>17.08661</v>
      </c>
      <c r="H240" s="286">
        <v>0.11437650000000001</v>
      </c>
      <c r="I240" s="286">
        <v>4.9003870000000003</v>
      </c>
      <c r="J240" s="286">
        <v>15.255086</v>
      </c>
      <c r="K240" s="286">
        <v>3.2778480000000001</v>
      </c>
      <c r="L240" s="287">
        <v>3.2000000000000002E-3</v>
      </c>
      <c r="M240" s="288">
        <v>0.15</v>
      </c>
      <c r="N240" s="287">
        <v>1.5E-3</v>
      </c>
    </row>
    <row r="241" spans="1:14">
      <c r="A241" s="285" t="s">
        <v>180</v>
      </c>
      <c r="B241" s="285" t="s">
        <v>486</v>
      </c>
      <c r="C241" s="286">
        <v>18.620291999999999</v>
      </c>
      <c r="D241" s="286">
        <v>9.8074839999999996E-2</v>
      </c>
      <c r="E241" s="286">
        <v>31.131004000000001</v>
      </c>
      <c r="F241" s="286">
        <v>1.322946</v>
      </c>
      <c r="G241" s="286">
        <v>4.4580849999999996</v>
      </c>
      <c r="H241" s="286">
        <v>13.335614</v>
      </c>
      <c r="I241" s="286">
        <v>14.28777</v>
      </c>
      <c r="J241" s="286">
        <v>6.1600010000000003</v>
      </c>
      <c r="K241" s="286">
        <v>1.500983</v>
      </c>
      <c r="L241" s="287">
        <v>2E-3</v>
      </c>
      <c r="M241" s="288">
        <v>0.16</v>
      </c>
      <c r="N241" s="287">
        <v>8.9999999999999998E-4</v>
      </c>
    </row>
    <row r="242" spans="1:14">
      <c r="A242" s="285" t="s">
        <v>181</v>
      </c>
      <c r="B242" s="285" t="s">
        <v>486</v>
      </c>
      <c r="C242" s="286">
        <v>20.526427000000002</v>
      </c>
      <c r="D242" s="286">
        <v>8.37923E-2</v>
      </c>
      <c r="E242" s="286">
        <v>30.954270999999999</v>
      </c>
      <c r="F242" s="286">
        <v>1.306576</v>
      </c>
      <c r="G242" s="286">
        <v>14.026156</v>
      </c>
      <c r="H242" s="286">
        <v>5.7912530000000002</v>
      </c>
      <c r="I242" s="286">
        <v>4.1057949999999996</v>
      </c>
      <c r="J242" s="286">
        <v>11.460727</v>
      </c>
      <c r="K242" s="286">
        <v>-0.61370199999999997</v>
      </c>
      <c r="L242" s="287">
        <v>1.1000000000000001E-3</v>
      </c>
      <c r="M242" s="288">
        <v>0.17</v>
      </c>
      <c r="N242" s="287">
        <v>5.0000000000000001E-4</v>
      </c>
    </row>
    <row r="243" spans="1:14">
      <c r="A243" s="285" t="s">
        <v>182</v>
      </c>
      <c r="B243" s="285" t="s">
        <v>486</v>
      </c>
      <c r="C243" s="286">
        <v>23.838702999999999</v>
      </c>
      <c r="D243" s="286">
        <v>6.7214930000000006E-2</v>
      </c>
      <c r="E243" s="286">
        <v>30.694932999999999</v>
      </c>
      <c r="F243" s="286">
        <v>1.2865899999999999</v>
      </c>
      <c r="G243" s="286">
        <v>4.6761559999999998</v>
      </c>
      <c r="H243" s="286">
        <v>9.1146840000000005</v>
      </c>
      <c r="I243" s="286">
        <v>12.956092</v>
      </c>
      <c r="J243" s="286">
        <v>5.3057049999999997</v>
      </c>
      <c r="K243" s="286">
        <v>-4.1661849999999996</v>
      </c>
      <c r="L243" s="287">
        <v>2.9999999999999997E-4</v>
      </c>
      <c r="M243" s="288">
        <v>0.18</v>
      </c>
      <c r="N243" s="287">
        <v>2.0000000000000001E-4</v>
      </c>
    </row>
    <row r="244" spans="1:14">
      <c r="A244" s="285" t="s">
        <v>183</v>
      </c>
      <c r="B244" s="285" t="s">
        <v>486</v>
      </c>
      <c r="C244" s="286">
        <v>29.405940000000001</v>
      </c>
      <c r="D244" s="286">
        <v>1.459741</v>
      </c>
      <c r="E244" s="286">
        <v>16.64583</v>
      </c>
      <c r="F244" s="286">
        <v>8.2559769999999997</v>
      </c>
      <c r="G244" s="286">
        <v>13.728851000000001</v>
      </c>
      <c r="H244" s="286">
        <v>0.31617820000000002</v>
      </c>
      <c r="I244" s="286">
        <v>5.7161590000000002</v>
      </c>
      <c r="J244" s="286">
        <v>33.140016000000003</v>
      </c>
      <c r="K244" s="286">
        <v>10.476115999999999</v>
      </c>
      <c r="L244" s="287">
        <v>2.8400000000000002E-2</v>
      </c>
      <c r="M244" s="288">
        <v>0.11</v>
      </c>
      <c r="N244" s="287">
        <v>1.0699999999999999E-2</v>
      </c>
    </row>
    <row r="245" spans="1:14">
      <c r="A245" s="285" t="s">
        <v>184</v>
      </c>
      <c r="B245" s="285" t="s">
        <v>486</v>
      </c>
      <c r="C245" s="286">
        <v>13.450105000000001</v>
      </c>
      <c r="D245" s="286">
        <v>0.1995712</v>
      </c>
      <c r="E245" s="286">
        <v>31.158933000000001</v>
      </c>
      <c r="F245" s="286">
        <v>1.350096</v>
      </c>
      <c r="G245" s="286">
        <v>6.1997739999999997</v>
      </c>
      <c r="H245" s="286">
        <v>22.757670999999998</v>
      </c>
      <c r="I245" s="286">
        <v>15.948264999999999</v>
      </c>
      <c r="J245" s="286">
        <v>7.5913069999999996</v>
      </c>
      <c r="K245" s="286">
        <v>8.2316070000000003</v>
      </c>
      <c r="L245" s="287">
        <v>1.1900000000000001E-2</v>
      </c>
      <c r="M245" s="288">
        <v>0.13</v>
      </c>
      <c r="N245" s="287">
        <v>5.0000000000000001E-3</v>
      </c>
    </row>
    <row r="246" spans="1:14">
      <c r="A246" s="285" t="s">
        <v>185</v>
      </c>
      <c r="B246" s="285" t="s">
        <v>486</v>
      </c>
      <c r="C246" s="286">
        <v>31.499648000000001</v>
      </c>
      <c r="D246" s="286">
        <v>1.3162579999999999</v>
      </c>
      <c r="E246" s="286">
        <v>15.512611</v>
      </c>
      <c r="F246" s="286">
        <v>7.1618560000000002</v>
      </c>
      <c r="G246" s="286">
        <v>6.0165170000000003</v>
      </c>
      <c r="H246" s="286">
        <v>19.416710999999999</v>
      </c>
      <c r="I246" s="286">
        <v>14.264473000000001</v>
      </c>
      <c r="J246" s="286">
        <v>0.15873519999999999</v>
      </c>
      <c r="K246" s="286">
        <v>6.6997140000000002</v>
      </c>
      <c r="L246" s="287">
        <v>7.4000000000000003E-3</v>
      </c>
      <c r="M246" s="288">
        <v>0.14000000000000001</v>
      </c>
      <c r="N246" s="287">
        <v>3.3E-3</v>
      </c>
    </row>
    <row r="247" spans="1:14">
      <c r="A247" s="285" t="s">
        <v>186</v>
      </c>
      <c r="B247" s="285" t="s">
        <v>486</v>
      </c>
      <c r="C247" s="286">
        <v>15.469753000000001</v>
      </c>
      <c r="D247" s="286">
        <v>0.1294256</v>
      </c>
      <c r="E247" s="286">
        <v>31.643801</v>
      </c>
      <c r="F247" s="286">
        <v>1.292303</v>
      </c>
      <c r="G247" s="286">
        <v>15.145332</v>
      </c>
      <c r="H247" s="286">
        <v>6.7849209999999998</v>
      </c>
      <c r="I247" s="286">
        <v>5.7154720000000001</v>
      </c>
      <c r="J247" s="286">
        <v>16.932293000000001</v>
      </c>
      <c r="K247" s="286">
        <v>5.0211309999999996</v>
      </c>
      <c r="L247" s="287">
        <v>4.7000000000000002E-3</v>
      </c>
      <c r="M247" s="288">
        <v>0.14000000000000001</v>
      </c>
      <c r="N247" s="287">
        <v>2.2000000000000001E-3</v>
      </c>
    </row>
    <row r="248" spans="1:14">
      <c r="A248" s="285" t="s">
        <v>187</v>
      </c>
      <c r="B248" s="285" t="s">
        <v>486</v>
      </c>
      <c r="C248" s="286">
        <v>16.946452000000001</v>
      </c>
      <c r="D248" s="286">
        <v>0.10787819999999999</v>
      </c>
      <c r="E248" s="286">
        <v>31.663609999999998</v>
      </c>
      <c r="F248" s="286">
        <v>1.2741130000000001</v>
      </c>
      <c r="G248" s="286">
        <v>14.850384999999999</v>
      </c>
      <c r="H248" s="286">
        <v>6.43832</v>
      </c>
      <c r="I248" s="286">
        <v>5.3203529999999999</v>
      </c>
      <c r="J248" s="286">
        <v>14.969182</v>
      </c>
      <c r="K248" s="286">
        <v>3.2162679999999999</v>
      </c>
      <c r="L248" s="287">
        <v>3.0999999999999999E-3</v>
      </c>
      <c r="M248" s="288">
        <v>0.15</v>
      </c>
      <c r="N248" s="287">
        <v>1.4E-3</v>
      </c>
    </row>
    <row r="249" spans="1:14">
      <c r="A249" s="285" t="s">
        <v>188</v>
      </c>
      <c r="B249" s="285" t="s">
        <v>486</v>
      </c>
      <c r="C249" s="286">
        <v>18.628888</v>
      </c>
      <c r="D249" s="286">
        <v>9.1591420000000007E-2</v>
      </c>
      <c r="E249" s="286">
        <v>31.595151000000001</v>
      </c>
      <c r="F249" s="286">
        <v>1.2593589999999999</v>
      </c>
      <c r="G249" s="286">
        <v>4.8546370000000003</v>
      </c>
      <c r="H249" s="286">
        <v>13.327116999999999</v>
      </c>
      <c r="I249" s="286">
        <v>14.623671</v>
      </c>
      <c r="J249" s="286">
        <v>6.1082879999999999</v>
      </c>
      <c r="K249" s="286">
        <v>1.295752</v>
      </c>
      <c r="L249" s="287">
        <v>2E-3</v>
      </c>
      <c r="M249" s="288">
        <v>0.16</v>
      </c>
      <c r="N249" s="287">
        <v>1E-3</v>
      </c>
    </row>
    <row r="250" spans="1:14">
      <c r="A250" s="285" t="s">
        <v>382</v>
      </c>
      <c r="B250" s="285" t="s">
        <v>486</v>
      </c>
      <c r="C250" s="286">
        <v>16.568314999999998</v>
      </c>
      <c r="D250" s="286">
        <v>7.4259170000000001</v>
      </c>
      <c r="E250" s="286">
        <v>13.032961</v>
      </c>
      <c r="F250" s="286">
        <v>0.197295</v>
      </c>
      <c r="G250" s="286">
        <v>31.380344999999998</v>
      </c>
      <c r="H250" s="286">
        <v>1.279698</v>
      </c>
      <c r="I250" s="286">
        <v>6.5131290000000002</v>
      </c>
      <c r="J250" s="286">
        <v>21.577335999999999</v>
      </c>
      <c r="K250" s="286">
        <v>8.4946629999999992</v>
      </c>
      <c r="L250" s="287">
        <v>1.11E-2</v>
      </c>
      <c r="M250" s="288">
        <v>0.13</v>
      </c>
      <c r="N250" s="287">
        <v>4.7000000000000002E-3</v>
      </c>
    </row>
    <row r="251" spans="1:14">
      <c r="A251" s="285" t="s">
        <v>383</v>
      </c>
      <c r="B251" s="285" t="s">
        <v>486</v>
      </c>
      <c r="C251" s="286">
        <v>32.030898000000001</v>
      </c>
      <c r="D251" s="286">
        <v>1.2242690000000001</v>
      </c>
      <c r="E251" s="286">
        <v>15.678058</v>
      </c>
      <c r="F251" s="286">
        <v>6.6769509999999999</v>
      </c>
      <c r="G251" s="286">
        <v>15.379796000000001</v>
      </c>
      <c r="H251" s="286">
        <v>0.1200025</v>
      </c>
      <c r="I251" s="286">
        <v>6.0666969999999996</v>
      </c>
      <c r="J251" s="286">
        <v>16.347401000000001</v>
      </c>
      <c r="K251" s="286">
        <v>4.840274</v>
      </c>
      <c r="L251" s="287">
        <v>4.4999999999999997E-3</v>
      </c>
      <c r="M251" s="288">
        <v>0.15</v>
      </c>
      <c r="N251" s="287">
        <v>2E-3</v>
      </c>
    </row>
    <row r="252" spans="1:14">
      <c r="A252" s="285" t="s">
        <v>189</v>
      </c>
      <c r="B252" s="285" t="s">
        <v>486</v>
      </c>
      <c r="C252" s="286">
        <v>32.092964000000002</v>
      </c>
      <c r="D252" s="286">
        <v>1.207751</v>
      </c>
      <c r="E252" s="286">
        <v>15.336086999999999</v>
      </c>
      <c r="F252" s="286">
        <v>6.3544980000000004</v>
      </c>
      <c r="G252" s="286">
        <v>5.6887150000000002</v>
      </c>
      <c r="H252" s="286">
        <v>14.579838000000001</v>
      </c>
      <c r="I252" s="286">
        <v>17.224830999999998</v>
      </c>
      <c r="J252" s="286">
        <v>9.7039810000000004E-2</v>
      </c>
      <c r="K252" s="286">
        <v>2.6545939999999999</v>
      </c>
      <c r="L252" s="287">
        <v>3.0000000000000001E-3</v>
      </c>
      <c r="M252" s="288">
        <v>0.15</v>
      </c>
      <c r="N252" s="287">
        <v>1.4E-3</v>
      </c>
    </row>
    <row r="253" spans="1:14">
      <c r="A253" s="285" t="s">
        <v>190</v>
      </c>
      <c r="B253" s="285" t="s">
        <v>486</v>
      </c>
      <c r="C253" s="286">
        <v>32.056744000000002</v>
      </c>
      <c r="D253" s="286">
        <v>1.1949559999999999</v>
      </c>
      <c r="E253" s="286">
        <v>15.061567999999999</v>
      </c>
      <c r="F253" s="286">
        <v>6.0473470000000002</v>
      </c>
      <c r="G253" s="286">
        <v>19.346458999999999</v>
      </c>
      <c r="H253" s="286">
        <v>8.0408220000000002E-2</v>
      </c>
      <c r="I253" s="286">
        <v>5.2351729999999996</v>
      </c>
      <c r="J253" s="286">
        <v>13.118067999999999</v>
      </c>
      <c r="K253" s="286">
        <v>0.29820190000000002</v>
      </c>
      <c r="L253" s="287">
        <v>1.9E-3</v>
      </c>
      <c r="M253" s="288">
        <v>0.16</v>
      </c>
      <c r="N253" s="287">
        <v>8.9999999999999998E-4</v>
      </c>
    </row>
    <row r="254" spans="1:14">
      <c r="A254" s="285" t="s">
        <v>191</v>
      </c>
      <c r="B254" s="285" t="s">
        <v>486</v>
      </c>
      <c r="C254" s="286">
        <v>30.511686999999998</v>
      </c>
      <c r="D254" s="286">
        <v>1.2627550000000001</v>
      </c>
      <c r="E254" s="286">
        <v>12.597301</v>
      </c>
      <c r="F254" s="286">
        <v>0.26574609999999999</v>
      </c>
      <c r="G254" s="286">
        <v>6.7630720000000002</v>
      </c>
      <c r="H254" s="286">
        <v>24.355526999999999</v>
      </c>
      <c r="I254" s="286">
        <v>17.875018000000001</v>
      </c>
      <c r="J254" s="286">
        <v>7.701479</v>
      </c>
      <c r="K254" s="286">
        <v>10.236356000000001</v>
      </c>
      <c r="L254" s="287">
        <v>1.7299999999999999E-2</v>
      </c>
      <c r="M254" s="288">
        <v>0.12</v>
      </c>
      <c r="N254" s="287">
        <v>6.8999999999999999E-3</v>
      </c>
    </row>
    <row r="255" spans="1:14">
      <c r="A255" s="285" t="s">
        <v>192</v>
      </c>
      <c r="B255" s="285" t="s">
        <v>486</v>
      </c>
      <c r="C255" s="286">
        <v>6.7758370000000001</v>
      </c>
      <c r="D255" s="286">
        <v>20.499383000000002</v>
      </c>
      <c r="E255" s="286">
        <v>31.622215000000001</v>
      </c>
      <c r="F255" s="286">
        <v>1.209816</v>
      </c>
      <c r="G255" s="286">
        <v>17.301112</v>
      </c>
      <c r="H255" s="286">
        <v>7.2521199999999997</v>
      </c>
      <c r="I255" s="286">
        <v>12.614093</v>
      </c>
      <c r="J255" s="286">
        <v>0.19205949999999999</v>
      </c>
      <c r="K255" s="286">
        <v>8.6768370000000008</v>
      </c>
      <c r="L255" s="287">
        <v>1.04E-2</v>
      </c>
      <c r="M255" s="288">
        <v>0.13</v>
      </c>
      <c r="N255" s="287">
        <v>4.4000000000000003E-3</v>
      </c>
    </row>
    <row r="256" spans="1:14">
      <c r="A256" s="285" t="s">
        <v>193</v>
      </c>
      <c r="B256" s="285" t="s">
        <v>486</v>
      </c>
      <c r="C256" s="286">
        <v>32.179715999999999</v>
      </c>
      <c r="D256" s="286">
        <v>1.177662</v>
      </c>
      <c r="E256" s="286">
        <v>13.721401999999999</v>
      </c>
      <c r="F256" s="286">
        <v>0.14099400000000001</v>
      </c>
      <c r="G256" s="286">
        <v>16.787022</v>
      </c>
      <c r="H256" s="286">
        <v>6.8840769999999996</v>
      </c>
      <c r="I256" s="286">
        <v>6.6272890000000002</v>
      </c>
      <c r="J256" s="286">
        <v>17.796700999999999</v>
      </c>
      <c r="K256" s="286">
        <v>6.6783440000000001</v>
      </c>
      <c r="L256" s="287">
        <v>6.4999999999999997E-3</v>
      </c>
      <c r="M256" s="288">
        <v>0.14000000000000001</v>
      </c>
      <c r="N256" s="287">
        <v>2.8999999999999998E-3</v>
      </c>
    </row>
    <row r="257" spans="1:14">
      <c r="A257" s="285" t="s">
        <v>384</v>
      </c>
      <c r="B257" s="285" t="s">
        <v>486</v>
      </c>
      <c r="C257" s="286">
        <v>32.548127000000001</v>
      </c>
      <c r="D257" s="286">
        <v>1.1412899999999999</v>
      </c>
      <c r="E257" s="286">
        <v>15.955641</v>
      </c>
      <c r="F257" s="286">
        <v>6.2627550000000003</v>
      </c>
      <c r="G257" s="286">
        <v>18.408805000000001</v>
      </c>
      <c r="H257" s="286">
        <v>8.0452019999999999E-2</v>
      </c>
      <c r="I257" s="286">
        <v>5.9958879999999999</v>
      </c>
      <c r="J257" s="286">
        <v>14.153058</v>
      </c>
      <c r="K257" s="286">
        <v>1.0888850000000001</v>
      </c>
      <c r="L257" s="287">
        <v>2.8E-3</v>
      </c>
      <c r="M257" s="288">
        <v>0.15</v>
      </c>
      <c r="N257" s="287">
        <v>1.2999999999999999E-3</v>
      </c>
    </row>
    <row r="258" spans="1:14">
      <c r="A258" s="285" t="s">
        <v>194</v>
      </c>
      <c r="B258" s="285" t="s">
        <v>486</v>
      </c>
      <c r="C258" s="286">
        <v>14.702859</v>
      </c>
      <c r="D258" s="286">
        <v>0.39031280000000002</v>
      </c>
      <c r="E258" s="286">
        <v>19.070495000000001</v>
      </c>
      <c r="F258" s="286">
        <v>7.7442589999999996</v>
      </c>
      <c r="G258" s="286">
        <v>27.361878000000001</v>
      </c>
      <c r="H258" s="286">
        <v>1.3053220000000001</v>
      </c>
      <c r="I258" s="286">
        <v>6.1050199999999997</v>
      </c>
      <c r="J258" s="286">
        <v>28.075941</v>
      </c>
      <c r="K258" s="286">
        <v>11.734669999999999</v>
      </c>
      <c r="L258" s="287">
        <v>2.5899999999999999E-2</v>
      </c>
      <c r="M258" s="288">
        <v>0.12</v>
      </c>
      <c r="N258" s="287">
        <v>0.01</v>
      </c>
    </row>
    <row r="259" spans="1:14">
      <c r="A259" s="285" t="s">
        <v>195</v>
      </c>
      <c r="B259" s="285" t="s">
        <v>486</v>
      </c>
      <c r="C259" s="286">
        <v>31.909638000000001</v>
      </c>
      <c r="D259" s="286">
        <v>1.1406559999999999</v>
      </c>
      <c r="E259" s="286">
        <v>18.128865000000001</v>
      </c>
      <c r="F259" s="286">
        <v>7.0679489999999996</v>
      </c>
      <c r="G259" s="286">
        <v>6.9989840000000001</v>
      </c>
      <c r="H259" s="286">
        <v>19.509886999999999</v>
      </c>
      <c r="I259" s="286">
        <v>12.189488000000001</v>
      </c>
      <c r="J259" s="286">
        <v>0.18319489999999999</v>
      </c>
      <c r="K259" s="286">
        <v>8.7637319999999992</v>
      </c>
      <c r="L259" s="287">
        <v>9.7000000000000003E-3</v>
      </c>
      <c r="M259" s="288">
        <v>0.14000000000000001</v>
      </c>
      <c r="N259" s="287">
        <v>4.1000000000000003E-3</v>
      </c>
    </row>
    <row r="260" spans="1:14">
      <c r="A260" s="285" t="s">
        <v>196</v>
      </c>
      <c r="B260" s="285" t="s">
        <v>486</v>
      </c>
      <c r="C260" s="286">
        <v>18.540465000000001</v>
      </c>
      <c r="D260" s="286">
        <v>0.48876989999999998</v>
      </c>
      <c r="E260" s="286">
        <v>23.170577000000002</v>
      </c>
      <c r="F260" s="286">
        <v>1.3738649999999999</v>
      </c>
      <c r="G260" s="286">
        <v>19.482721999999999</v>
      </c>
      <c r="H260" s="286">
        <v>7.5189810000000001</v>
      </c>
      <c r="I260" s="286">
        <v>6.345065</v>
      </c>
      <c r="J260" s="286">
        <v>29.692529</v>
      </c>
      <c r="K260" s="286">
        <v>12.434668</v>
      </c>
      <c r="L260" s="287">
        <v>2.76E-2</v>
      </c>
      <c r="M260" s="288">
        <v>0.11</v>
      </c>
      <c r="N260" s="287">
        <v>1.12E-2</v>
      </c>
    </row>
    <row r="261" spans="1:14">
      <c r="A261" s="285" t="s">
        <v>385</v>
      </c>
      <c r="B261" s="285" t="s">
        <v>486</v>
      </c>
      <c r="C261" s="286">
        <v>33.082906999999999</v>
      </c>
      <c r="D261" s="286">
        <v>1.041166</v>
      </c>
      <c r="E261" s="286">
        <v>14.426496</v>
      </c>
      <c r="F261" s="286">
        <v>0.10011589999999999</v>
      </c>
      <c r="G261" s="286">
        <v>7.0593250000000003</v>
      </c>
      <c r="H261" s="286">
        <v>16.350072000000001</v>
      </c>
      <c r="I261" s="286">
        <v>18.474149000000001</v>
      </c>
      <c r="J261" s="286">
        <v>6.5642399999999999</v>
      </c>
      <c r="K261" s="286">
        <v>4.9516119999999999</v>
      </c>
      <c r="L261" s="287">
        <v>5.7999999999999996E-3</v>
      </c>
      <c r="M261" s="288">
        <v>0.15</v>
      </c>
      <c r="N261" s="287">
        <v>2.5000000000000001E-3</v>
      </c>
    </row>
    <row r="262" spans="1:14">
      <c r="A262" s="285" t="s">
        <v>386</v>
      </c>
      <c r="B262" s="285" t="s">
        <v>486</v>
      </c>
      <c r="C262" s="286">
        <v>24.216999999999999</v>
      </c>
      <c r="D262" s="286">
        <v>1.235724</v>
      </c>
      <c r="E262" s="286">
        <v>17.017047999999999</v>
      </c>
      <c r="F262" s="286">
        <v>0.44811699999999999</v>
      </c>
      <c r="G262" s="286">
        <v>19.860299999999999</v>
      </c>
      <c r="H262" s="286">
        <v>6.8286949999999997</v>
      </c>
      <c r="I262" s="286">
        <v>6.5621489999999998</v>
      </c>
      <c r="J262" s="286">
        <v>24.441011</v>
      </c>
      <c r="K262" s="286">
        <v>12.326006</v>
      </c>
      <c r="L262" s="287">
        <v>1.83E-2</v>
      </c>
      <c r="M262" s="288">
        <v>0.13</v>
      </c>
      <c r="N262" s="287">
        <v>7.9000000000000008E-3</v>
      </c>
    </row>
    <row r="263" spans="1:14">
      <c r="A263" s="285" t="s">
        <v>387</v>
      </c>
      <c r="B263" s="285" t="s">
        <v>486</v>
      </c>
      <c r="C263" s="286">
        <v>34.084001999999998</v>
      </c>
      <c r="D263" s="286">
        <v>0.95654709999999998</v>
      </c>
      <c r="E263" s="286">
        <v>97.249442999999999</v>
      </c>
      <c r="F263" s="286">
        <v>9.0168109999999996E-3</v>
      </c>
      <c r="G263" s="286">
        <v>18.921617999999999</v>
      </c>
      <c r="H263" s="286">
        <v>6.142061</v>
      </c>
      <c r="I263" s="286">
        <v>6.974596</v>
      </c>
      <c r="J263" s="286">
        <v>14.113692</v>
      </c>
      <c r="K263" s="286">
        <v>-79.233008999999996</v>
      </c>
      <c r="L263" s="287">
        <v>3.5000000000000001E-3</v>
      </c>
      <c r="M263" s="288">
        <v>0.15</v>
      </c>
      <c r="N263" s="287">
        <v>1.5E-3</v>
      </c>
    </row>
    <row r="264" spans="1:14">
      <c r="A264" s="285" t="s">
        <v>388</v>
      </c>
      <c r="B264" s="285" t="s">
        <v>486</v>
      </c>
      <c r="C264" s="286">
        <v>15.734603999999999</v>
      </c>
      <c r="D264" s="286">
        <v>0.4151514</v>
      </c>
      <c r="E264" s="286">
        <v>25.08323</v>
      </c>
      <c r="F264" s="286">
        <v>1.1258030000000001</v>
      </c>
      <c r="G264" s="286">
        <v>20.213528</v>
      </c>
      <c r="H264" s="286">
        <v>6.2671520000000003</v>
      </c>
      <c r="I264" s="286">
        <v>6.7034529999999997</v>
      </c>
      <c r="J264" s="286">
        <v>20.804088</v>
      </c>
      <c r="K264" s="286">
        <v>12.252978000000001</v>
      </c>
      <c r="L264" s="287">
        <v>1.2999999999999999E-2</v>
      </c>
      <c r="M264" s="288">
        <v>2</v>
      </c>
      <c r="N264" s="287">
        <v>5.7999999999999996E-3</v>
      </c>
    </row>
    <row r="265" spans="1:14">
      <c r="A265" s="285" t="s">
        <v>389</v>
      </c>
      <c r="B265" s="285" t="s">
        <v>486</v>
      </c>
      <c r="C265" s="286">
        <v>34.910468999999999</v>
      </c>
      <c r="D265" s="286">
        <v>0.88328689999999999</v>
      </c>
      <c r="E265" s="286">
        <v>19.469049999999999</v>
      </c>
      <c r="F265" s="286">
        <v>5.7760550000000004</v>
      </c>
      <c r="G265" s="286">
        <v>-5.0087479999999998</v>
      </c>
      <c r="H265" s="286">
        <v>-9.6826899999999994E-2</v>
      </c>
      <c r="I265" s="286">
        <v>6.765136</v>
      </c>
      <c r="J265" s="286">
        <v>12.444668</v>
      </c>
      <c r="K265" s="286">
        <v>21.862051000000001</v>
      </c>
      <c r="L265" s="287">
        <v>2.0999999999999999E-3</v>
      </c>
      <c r="M265" s="288">
        <v>0.16</v>
      </c>
      <c r="N265" s="287">
        <v>8.9999999999999998E-4</v>
      </c>
    </row>
    <row r="266" spans="1:14">
      <c r="A266" s="285" t="s">
        <v>390</v>
      </c>
      <c r="B266" s="285" t="s">
        <v>486</v>
      </c>
      <c r="C266" s="286">
        <v>31.286791999999998</v>
      </c>
      <c r="D266" s="286">
        <v>0.64216240000000002</v>
      </c>
      <c r="E266" s="286">
        <v>10.900217</v>
      </c>
      <c r="F266" s="286">
        <v>1.9707030000000001</v>
      </c>
      <c r="G266" s="286">
        <v>6.8225610000000003</v>
      </c>
      <c r="H266" s="286">
        <v>30.413291000000001</v>
      </c>
      <c r="I266" s="286">
        <v>19.629452000000001</v>
      </c>
      <c r="J266" s="286">
        <v>6.6808420000000002</v>
      </c>
      <c r="K266" s="286">
        <v>13.338385000000001</v>
      </c>
      <c r="L266" s="287">
        <v>3.1800000000000002E-2</v>
      </c>
      <c r="M266" s="288">
        <v>2</v>
      </c>
      <c r="N266" s="287">
        <v>1.0800000000000001E-2</v>
      </c>
    </row>
    <row r="267" spans="1:14">
      <c r="A267" s="285" t="s">
        <v>391</v>
      </c>
      <c r="B267" s="285" t="s">
        <v>486</v>
      </c>
      <c r="C267" s="286">
        <v>25.830220000000001</v>
      </c>
      <c r="D267" s="286">
        <v>1.0340100000000001</v>
      </c>
      <c r="E267" s="286">
        <v>20.546267</v>
      </c>
      <c r="F267" s="286">
        <v>5.7910250000000003</v>
      </c>
      <c r="G267" s="286">
        <v>14.600251</v>
      </c>
      <c r="H267" s="286">
        <v>0.38775870000000001</v>
      </c>
      <c r="I267" s="286">
        <v>6.8051769999999996</v>
      </c>
      <c r="J267" s="286">
        <v>18.095191</v>
      </c>
      <c r="K267" s="286">
        <v>12.209258999999999</v>
      </c>
      <c r="L267" s="287">
        <v>9.7999999999999997E-3</v>
      </c>
      <c r="M267" s="288">
        <v>2</v>
      </c>
      <c r="N267" s="287">
        <v>4.3E-3</v>
      </c>
    </row>
    <row r="268" spans="1:14">
      <c r="A268" s="285" t="s">
        <v>392</v>
      </c>
      <c r="B268" s="285" t="s">
        <v>486</v>
      </c>
      <c r="C268" s="286">
        <v>35.547324000000003</v>
      </c>
      <c r="D268" s="286">
        <v>0.81951499999999999</v>
      </c>
      <c r="E268" s="286">
        <v>20.108049999999999</v>
      </c>
      <c r="F268" s="286">
        <v>5.4515159999999998</v>
      </c>
      <c r="G268" s="286">
        <v>6.4470409999999996</v>
      </c>
      <c r="H268" s="286">
        <v>11.153241</v>
      </c>
      <c r="I268" s="286">
        <v>-1.0515479999999999</v>
      </c>
      <c r="J268" s="286">
        <v>-0.22498099999999999</v>
      </c>
      <c r="K268" s="286">
        <v>16.947914000000001</v>
      </c>
      <c r="L268" s="287">
        <v>1.2999999999999999E-3</v>
      </c>
      <c r="M268" s="288">
        <v>0.17</v>
      </c>
      <c r="N268" s="287">
        <v>5.0000000000000001E-4</v>
      </c>
    </row>
    <row r="269" spans="1:14">
      <c r="A269" s="285" t="s">
        <v>197</v>
      </c>
      <c r="B269" s="285" t="s">
        <v>486</v>
      </c>
      <c r="C269" s="286">
        <v>34.737941999999997</v>
      </c>
      <c r="D269" s="286">
        <v>0.67284999999999995</v>
      </c>
      <c r="E269" s="286">
        <v>14.556053</v>
      </c>
      <c r="F269" s="286">
        <v>3.3385470000000002</v>
      </c>
      <c r="G269" s="286">
        <v>13.197501000000001</v>
      </c>
      <c r="H269" s="286">
        <v>8.0610769999999992</v>
      </c>
      <c r="I269" s="286">
        <v>7.8728579999999999</v>
      </c>
      <c r="J269" s="286">
        <v>36.154415</v>
      </c>
      <c r="K269" s="286">
        <v>13.611817</v>
      </c>
      <c r="L269" s="287">
        <v>4.7600000000000003E-2</v>
      </c>
      <c r="M269" s="288">
        <v>2</v>
      </c>
      <c r="N269" s="287">
        <v>1.26E-2</v>
      </c>
    </row>
    <row r="270" spans="1:14">
      <c r="A270" s="285" t="s">
        <v>393</v>
      </c>
      <c r="B270" s="285" t="s">
        <v>486</v>
      </c>
      <c r="C270" s="286">
        <v>31.778361</v>
      </c>
      <c r="D270" s="286">
        <v>0.62466279999999996</v>
      </c>
      <c r="E270" s="286">
        <v>19.879552</v>
      </c>
      <c r="F270" s="286">
        <v>6.0297780000000003</v>
      </c>
      <c r="G270" s="286">
        <v>9.7778240000000007</v>
      </c>
      <c r="H270" s="286">
        <v>1.8798060000000001</v>
      </c>
      <c r="I270" s="286">
        <v>7.2232349999999999</v>
      </c>
      <c r="J270" s="286">
        <v>25.332764000000001</v>
      </c>
      <c r="K270" s="286">
        <v>13.325202000000001</v>
      </c>
      <c r="L270" s="287">
        <v>2.3900000000000001E-2</v>
      </c>
      <c r="M270" s="288">
        <v>2</v>
      </c>
      <c r="N270" s="287">
        <v>8.0000000000000002E-3</v>
      </c>
    </row>
    <row r="271" spans="1:14">
      <c r="A271" s="285" t="s">
        <v>394</v>
      </c>
      <c r="B271" s="285" t="s">
        <v>486</v>
      </c>
      <c r="C271" s="286">
        <v>13.601865</v>
      </c>
      <c r="D271" s="286">
        <v>0.3656951</v>
      </c>
      <c r="E271" s="286">
        <v>20.858143999999999</v>
      </c>
      <c r="F271" s="286">
        <v>5.3779000000000003</v>
      </c>
      <c r="G271" s="286">
        <v>26.451111999999998</v>
      </c>
      <c r="H271" s="286">
        <v>0.95581400000000005</v>
      </c>
      <c r="I271" s="286">
        <v>6.8853739999999997</v>
      </c>
      <c r="J271" s="286">
        <v>15.980722</v>
      </c>
      <c r="K271" s="286">
        <v>12.196958</v>
      </c>
      <c r="L271" s="287">
        <v>7.4999999999999997E-3</v>
      </c>
      <c r="M271" s="288">
        <v>2</v>
      </c>
      <c r="N271" s="287">
        <v>3.3E-3</v>
      </c>
    </row>
    <row r="272" spans="1:14">
      <c r="A272" s="285" t="s">
        <v>395</v>
      </c>
      <c r="B272" s="285" t="s">
        <v>486</v>
      </c>
      <c r="C272" s="286">
        <v>35.991639999999997</v>
      </c>
      <c r="D272" s="286">
        <v>0.76400369999999995</v>
      </c>
      <c r="E272" s="286">
        <v>20.827497999999999</v>
      </c>
      <c r="F272" s="286">
        <v>5.159491</v>
      </c>
      <c r="G272" s="286">
        <v>-0.25363190000000002</v>
      </c>
      <c r="H272" s="286">
        <v>-0.38545639999999998</v>
      </c>
      <c r="I272" s="286">
        <v>6.0336590000000001</v>
      </c>
      <c r="J272" s="286">
        <v>10.129311</v>
      </c>
      <c r="K272" s="286">
        <v>15.400152</v>
      </c>
      <c r="L272" s="287">
        <v>6.9999999999999999E-4</v>
      </c>
      <c r="M272" s="288">
        <v>2</v>
      </c>
      <c r="N272" s="287">
        <v>4.0000000000000002E-4</v>
      </c>
    </row>
    <row r="273" spans="1:14">
      <c r="A273" s="285" t="s">
        <v>396</v>
      </c>
      <c r="B273" s="285" t="s">
        <v>486</v>
      </c>
      <c r="C273" s="286">
        <v>35.703901999999999</v>
      </c>
      <c r="D273" s="286">
        <v>0.69574159999999996</v>
      </c>
      <c r="E273" s="286">
        <v>21.415309000000001</v>
      </c>
      <c r="F273" s="286">
        <v>4.383292</v>
      </c>
      <c r="G273" s="286">
        <v>6.2664</v>
      </c>
      <c r="H273" s="286">
        <v>64.533580999999998</v>
      </c>
      <c r="I273" s="286">
        <v>8.7880439999999993</v>
      </c>
      <c r="J273" s="286">
        <v>16.709962999999998</v>
      </c>
      <c r="K273" s="286">
        <v>13.787029</v>
      </c>
      <c r="L273" s="287">
        <v>7.6399999999999996E-2</v>
      </c>
      <c r="M273" s="288">
        <v>2</v>
      </c>
      <c r="N273" s="287">
        <v>1.9400000000000001E-2</v>
      </c>
    </row>
    <row r="274" spans="1:14">
      <c r="A274" s="285" t="s">
        <v>198</v>
      </c>
      <c r="B274" s="285" t="s">
        <v>486</v>
      </c>
      <c r="C274" s="286">
        <v>21.689395000000001</v>
      </c>
      <c r="D274" s="286">
        <v>3.875508</v>
      </c>
      <c r="E274" s="286">
        <v>35.533580999999998</v>
      </c>
      <c r="F274" s="286">
        <v>0.6352061</v>
      </c>
      <c r="G274" s="286">
        <v>7.8749159999999998</v>
      </c>
      <c r="H274" s="286">
        <v>34.826149000000001</v>
      </c>
      <c r="I274" s="286">
        <v>7.2806699999999998</v>
      </c>
      <c r="J274" s="286">
        <v>13.441647</v>
      </c>
      <c r="K274" s="286">
        <v>13.611404</v>
      </c>
      <c r="L274" s="287">
        <v>3.8199999999999998E-2</v>
      </c>
      <c r="M274" s="288">
        <v>2</v>
      </c>
      <c r="N274" s="287">
        <v>7.7999999999999996E-3</v>
      </c>
    </row>
    <row r="275" spans="1:14">
      <c r="A275" s="285" t="s">
        <v>397</v>
      </c>
      <c r="B275" s="285" t="s">
        <v>486</v>
      </c>
      <c r="C275" s="286">
        <v>35.487572</v>
      </c>
      <c r="D275" s="286">
        <v>0.60826840000000004</v>
      </c>
      <c r="E275" s="286">
        <v>22.170192</v>
      </c>
      <c r="F275" s="286">
        <v>3.6942740000000001</v>
      </c>
      <c r="G275" s="286">
        <v>7.5688599999999999</v>
      </c>
      <c r="H275" s="286">
        <v>29.406459999999999</v>
      </c>
      <c r="I275" s="286">
        <v>7.2377149999999997</v>
      </c>
      <c r="J275" s="286">
        <v>13.776204</v>
      </c>
      <c r="K275" s="286">
        <v>13.530665000000001</v>
      </c>
      <c r="L275" s="287">
        <v>2.69E-2</v>
      </c>
      <c r="M275" s="288">
        <v>2</v>
      </c>
      <c r="N275" s="287">
        <v>4.7999999999999996E-3</v>
      </c>
    </row>
    <row r="276" spans="1:14">
      <c r="A276" s="285" t="s">
        <v>398</v>
      </c>
      <c r="B276" s="285" t="s">
        <v>486</v>
      </c>
      <c r="C276" s="286">
        <v>35.413347999999999</v>
      </c>
      <c r="D276" s="286">
        <v>0.58206780000000002</v>
      </c>
      <c r="E276" s="286">
        <v>22.542932</v>
      </c>
      <c r="F276" s="286">
        <v>3.5073789999999998</v>
      </c>
      <c r="G276" s="286">
        <v>8.5416729999999994</v>
      </c>
      <c r="H276" s="286">
        <v>14.589914</v>
      </c>
      <c r="I276" s="286">
        <v>6.0578139999999996</v>
      </c>
      <c r="J276" s="286">
        <v>26.449294999999999</v>
      </c>
      <c r="K276" s="286">
        <v>13.442247</v>
      </c>
      <c r="L276" s="287">
        <v>1.7999999999999999E-2</v>
      </c>
      <c r="M276" s="288">
        <v>2</v>
      </c>
      <c r="N276" s="287">
        <v>2.7000000000000001E-3</v>
      </c>
    </row>
    <row r="277" spans="1:14">
      <c r="A277" s="285" t="s">
        <v>399</v>
      </c>
      <c r="B277" s="285" t="s">
        <v>486</v>
      </c>
      <c r="C277" s="286">
        <v>12.528438</v>
      </c>
      <c r="D277" s="286">
        <v>16.738692</v>
      </c>
      <c r="E277" s="286">
        <v>3.3459479999999999</v>
      </c>
      <c r="F277" s="286">
        <v>45.634618000000003</v>
      </c>
      <c r="G277" s="286">
        <v>23.095172000000002</v>
      </c>
      <c r="H277" s="286">
        <v>3.4567899999999998</v>
      </c>
      <c r="I277" s="286">
        <v>35.615552000000001</v>
      </c>
      <c r="J277" s="286">
        <v>0.56283530000000004</v>
      </c>
      <c r="K277" s="286">
        <v>13.407546999999999</v>
      </c>
      <c r="L277" s="287">
        <v>1.52E-2</v>
      </c>
      <c r="M277" s="288">
        <v>2</v>
      </c>
      <c r="N277" s="287">
        <v>3.3E-3</v>
      </c>
    </row>
    <row r="278" spans="1:14">
      <c r="A278" s="285" t="s">
        <v>199</v>
      </c>
      <c r="B278" s="285" t="s">
        <v>486</v>
      </c>
      <c r="C278" s="286">
        <v>4.990964</v>
      </c>
      <c r="D278" s="286">
        <v>27.31765</v>
      </c>
      <c r="E278" s="286">
        <v>35.518284000000001</v>
      </c>
      <c r="F278" s="286">
        <v>0.56058110000000005</v>
      </c>
      <c r="G278" s="286">
        <v>22.639081000000001</v>
      </c>
      <c r="H278" s="286">
        <v>3.384366</v>
      </c>
      <c r="I278" s="286">
        <v>10.468152999999999</v>
      </c>
      <c r="J278" s="286">
        <v>14.648968999999999</v>
      </c>
      <c r="K278" s="286">
        <v>13.381847</v>
      </c>
      <c r="L278" s="287">
        <v>1.2699999999999999E-2</v>
      </c>
      <c r="M278" s="288">
        <v>2</v>
      </c>
      <c r="N278" s="287">
        <v>1.8E-3</v>
      </c>
    </row>
    <row r="279" spans="1:14">
      <c r="A279" s="285" t="s">
        <v>200</v>
      </c>
      <c r="B279" s="285" t="s">
        <v>486</v>
      </c>
      <c r="C279" s="286">
        <v>3.3122379999999998</v>
      </c>
      <c r="D279" s="286">
        <v>25.864801</v>
      </c>
      <c r="E279" s="286">
        <v>11.272629</v>
      </c>
      <c r="F279" s="286">
        <v>15.103996</v>
      </c>
      <c r="G279" s="286">
        <v>35.303423000000002</v>
      </c>
      <c r="H279" s="286">
        <v>0.55636300000000005</v>
      </c>
      <c r="I279" s="286">
        <v>22.768578000000002</v>
      </c>
      <c r="J279" s="286">
        <v>3.3120059999999998</v>
      </c>
      <c r="K279" s="286">
        <v>13.342841999999999</v>
      </c>
      <c r="L279" s="287">
        <v>1.0699999999999999E-2</v>
      </c>
      <c r="M279" s="288">
        <v>2</v>
      </c>
      <c r="N279" s="287">
        <v>1.1999999999999999E-3</v>
      </c>
    </row>
    <row r="280" spans="1:14">
      <c r="A280" s="285" t="s">
        <v>400</v>
      </c>
      <c r="B280" s="285" t="s">
        <v>486</v>
      </c>
      <c r="C280" s="286">
        <v>35.630955</v>
      </c>
      <c r="D280" s="286">
        <v>0.5401222</v>
      </c>
      <c r="E280" s="286">
        <v>22.672184999999999</v>
      </c>
      <c r="F280" s="286">
        <v>3.2699449999999999</v>
      </c>
      <c r="G280" s="286">
        <v>11.509838</v>
      </c>
      <c r="H280" s="286">
        <v>14.033559</v>
      </c>
      <c r="I280" s="286">
        <v>4.8652259999999998</v>
      </c>
      <c r="J280" s="286">
        <v>26.819823</v>
      </c>
      <c r="K280" s="286">
        <v>13.320266</v>
      </c>
      <c r="L280" s="287">
        <v>8.6999999999999994E-3</v>
      </c>
      <c r="M280" s="288">
        <v>2</v>
      </c>
      <c r="N280" s="287">
        <v>1.1999999999999999E-3</v>
      </c>
    </row>
    <row r="281" spans="1:14">
      <c r="A281" s="285" t="s">
        <v>201</v>
      </c>
      <c r="B281" s="285" t="s">
        <v>486</v>
      </c>
      <c r="C281" s="286">
        <v>35.420610000000003</v>
      </c>
      <c r="D281" s="286">
        <v>0.53609600000000002</v>
      </c>
      <c r="E281" s="286">
        <v>22.757064</v>
      </c>
      <c r="F281" s="286">
        <v>3.197781</v>
      </c>
      <c r="G281" s="286">
        <v>12.092028000000001</v>
      </c>
      <c r="H281" s="286">
        <v>14.267545</v>
      </c>
      <c r="I281" s="286">
        <v>3.4496069999999999</v>
      </c>
      <c r="J281" s="286">
        <v>25.152180999999999</v>
      </c>
      <c r="K281" s="286">
        <v>13.280468000000001</v>
      </c>
      <c r="L281" s="287">
        <v>6.8999999999999999E-3</v>
      </c>
      <c r="M281" s="288">
        <v>2</v>
      </c>
      <c r="N281" s="287">
        <v>6.9999999999999999E-4</v>
      </c>
    </row>
    <row r="282" spans="1:14">
      <c r="A282" s="285" t="s">
        <v>202</v>
      </c>
      <c r="B282" s="285" t="s">
        <v>486</v>
      </c>
      <c r="C282" s="286">
        <v>13.497393000000001</v>
      </c>
      <c r="D282" s="286">
        <v>14.739421999999999</v>
      </c>
      <c r="E282" s="286">
        <v>22.888759</v>
      </c>
      <c r="F282" s="286">
        <v>3.1145070000000001</v>
      </c>
      <c r="G282" s="286">
        <v>1.2219359999999999</v>
      </c>
      <c r="H282" s="286">
        <v>27.822272999999999</v>
      </c>
      <c r="I282" s="286">
        <v>35.160722999999997</v>
      </c>
      <c r="J282" s="286">
        <v>0.53117599999999998</v>
      </c>
      <c r="K282" s="286">
        <v>13.231738</v>
      </c>
      <c r="L282" s="287">
        <v>4.7999999999999996E-3</v>
      </c>
      <c r="M282" s="288">
        <v>2</v>
      </c>
      <c r="N282" s="287">
        <v>1E-3</v>
      </c>
    </row>
    <row r="283" spans="1:14">
      <c r="A283" s="285" t="s">
        <v>401</v>
      </c>
      <c r="B283" s="285" t="s">
        <v>486</v>
      </c>
      <c r="C283" s="286">
        <v>35.752598999999996</v>
      </c>
      <c r="D283" s="286">
        <v>0.52069339999999997</v>
      </c>
      <c r="E283" s="286">
        <v>22.699686</v>
      </c>
      <c r="F283" s="286">
        <v>3.1674769999999999</v>
      </c>
      <c r="G283" s="286">
        <v>12.267852</v>
      </c>
      <c r="H283" s="286">
        <v>13.279574999999999</v>
      </c>
      <c r="I283" s="286">
        <v>5.0198049999999999</v>
      </c>
      <c r="J283" s="286">
        <v>25.84694</v>
      </c>
      <c r="K283" s="286">
        <v>13.258542</v>
      </c>
      <c r="L283" s="287">
        <v>5.7999999999999996E-3</v>
      </c>
      <c r="M283" s="288">
        <v>2</v>
      </c>
      <c r="N283" s="287">
        <v>8.0000000000000004E-4</v>
      </c>
    </row>
    <row r="284" spans="1:14">
      <c r="A284" s="285" t="s">
        <v>203</v>
      </c>
      <c r="B284" s="285" t="s">
        <v>486</v>
      </c>
      <c r="C284" s="286">
        <v>3.8240099999999999</v>
      </c>
      <c r="D284" s="286">
        <v>23.999345000000002</v>
      </c>
      <c r="E284" s="286">
        <v>22.748591000000001</v>
      </c>
      <c r="F284" s="286">
        <v>3.0963069999999999</v>
      </c>
      <c r="G284" s="286">
        <v>35.548000000000002</v>
      </c>
      <c r="H284" s="286">
        <v>0.51687830000000001</v>
      </c>
      <c r="I284" s="286">
        <v>12.660743</v>
      </c>
      <c r="J284" s="286">
        <v>13.376778</v>
      </c>
      <c r="K284" s="286">
        <v>13.218389999999999</v>
      </c>
      <c r="L284" s="287">
        <v>4.1999999999999997E-3</v>
      </c>
      <c r="M284" s="288">
        <v>2</v>
      </c>
      <c r="N284" s="287">
        <v>5.0000000000000001E-4</v>
      </c>
    </row>
    <row r="285" spans="1:14">
      <c r="A285" s="285" t="s">
        <v>204</v>
      </c>
      <c r="B285" s="285" t="s">
        <v>486</v>
      </c>
      <c r="C285" s="286">
        <v>35.299537000000001</v>
      </c>
      <c r="D285" s="286">
        <v>0.51232619999999995</v>
      </c>
      <c r="E285" s="286">
        <v>22.848683000000001</v>
      </c>
      <c r="F285" s="286">
        <v>3.0163000000000002</v>
      </c>
      <c r="G285" s="286">
        <v>13.886951</v>
      </c>
      <c r="H285" s="286">
        <v>13.721354</v>
      </c>
      <c r="I285" s="286">
        <v>1.7945599999999999</v>
      </c>
      <c r="J285" s="286">
        <v>25.039217000000001</v>
      </c>
      <c r="K285" s="286">
        <v>13.170731999999999</v>
      </c>
      <c r="L285" s="287">
        <v>2.3999999999999998E-3</v>
      </c>
      <c r="M285" s="288">
        <v>2</v>
      </c>
      <c r="N285" s="287">
        <v>8.0000000000000004E-4</v>
      </c>
    </row>
    <row r="286" spans="1:14">
      <c r="A286" s="285" t="s">
        <v>205</v>
      </c>
      <c r="B286" s="285" t="s">
        <v>486</v>
      </c>
      <c r="C286" s="286">
        <v>22.952169000000001</v>
      </c>
      <c r="D286" s="286">
        <v>2.9212989999999999</v>
      </c>
      <c r="E286" s="286">
        <v>34.991194</v>
      </c>
      <c r="F286" s="286">
        <v>0.50658449999999999</v>
      </c>
      <c r="G286" s="286">
        <v>14.526783</v>
      </c>
      <c r="H286" s="286">
        <v>13.814586</v>
      </c>
      <c r="I286" s="286">
        <v>0.42210120000000001</v>
      </c>
      <c r="J286" s="286">
        <v>31.904063000000001</v>
      </c>
      <c r="K286" s="286">
        <v>13.108620999999999</v>
      </c>
      <c r="L286" s="287">
        <v>3.0000000000000001E-3</v>
      </c>
      <c r="M286" s="288">
        <v>1</v>
      </c>
      <c r="N286" s="287">
        <v>1.4E-3</v>
      </c>
    </row>
    <row r="287" spans="1:14">
      <c r="A287" s="285" t="s">
        <v>402</v>
      </c>
      <c r="B287" s="285" t="s">
        <v>486</v>
      </c>
      <c r="C287" s="286">
        <v>22.739926000000001</v>
      </c>
      <c r="D287" s="286">
        <v>3.0759729999999998</v>
      </c>
      <c r="E287" s="286">
        <v>35.87988</v>
      </c>
      <c r="F287" s="286">
        <v>0.50220609999999999</v>
      </c>
      <c r="G287" s="286">
        <v>5.2756970000000001</v>
      </c>
      <c r="H287" s="286">
        <v>24.751225000000002</v>
      </c>
      <c r="I287" s="286">
        <v>12.905860000000001</v>
      </c>
      <c r="J287" s="286">
        <v>12.520568000000001</v>
      </c>
      <c r="K287" s="286">
        <v>13.197056</v>
      </c>
      <c r="L287" s="287">
        <v>3.5999999999999999E-3</v>
      </c>
      <c r="M287" s="288">
        <v>2</v>
      </c>
      <c r="N287" s="287">
        <v>6.9999999999999999E-4</v>
      </c>
    </row>
    <row r="288" spans="1:14">
      <c r="A288" s="285" t="s">
        <v>206</v>
      </c>
      <c r="B288" s="285" t="s">
        <v>486</v>
      </c>
      <c r="C288" s="286">
        <v>13.126949</v>
      </c>
      <c r="D288" s="286">
        <v>12.519704000000001</v>
      </c>
      <c r="E288" s="286">
        <v>22.754587000000001</v>
      </c>
      <c r="F288" s="286">
        <v>3.005897</v>
      </c>
      <c r="G288" s="286">
        <v>35.681536000000001</v>
      </c>
      <c r="H288" s="286">
        <v>0.49860070000000001</v>
      </c>
      <c r="I288" s="286">
        <v>4.2798439999999998</v>
      </c>
      <c r="J288" s="286">
        <v>22.788049999999998</v>
      </c>
      <c r="K288" s="286">
        <v>13.156713</v>
      </c>
      <c r="L288" s="287">
        <v>2.3E-3</v>
      </c>
      <c r="M288" s="288">
        <v>2</v>
      </c>
      <c r="N288" s="287">
        <v>4.0000000000000002E-4</v>
      </c>
    </row>
    <row r="289" spans="1:14">
      <c r="A289" s="285" t="s">
        <v>207</v>
      </c>
      <c r="B289" s="285" t="s">
        <v>486</v>
      </c>
      <c r="C289" s="286">
        <v>35.444527999999998</v>
      </c>
      <c r="D289" s="286">
        <v>0.49439929999999999</v>
      </c>
      <c r="E289" s="286">
        <v>22.824414000000001</v>
      </c>
      <c r="F289" s="286">
        <v>2.928928</v>
      </c>
      <c r="G289" s="286">
        <v>14.146514</v>
      </c>
      <c r="H289" s="286">
        <v>12.759646</v>
      </c>
      <c r="I289" s="286">
        <v>2.4745490000000001</v>
      </c>
      <c r="J289" s="286">
        <v>22.828115</v>
      </c>
      <c r="K289" s="286">
        <v>13.110324</v>
      </c>
      <c r="L289" s="287">
        <v>1.4E-3</v>
      </c>
      <c r="M289" s="288">
        <v>1.34</v>
      </c>
      <c r="N289" s="287">
        <v>6.9999999999999999E-4</v>
      </c>
    </row>
    <row r="290" spans="1:14">
      <c r="A290" s="285" t="s">
        <v>208</v>
      </c>
      <c r="B290" s="285" t="s">
        <v>486</v>
      </c>
      <c r="C290" s="286">
        <v>35.156466000000002</v>
      </c>
      <c r="D290" s="286">
        <v>0.48924889999999999</v>
      </c>
      <c r="E290" s="286">
        <v>22.908051</v>
      </c>
      <c r="F290" s="286">
        <v>2.840309</v>
      </c>
      <c r="G290" s="286">
        <v>15.053864000000001</v>
      </c>
      <c r="H290" s="286">
        <v>12.911163</v>
      </c>
      <c r="I290" s="286">
        <v>0.83030839999999995</v>
      </c>
      <c r="J290" s="286">
        <v>26.193404000000001</v>
      </c>
      <c r="K290" s="286">
        <v>13.052078</v>
      </c>
      <c r="L290" s="287">
        <v>2.5000000000000001E-3</v>
      </c>
      <c r="M290" s="288">
        <v>1.03</v>
      </c>
      <c r="N290" s="287">
        <v>1.1999999999999999E-3</v>
      </c>
    </row>
    <row r="291" spans="1:14">
      <c r="A291" s="285" t="s">
        <v>209</v>
      </c>
      <c r="B291" s="285" t="s">
        <v>486</v>
      </c>
      <c r="C291" s="286">
        <v>15.073898</v>
      </c>
      <c r="D291" s="286">
        <v>12.755782</v>
      </c>
      <c r="E291" s="286">
        <v>34.799698999999997</v>
      </c>
      <c r="F291" s="286">
        <v>0.48266290000000001</v>
      </c>
      <c r="G291" s="286">
        <v>22.990494000000002</v>
      </c>
      <c r="H291" s="286">
        <v>2.7362160000000002</v>
      </c>
      <c r="I291" s="286">
        <v>0.162826</v>
      </c>
      <c r="J291" s="286">
        <v>37.739654000000002</v>
      </c>
      <c r="K291" s="286">
        <v>12.973985000000001</v>
      </c>
      <c r="L291" s="287">
        <v>4.0000000000000001E-3</v>
      </c>
      <c r="M291" s="288">
        <v>1.02</v>
      </c>
      <c r="N291" s="287">
        <v>1.9E-3</v>
      </c>
    </row>
    <row r="292" spans="1:14">
      <c r="A292" s="285" t="s">
        <v>403</v>
      </c>
      <c r="B292" s="285" t="s">
        <v>486</v>
      </c>
      <c r="C292" s="286">
        <v>22.805713999999998</v>
      </c>
      <c r="D292" s="286">
        <v>2.9942169999999999</v>
      </c>
      <c r="E292" s="286">
        <v>36.009954</v>
      </c>
      <c r="F292" s="286">
        <v>0.48455540000000002</v>
      </c>
      <c r="G292" s="286">
        <v>5.5557850000000002</v>
      </c>
      <c r="H292" s="286">
        <v>23.679113000000001</v>
      </c>
      <c r="I292" s="286">
        <v>13.491801000000001</v>
      </c>
      <c r="J292" s="286">
        <v>11.807169999999999</v>
      </c>
      <c r="K292" s="286">
        <v>13.135059</v>
      </c>
      <c r="L292" s="287">
        <v>2.0999999999999999E-3</v>
      </c>
      <c r="M292" s="288">
        <v>2</v>
      </c>
      <c r="N292" s="287">
        <v>5.9999999999999995E-4</v>
      </c>
    </row>
    <row r="293" spans="1:14">
      <c r="A293" s="285" t="s">
        <v>210</v>
      </c>
      <c r="B293" s="285" t="s">
        <v>486</v>
      </c>
      <c r="C293" s="286">
        <v>35.818111000000002</v>
      </c>
      <c r="D293" s="286">
        <v>0.48115010000000002</v>
      </c>
      <c r="E293" s="286">
        <v>4.739471</v>
      </c>
      <c r="F293" s="286">
        <v>21.660762999999999</v>
      </c>
      <c r="G293" s="286">
        <v>22.785087999999998</v>
      </c>
      <c r="H293" s="286">
        <v>2.9251179999999999</v>
      </c>
      <c r="I293" s="286">
        <v>13.562265</v>
      </c>
      <c r="J293" s="286">
        <v>11.732341</v>
      </c>
      <c r="K293" s="286">
        <v>13.094557999999999</v>
      </c>
      <c r="L293" s="287">
        <v>8.9999999999999998E-4</v>
      </c>
      <c r="M293" s="288">
        <v>2</v>
      </c>
      <c r="N293" s="287">
        <v>4.0000000000000002E-4</v>
      </c>
    </row>
    <row r="294" spans="1:14">
      <c r="A294" s="285" t="s">
        <v>211</v>
      </c>
      <c r="B294" s="285" t="s">
        <v>486</v>
      </c>
      <c r="C294" s="286">
        <v>35.592193999999999</v>
      </c>
      <c r="D294" s="286">
        <v>0.47727239999999999</v>
      </c>
      <c r="E294" s="286">
        <v>14.347968</v>
      </c>
      <c r="F294" s="286">
        <v>11.878385</v>
      </c>
      <c r="G294" s="286">
        <v>3.1874060000000002</v>
      </c>
      <c r="H294" s="286">
        <v>21.105395000000001</v>
      </c>
      <c r="I294" s="286">
        <v>22.823167000000002</v>
      </c>
      <c r="J294" s="286">
        <v>2.850752</v>
      </c>
      <c r="K294" s="286">
        <v>13.049441</v>
      </c>
      <c r="L294" s="287">
        <v>1.2999999999999999E-3</v>
      </c>
      <c r="M294" s="288">
        <v>1.38</v>
      </c>
      <c r="N294" s="287">
        <v>5.9999999999999995E-4</v>
      </c>
    </row>
    <row r="295" spans="1:14">
      <c r="A295" s="285" t="s">
        <v>212</v>
      </c>
      <c r="B295" s="285" t="s">
        <v>486</v>
      </c>
      <c r="C295" s="286">
        <v>1.430366</v>
      </c>
      <c r="D295" s="286">
        <v>22.569742000000002</v>
      </c>
      <c r="E295" s="286">
        <v>15.369225999999999</v>
      </c>
      <c r="F295" s="286">
        <v>12.040486</v>
      </c>
      <c r="G295" s="286">
        <v>35.322417000000002</v>
      </c>
      <c r="H295" s="286">
        <v>0.47263909999999998</v>
      </c>
      <c r="I295" s="286">
        <v>22.883897000000001</v>
      </c>
      <c r="J295" s="286">
        <v>2.7673420000000002</v>
      </c>
      <c r="K295" s="286">
        <v>12.994717</v>
      </c>
      <c r="L295" s="287">
        <v>2E-3</v>
      </c>
      <c r="M295" s="288">
        <v>1.06</v>
      </c>
      <c r="N295" s="287">
        <v>1E-3</v>
      </c>
    </row>
    <row r="296" spans="1:14">
      <c r="A296" s="285" t="s">
        <v>213</v>
      </c>
      <c r="B296" s="285" t="s">
        <v>486</v>
      </c>
      <c r="C296" s="286">
        <v>15.741804</v>
      </c>
      <c r="D296" s="286">
        <v>12.001314000000001</v>
      </c>
      <c r="E296" s="286">
        <v>34.994878999999997</v>
      </c>
      <c r="F296" s="286">
        <v>0.4668696</v>
      </c>
      <c r="G296" s="286">
        <v>22.948561000000002</v>
      </c>
      <c r="H296" s="286">
        <v>2.6716169999999999</v>
      </c>
      <c r="I296" s="286">
        <v>0.39185690000000001</v>
      </c>
      <c r="J296" s="286">
        <v>28.136323000000001</v>
      </c>
      <c r="K296" s="286">
        <v>12.923759</v>
      </c>
      <c r="L296" s="287">
        <v>3.3999999999999998E-3</v>
      </c>
      <c r="M296" s="288">
        <v>2</v>
      </c>
      <c r="N296" s="287">
        <v>1.5E-3</v>
      </c>
    </row>
    <row r="297" spans="1:14">
      <c r="A297" s="285" t="s">
        <v>404</v>
      </c>
      <c r="B297" s="285" t="s">
        <v>486</v>
      </c>
      <c r="C297" s="286">
        <v>36.304188000000003</v>
      </c>
      <c r="D297" s="286">
        <v>0.4708445</v>
      </c>
      <c r="E297" s="286">
        <v>23.074449999999999</v>
      </c>
      <c r="F297" s="286">
        <v>2.990516</v>
      </c>
      <c r="G297" s="286">
        <v>5.8111709999999999</v>
      </c>
      <c r="H297" s="286">
        <v>26.417465</v>
      </c>
      <c r="I297" s="286">
        <v>14.689318</v>
      </c>
      <c r="J297" s="286">
        <v>11.600315</v>
      </c>
      <c r="K297" s="286">
        <v>13.11646</v>
      </c>
      <c r="L297" s="287">
        <v>4.7000000000000002E-3</v>
      </c>
      <c r="M297" s="288">
        <v>0.11</v>
      </c>
      <c r="N297" s="287">
        <v>1.6000000000000001E-3</v>
      </c>
    </row>
    <row r="298" spans="1:14">
      <c r="A298" s="285" t="s">
        <v>214</v>
      </c>
      <c r="B298" s="285" t="s">
        <v>486</v>
      </c>
      <c r="C298" s="286">
        <v>22.903680000000001</v>
      </c>
      <c r="D298" s="286">
        <v>2.9208090000000002</v>
      </c>
      <c r="E298" s="286">
        <v>36.140028999999998</v>
      </c>
      <c r="F298" s="286">
        <v>0.46766479999999999</v>
      </c>
      <c r="G298" s="286">
        <v>5.827674</v>
      </c>
      <c r="H298" s="286">
        <v>22.680595</v>
      </c>
      <c r="I298" s="286">
        <v>14.054266999999999</v>
      </c>
      <c r="J298" s="286">
        <v>11.153547</v>
      </c>
      <c r="K298" s="286">
        <v>13.072533999999999</v>
      </c>
      <c r="L298" s="287">
        <v>1.9E-3</v>
      </c>
      <c r="M298" s="288">
        <v>0.12</v>
      </c>
      <c r="N298" s="287">
        <v>6.9999999999999999E-4</v>
      </c>
    </row>
    <row r="299" spans="1:14">
      <c r="A299" s="285" t="s">
        <v>215</v>
      </c>
      <c r="B299" s="285" t="s">
        <v>486</v>
      </c>
      <c r="C299" s="286">
        <v>35.954847000000001</v>
      </c>
      <c r="D299" s="286">
        <v>0.46444760000000002</v>
      </c>
      <c r="E299" s="286">
        <v>5.1694680000000002</v>
      </c>
      <c r="F299" s="286">
        <v>20.649228000000001</v>
      </c>
      <c r="G299" s="286">
        <v>22.845600999999998</v>
      </c>
      <c r="H299" s="286">
        <v>2.8525369999999999</v>
      </c>
      <c r="I299" s="286">
        <v>13.997586</v>
      </c>
      <c r="J299" s="286">
        <v>11.022068000000001</v>
      </c>
      <c r="K299" s="286">
        <v>13.031839</v>
      </c>
      <c r="L299" s="287">
        <v>6.9999999999999999E-4</v>
      </c>
      <c r="M299" s="288">
        <v>0.12</v>
      </c>
      <c r="N299" s="287">
        <v>4.0000000000000002E-4</v>
      </c>
    </row>
    <row r="300" spans="1:14">
      <c r="A300" s="285" t="s">
        <v>216</v>
      </c>
      <c r="B300" s="285" t="s">
        <v>486</v>
      </c>
      <c r="C300" s="286">
        <v>35.739590999999997</v>
      </c>
      <c r="D300" s="286">
        <v>0.46086559999999999</v>
      </c>
      <c r="E300" s="286">
        <v>22.849367999999998</v>
      </c>
      <c r="F300" s="286">
        <v>2.780357</v>
      </c>
      <c r="G300" s="286">
        <v>14.549905000000001</v>
      </c>
      <c r="H300" s="286">
        <v>11.085800000000001</v>
      </c>
      <c r="I300" s="286">
        <v>3.8732199999999999</v>
      </c>
      <c r="J300" s="286">
        <v>19.743369000000001</v>
      </c>
      <c r="K300" s="286">
        <v>12.987928</v>
      </c>
      <c r="L300" s="287">
        <v>1.1999999999999999E-3</v>
      </c>
      <c r="M300" s="288">
        <v>1.42</v>
      </c>
      <c r="N300" s="287">
        <v>5.0000000000000001E-4</v>
      </c>
    </row>
    <row r="301" spans="1:14">
      <c r="A301" s="285" t="s">
        <v>217</v>
      </c>
      <c r="B301" s="285" t="s">
        <v>486</v>
      </c>
      <c r="C301" s="286">
        <v>35.486334999999997</v>
      </c>
      <c r="D301" s="286">
        <v>0.45668370000000003</v>
      </c>
      <c r="E301" s="286">
        <v>22.883275000000001</v>
      </c>
      <c r="F301" s="286">
        <v>2.7011669999999999</v>
      </c>
      <c r="G301" s="286">
        <v>15.519278</v>
      </c>
      <c r="H301" s="286">
        <v>11.221012</v>
      </c>
      <c r="I301" s="286">
        <v>2.1752069999999999</v>
      </c>
      <c r="J301" s="286">
        <v>20.143892000000001</v>
      </c>
      <c r="K301" s="286">
        <v>12.936362000000001</v>
      </c>
      <c r="L301" s="287">
        <v>1.9E-3</v>
      </c>
      <c r="M301" s="288">
        <v>2</v>
      </c>
      <c r="N301" s="287">
        <v>8.0000000000000004E-4</v>
      </c>
    </row>
    <row r="302" spans="1:14">
      <c r="A302" s="285" t="s">
        <v>405</v>
      </c>
      <c r="B302" s="285" t="s">
        <v>486</v>
      </c>
      <c r="C302" s="286">
        <v>23.039345999999998</v>
      </c>
      <c r="D302" s="286">
        <v>2.8545739999999999</v>
      </c>
      <c r="E302" s="286">
        <v>36.268011000000001</v>
      </c>
      <c r="F302" s="286">
        <v>0.45146890000000001</v>
      </c>
      <c r="G302" s="286">
        <v>14.606953000000001</v>
      </c>
      <c r="H302" s="286">
        <v>10.562607</v>
      </c>
      <c r="I302" s="286">
        <v>6.0744429999999996</v>
      </c>
      <c r="J302" s="286">
        <v>21.770446</v>
      </c>
      <c r="K302" s="286">
        <v>13.009292</v>
      </c>
      <c r="L302" s="287">
        <v>2.0999999999999999E-3</v>
      </c>
      <c r="M302" s="288">
        <v>0.12</v>
      </c>
      <c r="N302" s="287">
        <v>6.9999999999999999E-4</v>
      </c>
    </row>
    <row r="303" spans="1:14">
      <c r="A303" s="285" t="s">
        <v>218</v>
      </c>
      <c r="B303" s="285" t="s">
        <v>486</v>
      </c>
      <c r="C303" s="286">
        <v>36.089616999999997</v>
      </c>
      <c r="D303" s="286">
        <v>0.44842680000000001</v>
      </c>
      <c r="E303" s="286">
        <v>22.941209000000001</v>
      </c>
      <c r="F303" s="286">
        <v>2.7870020000000002</v>
      </c>
      <c r="G303" s="286">
        <v>14.447927999999999</v>
      </c>
      <c r="H303" s="286">
        <v>10.387943</v>
      </c>
      <c r="I303" s="286">
        <v>5.5521099999999999</v>
      </c>
      <c r="J303" s="286">
        <v>19.753181000000001</v>
      </c>
      <c r="K303" s="286">
        <v>12.96832</v>
      </c>
      <c r="L303" s="287">
        <v>8.9999999999999998E-4</v>
      </c>
      <c r="M303" s="288">
        <v>0.12</v>
      </c>
      <c r="N303" s="287">
        <v>5.0000000000000001E-4</v>
      </c>
    </row>
    <row r="304" spans="1:14">
      <c r="A304" s="285" t="s">
        <v>406</v>
      </c>
      <c r="B304" s="285" t="s">
        <v>486</v>
      </c>
      <c r="C304" s="286">
        <v>15.155192</v>
      </c>
      <c r="D304" s="286">
        <v>10.032239000000001</v>
      </c>
      <c r="E304" s="286">
        <v>23.217879</v>
      </c>
      <c r="F304" s="286">
        <v>2.7945259999999998</v>
      </c>
      <c r="G304" s="286">
        <v>36.392355999999999</v>
      </c>
      <c r="H304" s="286">
        <v>0.43590800000000002</v>
      </c>
      <c r="I304" s="286">
        <v>6.2875670000000001</v>
      </c>
      <c r="J304" s="286">
        <v>20.948440999999999</v>
      </c>
      <c r="K304" s="286">
        <v>12.944910999999999</v>
      </c>
      <c r="L304" s="287">
        <v>2.2000000000000001E-3</v>
      </c>
      <c r="M304" s="288">
        <v>0.12</v>
      </c>
      <c r="N304" s="287">
        <v>8.0000000000000004E-4</v>
      </c>
    </row>
    <row r="305" spans="1:14">
      <c r="A305" s="285" t="s">
        <v>219</v>
      </c>
      <c r="B305" s="285" t="s">
        <v>486</v>
      </c>
      <c r="C305" s="286">
        <v>23.077059999999999</v>
      </c>
      <c r="D305" s="286">
        <v>2.7275710000000002</v>
      </c>
      <c r="E305" s="286">
        <v>14.918086000000001</v>
      </c>
      <c r="F305" s="286">
        <v>9.8251329999999992</v>
      </c>
      <c r="G305" s="286">
        <v>36.220872</v>
      </c>
      <c r="H305" s="286">
        <v>0.43302810000000003</v>
      </c>
      <c r="I305" s="286">
        <v>5.8794639999999996</v>
      </c>
      <c r="J305" s="286">
        <v>18.961586</v>
      </c>
      <c r="K305" s="286">
        <v>12.903549999999999</v>
      </c>
      <c r="L305" s="287">
        <v>1E-3</v>
      </c>
      <c r="M305" s="288">
        <v>0.13</v>
      </c>
      <c r="N305" s="287">
        <v>5.0000000000000001E-4</v>
      </c>
    </row>
    <row r="306" spans="1:14">
      <c r="A306" s="285" t="s">
        <v>407</v>
      </c>
      <c r="B306" s="285" t="s">
        <v>486</v>
      </c>
      <c r="C306" s="286">
        <v>36.662154999999998</v>
      </c>
      <c r="D306" s="286">
        <v>0.42384270000000002</v>
      </c>
      <c r="E306" s="286">
        <v>23.738944</v>
      </c>
      <c r="F306" s="286">
        <v>2.8094139999999999</v>
      </c>
      <c r="G306" s="286">
        <v>16.298549999999999</v>
      </c>
      <c r="H306" s="286">
        <v>9.9798930000000006</v>
      </c>
      <c r="I306" s="286">
        <v>6.3668399999999998</v>
      </c>
      <c r="J306" s="286">
        <v>23.288637000000001</v>
      </c>
      <c r="K306" s="286">
        <v>12.928979</v>
      </c>
      <c r="L306" s="287">
        <v>4.7999999999999996E-3</v>
      </c>
      <c r="M306" s="288">
        <v>0.12</v>
      </c>
      <c r="N306" s="287">
        <v>1.8E-3</v>
      </c>
    </row>
    <row r="307" spans="1:14">
      <c r="A307" s="285" t="s">
        <v>220</v>
      </c>
      <c r="B307" s="285" t="s">
        <v>486</v>
      </c>
      <c r="C307" s="286">
        <v>23.443062000000001</v>
      </c>
      <c r="D307" s="286">
        <v>2.7397770000000001</v>
      </c>
      <c r="E307" s="286">
        <v>36.511881000000002</v>
      </c>
      <c r="F307" s="286">
        <v>0.42093449999999999</v>
      </c>
      <c r="G307" s="286">
        <v>6.4645970000000004</v>
      </c>
      <c r="H307" s="286">
        <v>20.207574000000001</v>
      </c>
      <c r="I307" s="286">
        <v>15.699118</v>
      </c>
      <c r="J307" s="286">
        <v>9.5572970000000002</v>
      </c>
      <c r="K307" s="286">
        <v>12.879116</v>
      </c>
      <c r="L307" s="287">
        <v>2.3999999999999998E-3</v>
      </c>
      <c r="M307" s="288">
        <v>0.13</v>
      </c>
      <c r="N307" s="287">
        <v>8.9999999999999998E-4</v>
      </c>
    </row>
    <row r="308" spans="1:14">
      <c r="A308" s="285" t="s">
        <v>221</v>
      </c>
      <c r="B308" s="285" t="s">
        <v>486</v>
      </c>
      <c r="C308" s="286">
        <v>23.257175</v>
      </c>
      <c r="D308" s="286">
        <v>2.6734079999999998</v>
      </c>
      <c r="E308" s="286">
        <v>15.405771</v>
      </c>
      <c r="F308" s="286">
        <v>9.3262009999999993</v>
      </c>
      <c r="G308" s="286">
        <v>36.347428000000001</v>
      </c>
      <c r="H308" s="286">
        <v>0.41820439999999998</v>
      </c>
      <c r="I308" s="286">
        <v>6.1512919999999998</v>
      </c>
      <c r="J308" s="286">
        <v>18.259899000000001</v>
      </c>
      <c r="K308" s="286">
        <v>12.83722</v>
      </c>
      <c r="L308" s="287">
        <v>1.1999999999999999E-3</v>
      </c>
      <c r="M308" s="288">
        <v>0.13</v>
      </c>
      <c r="N308" s="287">
        <v>5.9999999999999995E-4</v>
      </c>
    </row>
    <row r="309" spans="1:14">
      <c r="A309" s="285" t="s">
        <v>408</v>
      </c>
      <c r="B309" s="285" t="s">
        <v>486</v>
      </c>
      <c r="C309" s="286">
        <v>36.770453000000003</v>
      </c>
      <c r="D309" s="286">
        <v>0.40934670000000001</v>
      </c>
      <c r="E309" s="286">
        <v>24.060213999999998</v>
      </c>
      <c r="F309" s="286">
        <v>2.7590379999999999</v>
      </c>
      <c r="G309" s="286">
        <v>6.4854599999999998</v>
      </c>
      <c r="H309" s="286">
        <v>22.469473000000001</v>
      </c>
      <c r="I309" s="286">
        <v>16.815033</v>
      </c>
      <c r="J309" s="286">
        <v>9.5474540000000001</v>
      </c>
      <c r="K309" s="286">
        <v>12.864255</v>
      </c>
      <c r="L309" s="287">
        <v>4.7999999999999996E-3</v>
      </c>
      <c r="M309" s="288">
        <v>0.12</v>
      </c>
      <c r="N309" s="287">
        <v>1.8E-3</v>
      </c>
    </row>
    <row r="310" spans="1:14">
      <c r="A310" s="285" t="s">
        <v>222</v>
      </c>
      <c r="B310" s="285" t="s">
        <v>486</v>
      </c>
      <c r="C310" s="286">
        <v>23.717129</v>
      </c>
      <c r="D310" s="286">
        <v>2.689527</v>
      </c>
      <c r="E310" s="286">
        <v>36.625732999999997</v>
      </c>
      <c r="F310" s="286">
        <v>0.40651409999999999</v>
      </c>
      <c r="G310" s="286">
        <v>6.6065379999999996</v>
      </c>
      <c r="H310" s="286">
        <v>19.538781</v>
      </c>
      <c r="I310" s="286">
        <v>16.236370999999998</v>
      </c>
      <c r="J310" s="286">
        <v>9.1314820000000001</v>
      </c>
      <c r="K310" s="286">
        <v>12.81188</v>
      </c>
      <c r="L310" s="287">
        <v>2.5000000000000001E-3</v>
      </c>
      <c r="M310" s="288">
        <v>0.13</v>
      </c>
      <c r="N310" s="287">
        <v>1E-3</v>
      </c>
    </row>
    <row r="311" spans="1:14">
      <c r="A311" s="285" t="s">
        <v>409</v>
      </c>
      <c r="B311" s="285" t="s">
        <v>486</v>
      </c>
      <c r="C311" s="286">
        <v>36.872107999999997</v>
      </c>
      <c r="D311" s="286">
        <v>0.39537810000000001</v>
      </c>
      <c r="E311" s="286">
        <v>17.316569000000001</v>
      </c>
      <c r="F311" s="286">
        <v>9.1584830000000004</v>
      </c>
      <c r="G311" s="286">
        <v>24.434273999999998</v>
      </c>
      <c r="H311" s="286">
        <v>2.7123539999999999</v>
      </c>
      <c r="I311" s="286">
        <v>6.5742060000000002</v>
      </c>
      <c r="J311" s="286">
        <v>21.735772999999998</v>
      </c>
      <c r="K311" s="286">
        <v>12.798204999999999</v>
      </c>
      <c r="L311" s="287">
        <v>4.8999999999999998E-3</v>
      </c>
      <c r="M311" s="288">
        <v>0.12</v>
      </c>
      <c r="N311" s="287">
        <v>1.9E-3</v>
      </c>
    </row>
    <row r="312" spans="1:14">
      <c r="A312" s="285" t="s">
        <v>223</v>
      </c>
      <c r="B312" s="285" t="s">
        <v>486</v>
      </c>
      <c r="C312" s="286">
        <v>24.042247</v>
      </c>
      <c r="D312" s="286">
        <v>2.6430929999999999</v>
      </c>
      <c r="E312" s="286">
        <v>36.733395000000002</v>
      </c>
      <c r="F312" s="286">
        <v>0.39261289999999999</v>
      </c>
      <c r="G312" s="286">
        <v>16.763628000000001</v>
      </c>
      <c r="H312" s="286">
        <v>8.7490869999999994</v>
      </c>
      <c r="I312" s="286">
        <v>6.7152900000000004</v>
      </c>
      <c r="J312" s="286">
        <v>18.933520000000001</v>
      </c>
      <c r="K312" s="286">
        <v>12.742978000000001</v>
      </c>
      <c r="L312" s="287">
        <v>2.5999999999999999E-3</v>
      </c>
      <c r="M312" s="288">
        <v>0.13</v>
      </c>
      <c r="N312" s="287">
        <v>1E-3</v>
      </c>
    </row>
    <row r="313" spans="1:14">
      <c r="A313" s="285" t="s">
        <v>410</v>
      </c>
      <c r="B313" s="285" t="s">
        <v>486</v>
      </c>
      <c r="C313" s="286">
        <v>36.966858999999999</v>
      </c>
      <c r="D313" s="286">
        <v>0.3819149</v>
      </c>
      <c r="E313" s="286">
        <v>17.800153000000002</v>
      </c>
      <c r="F313" s="286">
        <v>8.8073119999999996</v>
      </c>
      <c r="G313" s="286">
        <v>6.6360979999999996</v>
      </c>
      <c r="H313" s="286">
        <v>21.075264000000001</v>
      </c>
      <c r="I313" s="286">
        <v>24.861260000000001</v>
      </c>
      <c r="J313" s="286">
        <v>2.6687270000000001</v>
      </c>
      <c r="K313" s="286">
        <v>12.730947</v>
      </c>
      <c r="L313" s="287">
        <v>4.8999999999999998E-3</v>
      </c>
      <c r="M313" s="288">
        <v>0.13</v>
      </c>
      <c r="N313" s="287">
        <v>1.9E-3</v>
      </c>
    </row>
    <row r="314" spans="1:14">
      <c r="A314" s="285" t="s">
        <v>224</v>
      </c>
      <c r="B314" s="285" t="s">
        <v>486</v>
      </c>
      <c r="C314" s="286">
        <v>6.793952</v>
      </c>
      <c r="D314" s="286">
        <v>18.383748000000001</v>
      </c>
      <c r="E314" s="286">
        <v>24.419149999999998</v>
      </c>
      <c r="F314" s="286">
        <v>2.5998640000000002</v>
      </c>
      <c r="G314" s="286">
        <v>36.834589000000001</v>
      </c>
      <c r="H314" s="286">
        <v>0.3792082</v>
      </c>
      <c r="I314" s="286">
        <v>17.277284999999999</v>
      </c>
      <c r="J314" s="286">
        <v>8.4044849999999993</v>
      </c>
      <c r="K314" s="286">
        <v>12.672461999999999</v>
      </c>
      <c r="L314" s="287">
        <v>2.7000000000000001E-3</v>
      </c>
      <c r="M314" s="288">
        <v>0.13</v>
      </c>
      <c r="N314" s="287">
        <v>1.1000000000000001E-3</v>
      </c>
    </row>
    <row r="315" spans="1:14">
      <c r="A315" s="285" t="s">
        <v>411</v>
      </c>
      <c r="B315" s="285" t="s">
        <v>486</v>
      </c>
      <c r="C315" s="286">
        <v>25.341152999999998</v>
      </c>
      <c r="D315" s="286">
        <v>2.6276199999999998</v>
      </c>
      <c r="E315" s="286">
        <v>37.054648999999998</v>
      </c>
      <c r="F315" s="286">
        <v>0.36893490000000001</v>
      </c>
      <c r="G315" s="286">
        <v>18.262991</v>
      </c>
      <c r="H315" s="286">
        <v>8.4891550000000002</v>
      </c>
      <c r="I315" s="286">
        <v>6.6740259999999996</v>
      </c>
      <c r="J315" s="286">
        <v>20.477809000000001</v>
      </c>
      <c r="K315" s="286">
        <v>12.662455</v>
      </c>
      <c r="L315" s="287">
        <v>5.0000000000000001E-3</v>
      </c>
      <c r="M315" s="288">
        <v>0.13</v>
      </c>
      <c r="N315" s="287">
        <v>2E-3</v>
      </c>
    </row>
    <row r="316" spans="1:14">
      <c r="A316" s="285" t="s">
        <v>225</v>
      </c>
      <c r="B316" s="285" t="s">
        <v>486</v>
      </c>
      <c r="C316" s="286">
        <v>24.848443</v>
      </c>
      <c r="D316" s="286">
        <v>2.5593149999999998</v>
      </c>
      <c r="E316" s="286">
        <v>36.929250000000003</v>
      </c>
      <c r="F316" s="286">
        <v>0.36627660000000001</v>
      </c>
      <c r="G316" s="286">
        <v>17.773862999999999</v>
      </c>
      <c r="H316" s="286">
        <v>8.092905</v>
      </c>
      <c r="I316" s="286">
        <v>6.8455599999999999</v>
      </c>
      <c r="J316" s="286">
        <v>17.882577000000001</v>
      </c>
      <c r="K316" s="286">
        <v>12.600235</v>
      </c>
      <c r="L316" s="287">
        <v>2.8E-3</v>
      </c>
      <c r="M316" s="288">
        <v>0.13</v>
      </c>
      <c r="N316" s="287">
        <v>1.1999999999999999E-3</v>
      </c>
    </row>
    <row r="317" spans="1:14">
      <c r="A317" s="285" t="s">
        <v>412</v>
      </c>
      <c r="B317" s="285" t="s">
        <v>486</v>
      </c>
      <c r="C317" s="286">
        <v>6.8732430000000004</v>
      </c>
      <c r="D317" s="286">
        <v>17.424009999999999</v>
      </c>
      <c r="E317" s="286">
        <v>25.330054000000001</v>
      </c>
      <c r="F317" s="286">
        <v>2.5209869999999999</v>
      </c>
      <c r="G317" s="286">
        <v>37.017474999999997</v>
      </c>
      <c r="H317" s="286">
        <v>0.35379870000000002</v>
      </c>
      <c r="I317" s="286">
        <v>18.250247999999999</v>
      </c>
      <c r="J317" s="286">
        <v>7.8101180000000001</v>
      </c>
      <c r="K317" s="286">
        <v>12.526255000000001</v>
      </c>
      <c r="L317" s="287">
        <v>2.8999999999999998E-3</v>
      </c>
      <c r="M317" s="288">
        <v>0.14000000000000001</v>
      </c>
      <c r="N317" s="287">
        <v>1.1999999999999999E-3</v>
      </c>
    </row>
    <row r="318" spans="1:14">
      <c r="A318" s="285" t="s">
        <v>413</v>
      </c>
      <c r="B318" s="285" t="s">
        <v>486</v>
      </c>
      <c r="C318" s="286">
        <v>18.367117</v>
      </c>
      <c r="D318" s="286">
        <v>7.272691</v>
      </c>
      <c r="E318" s="286">
        <v>36.979700000000001</v>
      </c>
      <c r="F318" s="286">
        <v>0.33966760000000001</v>
      </c>
      <c r="G318" s="286">
        <v>6.8679480000000002</v>
      </c>
      <c r="H318" s="286">
        <v>15.303641000000001</v>
      </c>
      <c r="I318" s="286">
        <v>25.383251999999999</v>
      </c>
      <c r="J318" s="286">
        <v>2.4230450000000001</v>
      </c>
      <c r="K318" s="286">
        <v>12.400256000000001</v>
      </c>
      <c r="L318" s="287">
        <v>1.8E-3</v>
      </c>
      <c r="M318" s="288">
        <v>0.14000000000000001</v>
      </c>
      <c r="N318" s="287">
        <v>8.0000000000000004E-4</v>
      </c>
    </row>
    <row r="319" spans="1:14">
      <c r="A319" s="285" t="s">
        <v>414</v>
      </c>
      <c r="B319" s="285" t="s">
        <v>486</v>
      </c>
      <c r="C319" s="286">
        <v>25.464334000000001</v>
      </c>
      <c r="D319" s="286">
        <v>2.330784</v>
      </c>
      <c r="E319" s="286">
        <v>36.939689999999999</v>
      </c>
      <c r="F319" s="286">
        <v>0.32633139999999999</v>
      </c>
      <c r="G319" s="286">
        <v>18.5578</v>
      </c>
      <c r="H319" s="286">
        <v>6.8176829999999997</v>
      </c>
      <c r="I319" s="286">
        <v>6.7574079999999999</v>
      </c>
      <c r="J319" s="286">
        <v>13.695245</v>
      </c>
      <c r="K319" s="286">
        <v>12.279623000000001</v>
      </c>
      <c r="L319" s="287">
        <v>1.1999999999999999E-3</v>
      </c>
      <c r="M319" s="288">
        <v>0.15</v>
      </c>
      <c r="N319" s="287">
        <v>5.9999999999999995E-4</v>
      </c>
    </row>
    <row r="320" spans="1:14">
      <c r="A320" s="285" t="s">
        <v>415</v>
      </c>
      <c r="B320" s="285" t="s">
        <v>486</v>
      </c>
      <c r="C320" s="286">
        <v>36.897629000000002</v>
      </c>
      <c r="D320" s="286">
        <v>0.31370369999999997</v>
      </c>
      <c r="E320" s="286">
        <v>6.5911879999999998</v>
      </c>
      <c r="F320" s="286">
        <v>12.410888</v>
      </c>
      <c r="G320" s="286">
        <v>25.555809</v>
      </c>
      <c r="H320" s="286">
        <v>2.2431100000000002</v>
      </c>
      <c r="I320" s="286">
        <v>18.791625</v>
      </c>
      <c r="J320" s="286">
        <v>6.4178829999999998</v>
      </c>
      <c r="K320" s="286">
        <v>12.162969</v>
      </c>
      <c r="L320" s="287">
        <v>8.0000000000000004E-4</v>
      </c>
      <c r="M320" s="288">
        <v>0.16</v>
      </c>
      <c r="N320" s="287">
        <v>4.0000000000000002E-4</v>
      </c>
    </row>
    <row r="321" spans="1:14">
      <c r="A321" s="285" t="s">
        <v>416</v>
      </c>
      <c r="B321" s="285" t="s">
        <v>486</v>
      </c>
      <c r="C321" s="286">
        <v>25.648755000000001</v>
      </c>
      <c r="D321" s="286">
        <v>2.1595589999999998</v>
      </c>
      <c r="E321" s="286">
        <v>36.854117000000002</v>
      </c>
      <c r="F321" s="286">
        <v>0.30173250000000001</v>
      </c>
      <c r="G321" s="286">
        <v>6.3971359999999997</v>
      </c>
      <c r="H321" s="286">
        <v>11.350068</v>
      </c>
      <c r="I321" s="286">
        <v>19.049610999999999</v>
      </c>
      <c r="J321" s="286">
        <v>6.0588980000000001</v>
      </c>
      <c r="K321" s="286">
        <v>12.04984</v>
      </c>
      <c r="L321" s="287">
        <v>5.9999999999999995E-4</v>
      </c>
      <c r="M321" s="288">
        <v>2</v>
      </c>
      <c r="N321" s="287">
        <v>2.9999999999999997E-4</v>
      </c>
    </row>
    <row r="322" spans="1:14">
      <c r="A322" s="285" t="s">
        <v>417</v>
      </c>
      <c r="B322" s="285" t="s">
        <v>486</v>
      </c>
      <c r="C322" s="286">
        <v>36.809838999999997</v>
      </c>
      <c r="D322" s="286">
        <v>0.29038849999999999</v>
      </c>
      <c r="E322" s="286">
        <v>25.737594999999999</v>
      </c>
      <c r="F322" s="286">
        <v>2.0799259999999999</v>
      </c>
      <c r="G322" s="286">
        <v>19.319230000000001</v>
      </c>
      <c r="H322" s="286">
        <v>5.7321010000000001</v>
      </c>
      <c r="I322" s="286">
        <v>6.1923180000000002</v>
      </c>
      <c r="J322" s="286">
        <v>10.452544</v>
      </c>
      <c r="K322" s="286">
        <v>11.940638</v>
      </c>
      <c r="L322" s="287">
        <v>5.9999999999999995E-4</v>
      </c>
      <c r="M322" s="288">
        <v>2</v>
      </c>
      <c r="N322" s="287">
        <v>2.0000000000000001E-4</v>
      </c>
    </row>
    <row r="323" spans="1:14">
      <c r="A323" s="285" t="s">
        <v>418</v>
      </c>
      <c r="B323" s="285" t="s">
        <v>486</v>
      </c>
      <c r="C323" s="286">
        <v>32.972605000000001</v>
      </c>
      <c r="D323" s="286">
        <v>2.006167</v>
      </c>
      <c r="E323" s="286">
        <v>8.9661340000000003</v>
      </c>
      <c r="F323" s="286">
        <v>22.648036999999999</v>
      </c>
      <c r="G323" s="286">
        <v>19.344193000000001</v>
      </c>
      <c r="H323" s="286">
        <v>8.1266850000000002</v>
      </c>
      <c r="I323" s="286">
        <v>36.255291</v>
      </c>
      <c r="J323" s="286">
        <v>0.26468770000000003</v>
      </c>
      <c r="K323" s="286">
        <v>12.449930999999999</v>
      </c>
      <c r="L323" s="287">
        <v>1.24E-2</v>
      </c>
      <c r="M323" s="288">
        <v>0.13</v>
      </c>
      <c r="N323" s="287">
        <v>5.4000000000000003E-3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B403-65AE-4B48-B62A-67933CC6BBDF}">
  <dimension ref="A1:Q323"/>
  <sheetViews>
    <sheetView workbookViewId="0">
      <selection activeCell="N4" sqref="N4:P4"/>
    </sheetView>
  </sheetViews>
  <sheetFormatPr defaultRowHeight="15"/>
  <cols>
    <col min="1" max="2" width="9.140625" style="285"/>
    <col min="3" max="3" width="15.42578125" style="264" bestFit="1" customWidth="1"/>
    <col min="4" max="4" width="15.140625" style="264" bestFit="1" customWidth="1"/>
    <col min="5" max="5" width="15.42578125" style="264" bestFit="1" customWidth="1"/>
    <col min="6" max="6" width="15.140625" style="264" bestFit="1" customWidth="1"/>
    <col min="7" max="13" width="15.42578125" style="264" bestFit="1" customWidth="1"/>
    <col min="14" max="14" width="10.42578125" style="285" customWidth="1"/>
    <col min="15" max="15" width="11" style="285" customWidth="1"/>
    <col min="16" max="16" width="10.85546875" style="285" customWidth="1"/>
  </cols>
  <sheetData>
    <row r="1" spans="1:17">
      <c r="A1" s="289" t="s">
        <v>493</v>
      </c>
    </row>
    <row r="2" spans="1:17">
      <c r="B2" s="285" t="s">
        <v>494</v>
      </c>
    </row>
    <row r="4" spans="1:17">
      <c r="A4" s="289" t="s">
        <v>499</v>
      </c>
      <c r="B4" s="289" t="s">
        <v>307</v>
      </c>
      <c r="C4" s="82" t="s">
        <v>475</v>
      </c>
      <c r="D4" s="82" t="s">
        <v>476</v>
      </c>
      <c r="E4" s="82" t="s">
        <v>477</v>
      </c>
      <c r="F4" s="82" t="s">
        <v>478</v>
      </c>
      <c r="G4" s="82" t="s">
        <v>479</v>
      </c>
      <c r="H4" s="82" t="s">
        <v>480</v>
      </c>
      <c r="I4" s="82" t="s">
        <v>481</v>
      </c>
      <c r="J4" s="82" t="s">
        <v>482</v>
      </c>
      <c r="K4" s="82" t="s">
        <v>491</v>
      </c>
      <c r="L4" s="82" t="s">
        <v>492</v>
      </c>
      <c r="M4" s="82" t="s">
        <v>483</v>
      </c>
      <c r="N4" s="82" t="s">
        <v>489</v>
      </c>
      <c r="O4" s="82" t="s">
        <v>484</v>
      </c>
      <c r="P4" s="82" t="s">
        <v>490</v>
      </c>
      <c r="Q4" t="s">
        <v>485</v>
      </c>
    </row>
    <row r="6" spans="1:17">
      <c r="A6" s="285" t="s">
        <v>2</v>
      </c>
      <c r="B6" s="285" t="s">
        <v>486</v>
      </c>
      <c r="C6" s="290">
        <v>0.70693170000000005</v>
      </c>
      <c r="D6" s="290">
        <v>3.3778920000000001</v>
      </c>
      <c r="E6" s="290">
        <v>0.3690329</v>
      </c>
      <c r="F6" s="290">
        <v>6.6726840000000003</v>
      </c>
      <c r="G6" s="290">
        <v>0.24716340000000001</v>
      </c>
      <c r="H6" s="290">
        <v>0.51794720000000005</v>
      </c>
      <c r="I6" s="290">
        <v>5.004045E-2</v>
      </c>
      <c r="J6" s="290">
        <v>12.828165</v>
      </c>
      <c r="K6" s="290">
        <v>0.61503730000000001</v>
      </c>
      <c r="L6" s="290">
        <v>1.531579</v>
      </c>
      <c r="M6" s="290">
        <v>1.1791609999999999E-2</v>
      </c>
      <c r="N6" s="287">
        <v>0</v>
      </c>
      <c r="O6" s="288">
        <v>2</v>
      </c>
      <c r="P6" s="287">
        <v>0</v>
      </c>
    </row>
    <row r="7" spans="1:17">
      <c r="A7" s="285" t="s">
        <v>298</v>
      </c>
      <c r="B7" s="285" t="s">
        <v>486</v>
      </c>
      <c r="C7" s="290">
        <v>0.38857730000000001</v>
      </c>
      <c r="D7" s="290">
        <v>0.37954700000000002</v>
      </c>
      <c r="E7" s="290">
        <v>0.61084020000000006</v>
      </c>
      <c r="F7" s="290">
        <v>2.3111700000000002</v>
      </c>
      <c r="G7" s="290">
        <v>1.7770149999999998E-2</v>
      </c>
      <c r="H7" s="290">
        <v>7.7290390000000002</v>
      </c>
      <c r="I7" s="290">
        <v>0.20800170000000001</v>
      </c>
      <c r="J7" s="290">
        <v>4.2985920000000002</v>
      </c>
      <c r="K7" s="290">
        <v>0.75312179999999995</v>
      </c>
      <c r="L7" s="290">
        <v>1.0958190000000001</v>
      </c>
      <c r="M7" s="290">
        <v>2.1688599999999999E-2</v>
      </c>
      <c r="N7" s="287">
        <v>0</v>
      </c>
      <c r="O7" s="288">
        <v>2</v>
      </c>
      <c r="P7" s="287">
        <v>0</v>
      </c>
    </row>
    <row r="8" spans="1:17">
      <c r="A8" s="285" t="s">
        <v>3</v>
      </c>
      <c r="B8" s="285" t="s">
        <v>486</v>
      </c>
      <c r="C8" s="290">
        <v>0.72451109999999996</v>
      </c>
      <c r="D8" s="290">
        <v>39.549107999999997</v>
      </c>
      <c r="E8" s="290">
        <v>1.036864</v>
      </c>
      <c r="F8" s="290">
        <v>0.4824447</v>
      </c>
      <c r="G8" s="290">
        <v>1.508389</v>
      </c>
      <c r="H8" s="290">
        <v>19.009146000000001</v>
      </c>
      <c r="I8" s="290">
        <v>0.88932330000000004</v>
      </c>
      <c r="J8" s="290">
        <v>1.531833</v>
      </c>
      <c r="K8" s="290">
        <v>-0.2429277</v>
      </c>
      <c r="L8" s="290">
        <v>3.6656629999999999</v>
      </c>
      <c r="M8" s="290">
        <v>8.358749E-2</v>
      </c>
      <c r="N8" s="287">
        <v>2.9999999999999997E-4</v>
      </c>
      <c r="O8" s="288">
        <v>0.09</v>
      </c>
      <c r="P8" s="287">
        <v>1E-4</v>
      </c>
    </row>
    <row r="9" spans="1:17">
      <c r="A9" s="285" t="s">
        <v>4</v>
      </c>
      <c r="B9" s="285" t="s">
        <v>486</v>
      </c>
      <c r="C9" s="290">
        <v>0.8991787</v>
      </c>
      <c r="D9" s="290">
        <v>1.396963</v>
      </c>
      <c r="E9" s="290">
        <v>0.82413550000000002</v>
      </c>
      <c r="F9" s="290">
        <v>16.149411000000001</v>
      </c>
      <c r="G9" s="290">
        <v>0.94407490000000005</v>
      </c>
      <c r="H9" s="290">
        <v>0.45294390000000001</v>
      </c>
      <c r="I9" s="290">
        <v>0.34432390000000002</v>
      </c>
      <c r="J9" s="290">
        <v>30.645287</v>
      </c>
      <c r="K9" s="290">
        <v>-8.5949860000000003E-2</v>
      </c>
      <c r="L9" s="290">
        <v>5.1390500000000001</v>
      </c>
      <c r="M9" s="290">
        <v>7.4180079999999995E-2</v>
      </c>
      <c r="N9" s="287">
        <v>1E-4</v>
      </c>
      <c r="O9" s="288">
        <v>2</v>
      </c>
      <c r="P9" s="287">
        <v>0</v>
      </c>
    </row>
    <row r="10" spans="1:17">
      <c r="A10" s="285" t="s">
        <v>5</v>
      </c>
      <c r="B10" s="285" t="s">
        <v>486</v>
      </c>
      <c r="C10" s="290">
        <v>0.82317280000000004</v>
      </c>
      <c r="D10" s="290">
        <v>0.82556430000000003</v>
      </c>
      <c r="E10" s="290">
        <v>0.11961769999999999</v>
      </c>
      <c r="F10" s="290">
        <v>3.0718559999999999</v>
      </c>
      <c r="G10" s="290">
        <v>0.51409939999999998</v>
      </c>
      <c r="H10" s="290">
        <v>0.28946539999999998</v>
      </c>
      <c r="I10" s="290">
        <v>0.50411470000000003</v>
      </c>
      <c r="J10" s="290">
        <v>1.702617</v>
      </c>
      <c r="K10" s="290">
        <v>6.7652459999999999E-3</v>
      </c>
      <c r="L10" s="290">
        <v>5.3219399999999997</v>
      </c>
      <c r="M10" s="290">
        <v>3.2230149999999999E-2</v>
      </c>
      <c r="N10" s="287">
        <v>0</v>
      </c>
      <c r="O10" s="288">
        <v>2</v>
      </c>
      <c r="P10" s="287">
        <v>0</v>
      </c>
    </row>
    <row r="11" spans="1:17">
      <c r="A11" s="285" t="s">
        <v>6</v>
      </c>
      <c r="B11" s="285" t="s">
        <v>486</v>
      </c>
      <c r="C11" s="290">
        <v>2.0976729999999999</v>
      </c>
      <c r="D11" s="290">
        <v>12.684956</v>
      </c>
      <c r="E11" s="290">
        <v>-8.0047630000000005</v>
      </c>
      <c r="F11" s="290">
        <v>1.1070549999999999</v>
      </c>
      <c r="G11" s="290">
        <v>9.0485530000000001</v>
      </c>
      <c r="H11" s="290">
        <v>1.0582039999999999</v>
      </c>
      <c r="I11" s="290">
        <v>1.1039909999999999</v>
      </c>
      <c r="J11" s="290">
        <v>28.605916000000001</v>
      </c>
      <c r="K11" s="290">
        <v>0.89334400000000003</v>
      </c>
      <c r="L11" s="290">
        <v>0.1552501</v>
      </c>
      <c r="M11" s="290">
        <v>-0.13952149999999999</v>
      </c>
      <c r="N11" s="287">
        <v>8.0000000000000004E-4</v>
      </c>
      <c r="O11" s="288">
        <v>0.11</v>
      </c>
      <c r="P11" s="287">
        <v>2.9999999999999997E-4</v>
      </c>
    </row>
    <row r="12" spans="1:17">
      <c r="A12" s="285" t="s">
        <v>7</v>
      </c>
      <c r="B12" s="285" t="s">
        <v>486</v>
      </c>
      <c r="C12" s="290">
        <v>1.5840909999999999</v>
      </c>
      <c r="D12" s="290">
        <v>11.329635</v>
      </c>
      <c r="E12" s="290">
        <v>14.290265</v>
      </c>
      <c r="F12" s="290">
        <v>1.5876669999999999</v>
      </c>
      <c r="G12" s="290">
        <v>0.68509489999999995</v>
      </c>
      <c r="H12" s="290">
        <v>22.538672999999999</v>
      </c>
      <c r="I12" s="290">
        <v>1.2228250000000001</v>
      </c>
      <c r="J12" s="290">
        <v>0.37766709999999998</v>
      </c>
      <c r="K12" s="290">
        <v>-13.889970999999999</v>
      </c>
      <c r="L12" s="290">
        <v>1.6248039999999999</v>
      </c>
      <c r="M12" s="290">
        <v>0.1075291</v>
      </c>
      <c r="N12" s="287">
        <v>2.0000000000000001E-4</v>
      </c>
      <c r="O12" s="288">
        <v>0.12</v>
      </c>
      <c r="P12" s="287">
        <v>1E-4</v>
      </c>
    </row>
    <row r="13" spans="1:17">
      <c r="A13" s="285" t="s">
        <v>8</v>
      </c>
      <c r="B13" s="285" t="s">
        <v>486</v>
      </c>
      <c r="C13" s="290">
        <v>13.618843</v>
      </c>
      <c r="D13" s="290">
        <v>1.5096989999999999</v>
      </c>
      <c r="E13" s="290">
        <v>0.85559160000000001</v>
      </c>
      <c r="F13" s="290">
        <v>10.154191000000001</v>
      </c>
      <c r="G13" s="290">
        <v>-13.082267</v>
      </c>
      <c r="H13" s="290">
        <v>1.537209</v>
      </c>
      <c r="I13" s="290">
        <v>0.3113824</v>
      </c>
      <c r="J13" s="290">
        <v>18.924923</v>
      </c>
      <c r="K13" s="290">
        <v>1.188342</v>
      </c>
      <c r="L13" s="290">
        <v>0.38027230000000001</v>
      </c>
      <c r="M13" s="290">
        <v>0.10807020000000001</v>
      </c>
      <c r="N13" s="287">
        <v>0</v>
      </c>
      <c r="O13" s="288">
        <v>0.13</v>
      </c>
      <c r="P13" s="287">
        <v>0</v>
      </c>
    </row>
    <row r="14" spans="1:17">
      <c r="A14" s="285" t="s">
        <v>9</v>
      </c>
      <c r="B14" s="285" t="s">
        <v>486</v>
      </c>
      <c r="C14" s="290">
        <v>0.1684532</v>
      </c>
      <c r="D14" s="290">
        <v>1.9130659999999999</v>
      </c>
      <c r="E14" s="290">
        <v>8.8810480000000008E-3</v>
      </c>
      <c r="F14" s="290">
        <v>3.4454120000000001</v>
      </c>
      <c r="G14" s="290">
        <v>0.70091709999999996</v>
      </c>
      <c r="H14" s="290">
        <v>0.97681169999999995</v>
      </c>
      <c r="I14" s="290">
        <v>0.94161110000000003</v>
      </c>
      <c r="J14" s="290">
        <v>0.38542270000000001</v>
      </c>
      <c r="K14" s="290">
        <v>-0.49033460000000001</v>
      </c>
      <c r="L14" s="290">
        <v>-1.8273250000000001E-2</v>
      </c>
      <c r="M14" s="290">
        <v>0.67047210000000002</v>
      </c>
      <c r="N14" s="287">
        <v>0</v>
      </c>
      <c r="O14" s="288">
        <v>2</v>
      </c>
      <c r="P14" s="287">
        <v>0</v>
      </c>
    </row>
    <row r="15" spans="1:17">
      <c r="A15" s="285" t="s">
        <v>306</v>
      </c>
      <c r="B15" s="285" t="s">
        <v>486</v>
      </c>
      <c r="C15" s="290">
        <v>2.0400839999999998</v>
      </c>
      <c r="D15" s="290">
        <v>26.451388999999999</v>
      </c>
      <c r="E15" s="290">
        <v>0.79776049999999998</v>
      </c>
      <c r="F15" s="290">
        <v>0.97984859999999996</v>
      </c>
      <c r="G15" s="290">
        <v>0.61162079999999996</v>
      </c>
      <c r="H15" s="290">
        <v>63.166029999999999</v>
      </c>
      <c r="I15" s="290">
        <v>1.4707349999999999</v>
      </c>
      <c r="J15" s="290">
        <v>11.407532</v>
      </c>
      <c r="K15" s="290">
        <v>0.98847419999999997</v>
      </c>
      <c r="L15" s="290">
        <v>0.3364955</v>
      </c>
      <c r="M15" s="290">
        <v>9.0972750000000005E-2</v>
      </c>
      <c r="N15" s="287">
        <v>4.0000000000000002E-4</v>
      </c>
      <c r="O15" s="288">
        <v>7.0000000000000007E-2</v>
      </c>
      <c r="P15" s="287">
        <v>1E-4</v>
      </c>
    </row>
    <row r="16" spans="1:17">
      <c r="A16" s="285" t="s">
        <v>10</v>
      </c>
      <c r="B16" s="285" t="s">
        <v>486</v>
      </c>
      <c r="C16" s="290">
        <v>0.21561150000000001</v>
      </c>
      <c r="D16" s="290">
        <v>35.860284999999998</v>
      </c>
      <c r="E16" s="290">
        <v>1.5672619999999999</v>
      </c>
      <c r="F16" s="290">
        <v>0.41520000000000001</v>
      </c>
      <c r="G16" s="290">
        <v>2.1656110000000002</v>
      </c>
      <c r="H16" s="290">
        <v>8.1942050000000002</v>
      </c>
      <c r="I16" s="290">
        <v>1.81914</v>
      </c>
      <c r="J16" s="290">
        <v>17.353999000000002</v>
      </c>
      <c r="K16" s="290">
        <v>-5.8920159999999998E-10</v>
      </c>
      <c r="L16" s="290">
        <v>-3.7551510000000001</v>
      </c>
      <c r="M16" s="290">
        <v>0.23240549999999999</v>
      </c>
      <c r="N16" s="287">
        <v>2.9999999999999997E-4</v>
      </c>
      <c r="O16" s="288">
        <v>1.1100000000000001</v>
      </c>
      <c r="P16" s="287">
        <v>1E-4</v>
      </c>
    </row>
    <row r="17" spans="1:16">
      <c r="A17" s="285" t="s">
        <v>11</v>
      </c>
      <c r="B17" s="285" t="s">
        <v>486</v>
      </c>
      <c r="C17" s="290">
        <v>1.577863</v>
      </c>
      <c r="D17" s="290">
        <v>0.40712910000000002</v>
      </c>
      <c r="E17" s="290">
        <v>256.47253599999999</v>
      </c>
      <c r="F17" s="290">
        <v>5.8476650000000001</v>
      </c>
      <c r="G17" s="290">
        <v>0.15468190000000001</v>
      </c>
      <c r="H17" s="290">
        <v>26.263798999999999</v>
      </c>
      <c r="I17" s="290">
        <v>1.5725070000000001</v>
      </c>
      <c r="J17" s="290">
        <v>13.577788</v>
      </c>
      <c r="K17" s="290">
        <v>-255.00260499999999</v>
      </c>
      <c r="L17" s="290">
        <v>5.8400559999999997</v>
      </c>
      <c r="M17" s="290">
        <v>0.22503519999999999</v>
      </c>
      <c r="N17" s="287">
        <v>8.0000000000000004E-4</v>
      </c>
      <c r="O17" s="288">
        <v>2</v>
      </c>
      <c r="P17" s="287">
        <v>1E-4</v>
      </c>
    </row>
    <row r="18" spans="1:16">
      <c r="A18" s="285" t="s">
        <v>12</v>
      </c>
      <c r="B18" s="285" t="s">
        <v>486</v>
      </c>
      <c r="C18" s="290">
        <v>0.63947390000000004</v>
      </c>
      <c r="D18" s="290">
        <v>14.738033</v>
      </c>
      <c r="E18" s="290">
        <v>1.103537</v>
      </c>
      <c r="F18" s="290">
        <v>0.13403789999999999</v>
      </c>
      <c r="G18" s="290">
        <v>1.647543</v>
      </c>
      <c r="H18" s="290">
        <v>7.597944</v>
      </c>
      <c r="I18" s="290">
        <v>-7.4790080000000003</v>
      </c>
      <c r="J18" s="290">
        <v>0.99280729999999995</v>
      </c>
      <c r="K18" s="290">
        <v>8.2505129999999998</v>
      </c>
      <c r="L18" s="290">
        <v>0.93148889999999995</v>
      </c>
      <c r="M18" s="290">
        <v>-0.16217119999999999</v>
      </c>
      <c r="N18" s="287">
        <v>1E-4</v>
      </c>
      <c r="O18" s="288">
        <v>0.15</v>
      </c>
      <c r="P18" s="287">
        <v>1E-4</v>
      </c>
    </row>
    <row r="19" spans="1:16">
      <c r="A19" s="285" t="s">
        <v>13</v>
      </c>
      <c r="B19" s="285" t="s">
        <v>486</v>
      </c>
      <c r="C19" s="290">
        <v>0.30101020000000001</v>
      </c>
      <c r="D19" s="290">
        <v>12.774561</v>
      </c>
      <c r="E19" s="290">
        <v>5.3504750000000003</v>
      </c>
      <c r="F19" s="290">
        <v>0.95175849999999995</v>
      </c>
      <c r="G19" s="290">
        <v>0.87225359999999996</v>
      </c>
      <c r="H19" s="290">
        <v>6.9130229999999999</v>
      </c>
      <c r="I19" s="290">
        <v>1.07318</v>
      </c>
      <c r="J19" s="290">
        <v>0.2278377</v>
      </c>
      <c r="K19" s="290">
        <v>-4.6552020000000001</v>
      </c>
      <c r="L19" s="290">
        <v>1.0072179999999999</v>
      </c>
      <c r="M19" s="290">
        <v>5.8250679999999999E-2</v>
      </c>
      <c r="N19" s="287">
        <v>0</v>
      </c>
      <c r="O19" s="288">
        <v>0.15</v>
      </c>
      <c r="P19" s="287">
        <v>0</v>
      </c>
    </row>
    <row r="20" spans="1:16">
      <c r="A20" s="285" t="s">
        <v>14</v>
      </c>
      <c r="B20" s="285" t="s">
        <v>486</v>
      </c>
      <c r="C20" s="290">
        <v>0.82842680000000002</v>
      </c>
      <c r="D20" s="290">
        <v>0.60018199999999999</v>
      </c>
      <c r="E20" s="290">
        <v>0.190775</v>
      </c>
      <c r="F20" s="290">
        <v>1.302146</v>
      </c>
      <c r="G20" s="290">
        <v>0.83690140000000002</v>
      </c>
      <c r="H20" s="290">
        <v>0.21126310000000001</v>
      </c>
      <c r="I20" s="290">
        <v>1.172317E-2</v>
      </c>
      <c r="J20" s="290">
        <v>2.379286</v>
      </c>
      <c r="K20" s="290">
        <v>6.3999210000000001E-2</v>
      </c>
      <c r="L20" s="290">
        <v>0.99662850000000003</v>
      </c>
      <c r="M20" s="290">
        <v>6.8174360000000003E-2</v>
      </c>
      <c r="N20" s="287">
        <v>0</v>
      </c>
      <c r="O20" s="288">
        <v>1.38</v>
      </c>
      <c r="P20" s="287">
        <v>0</v>
      </c>
    </row>
    <row r="21" spans="1:16">
      <c r="A21" s="285" t="s">
        <v>15</v>
      </c>
      <c r="B21" s="285" t="s">
        <v>486</v>
      </c>
      <c r="C21" s="290">
        <v>0.66893899999999995</v>
      </c>
      <c r="D21" s="290">
        <v>22.543284</v>
      </c>
      <c r="E21" s="290">
        <v>2.1119759999999999</v>
      </c>
      <c r="F21" s="290">
        <v>5.5239469999999997</v>
      </c>
      <c r="G21" s="290">
        <v>1.5533060000000001</v>
      </c>
      <c r="H21" s="290">
        <v>0.31400090000000003</v>
      </c>
      <c r="I21" s="290">
        <v>1.1253519999999999E-2</v>
      </c>
      <c r="J21" s="290">
        <v>53.420271</v>
      </c>
      <c r="K21" s="290">
        <v>2.4196409999999999</v>
      </c>
      <c r="L21" s="290">
        <v>11.298380999999999</v>
      </c>
      <c r="M21" s="290">
        <v>0.23489409999999999</v>
      </c>
      <c r="N21" s="287">
        <v>1E-4</v>
      </c>
      <c r="O21" s="288">
        <v>1.31</v>
      </c>
      <c r="P21" s="287">
        <v>0</v>
      </c>
    </row>
    <row r="22" spans="1:16">
      <c r="A22" s="285" t="s">
        <v>16</v>
      </c>
      <c r="B22" s="285" t="s">
        <v>486</v>
      </c>
      <c r="C22" s="290">
        <v>0.40135019999999999</v>
      </c>
      <c r="D22" s="290">
        <v>18.818662</v>
      </c>
      <c r="E22" s="290">
        <v>1.560727</v>
      </c>
      <c r="F22" s="290">
        <v>0.3121563</v>
      </c>
      <c r="G22" s="290">
        <v>2.0619070000000002</v>
      </c>
      <c r="H22" s="290">
        <v>9.8301590000000001</v>
      </c>
      <c r="I22" s="290">
        <v>1.8561449999999999</v>
      </c>
      <c r="J22" s="290">
        <v>5.0343549999999997</v>
      </c>
      <c r="K22" s="290">
        <v>-0.1153135</v>
      </c>
      <c r="L22" s="290">
        <v>2.5530460000000001</v>
      </c>
      <c r="M22" s="290">
        <v>0.23515140000000001</v>
      </c>
      <c r="N22" s="287">
        <v>1E-4</v>
      </c>
      <c r="O22" s="288">
        <v>2</v>
      </c>
      <c r="P22" s="287">
        <v>0</v>
      </c>
    </row>
    <row r="23" spans="1:16">
      <c r="A23" s="285" t="s">
        <v>326</v>
      </c>
      <c r="B23" s="285" t="s">
        <v>486</v>
      </c>
      <c r="C23" s="290">
        <v>1.77979</v>
      </c>
      <c r="D23" s="290">
        <v>30.929378</v>
      </c>
      <c r="E23" s="290">
        <v>1.9522280000000001</v>
      </c>
      <c r="F23" s="290">
        <v>5.4841350000000002</v>
      </c>
      <c r="G23" s="290">
        <v>1.5470600000000001</v>
      </c>
      <c r="H23" s="290">
        <v>0.32631179999999999</v>
      </c>
      <c r="I23" s="290">
        <v>0.37744450000000002</v>
      </c>
      <c r="J23" s="290">
        <v>87.668801000000002</v>
      </c>
      <c r="K23" s="290">
        <v>3.090503</v>
      </c>
      <c r="L23" s="290">
        <v>12.394057999999999</v>
      </c>
      <c r="M23" s="290">
        <v>0.25249270000000001</v>
      </c>
      <c r="N23" s="287">
        <v>5.0000000000000001E-4</v>
      </c>
      <c r="O23" s="288">
        <v>0.06</v>
      </c>
      <c r="P23" s="287">
        <v>2.0000000000000001E-4</v>
      </c>
    </row>
    <row r="24" spans="1:16">
      <c r="A24" s="285" t="s">
        <v>328</v>
      </c>
      <c r="B24" s="285" t="s">
        <v>486</v>
      </c>
      <c r="C24" s="290">
        <v>2.0424090000000001</v>
      </c>
      <c r="D24" s="290">
        <v>23.162341000000001</v>
      </c>
      <c r="E24" s="290">
        <v>3.5320019999999999</v>
      </c>
      <c r="F24" s="290">
        <v>9.3087879999999998</v>
      </c>
      <c r="G24" s="290">
        <v>2.2053859999999998</v>
      </c>
      <c r="H24" s="290">
        <v>4.073785</v>
      </c>
      <c r="I24" s="290">
        <v>0.42758190000000001</v>
      </c>
      <c r="J24" s="290">
        <v>64.738697999999999</v>
      </c>
      <c r="K24" s="290">
        <v>1.5244979999999999</v>
      </c>
      <c r="L24" s="290">
        <v>0.25919409999999998</v>
      </c>
      <c r="M24" s="290">
        <v>0.26761079999999998</v>
      </c>
      <c r="N24" s="287">
        <v>5.9999999999999995E-4</v>
      </c>
      <c r="O24" s="288">
        <v>7.0000000000000007E-2</v>
      </c>
      <c r="P24" s="287">
        <v>2.0000000000000001E-4</v>
      </c>
    </row>
    <row r="25" spans="1:16">
      <c r="A25" s="285" t="s">
        <v>17</v>
      </c>
      <c r="B25" s="285" t="s">
        <v>486</v>
      </c>
      <c r="C25" s="290">
        <v>3.5949979999999999</v>
      </c>
      <c r="D25" s="290">
        <v>4.6742790000000003</v>
      </c>
      <c r="E25" s="290">
        <v>2.067736</v>
      </c>
      <c r="F25" s="290">
        <v>9.2337910000000001</v>
      </c>
      <c r="G25" s="290">
        <v>2.2630020000000002</v>
      </c>
      <c r="H25" s="290">
        <v>2.3312020000000002</v>
      </c>
      <c r="I25" s="290">
        <v>0.31249939999999998</v>
      </c>
      <c r="J25" s="290">
        <v>18.474073000000001</v>
      </c>
      <c r="K25" s="290">
        <v>1.4875750000000001</v>
      </c>
      <c r="L25" s="290">
        <v>0.16864460000000001</v>
      </c>
      <c r="M25" s="290">
        <v>0.27415879999999998</v>
      </c>
      <c r="N25" s="287">
        <v>0</v>
      </c>
      <c r="O25" s="288">
        <v>2</v>
      </c>
      <c r="P25" s="287">
        <v>0</v>
      </c>
    </row>
    <row r="26" spans="1:16">
      <c r="A26" s="285" t="s">
        <v>329</v>
      </c>
      <c r="B26" s="285" t="s">
        <v>486</v>
      </c>
      <c r="C26" s="290">
        <v>1.8832150000000001</v>
      </c>
      <c r="D26" s="290">
        <v>6.9771830000000001</v>
      </c>
      <c r="E26" s="290">
        <v>3.6523300000000001</v>
      </c>
      <c r="F26" s="290">
        <v>3.709759</v>
      </c>
      <c r="G26" s="290">
        <v>2.4712999999999998</v>
      </c>
      <c r="H26" s="290">
        <v>1.894145</v>
      </c>
      <c r="I26" s="290">
        <v>0.23894080000000001</v>
      </c>
      <c r="J26" s="290">
        <v>13.117906</v>
      </c>
      <c r="K26" s="290">
        <v>1.457077</v>
      </c>
      <c r="L26" s="290">
        <v>0.14341380000000001</v>
      </c>
      <c r="M26" s="290">
        <v>0.29712719999999998</v>
      </c>
      <c r="N26" s="287">
        <v>0</v>
      </c>
      <c r="O26" s="288">
        <v>2</v>
      </c>
      <c r="P26" s="287">
        <v>0</v>
      </c>
    </row>
    <row r="27" spans="1:16">
      <c r="A27" s="285" t="s">
        <v>18</v>
      </c>
      <c r="B27" s="285" t="s">
        <v>486</v>
      </c>
      <c r="C27" s="290">
        <v>3.9285359999999998</v>
      </c>
      <c r="D27" s="290">
        <v>1.82304</v>
      </c>
      <c r="E27" s="290">
        <v>3.815588</v>
      </c>
      <c r="F27" s="290">
        <v>3.926612</v>
      </c>
      <c r="G27" s="290">
        <v>1.259687</v>
      </c>
      <c r="H27" s="290">
        <v>0.17053189999999999</v>
      </c>
      <c r="I27" s="290">
        <v>0.57410939999999999</v>
      </c>
      <c r="J27" s="290">
        <v>67.578592</v>
      </c>
      <c r="K27" s="290">
        <v>1.8654569999999999</v>
      </c>
      <c r="L27" s="290">
        <v>35.246839000000001</v>
      </c>
      <c r="M27" s="290">
        <v>0.55660500000000002</v>
      </c>
      <c r="N27" s="287">
        <v>2.0000000000000001E-4</v>
      </c>
      <c r="O27" s="288">
        <v>0.5</v>
      </c>
      <c r="P27" s="287">
        <v>1E-4</v>
      </c>
    </row>
    <row r="28" spans="1:16">
      <c r="A28" s="285" t="s">
        <v>330</v>
      </c>
      <c r="B28" s="285" t="s">
        <v>486</v>
      </c>
      <c r="C28" s="290">
        <v>3.6847240000000001</v>
      </c>
      <c r="D28" s="290">
        <v>3.0533000000000001</v>
      </c>
      <c r="E28" s="290">
        <v>1.6624620000000001</v>
      </c>
      <c r="F28" s="290">
        <v>5.5522</v>
      </c>
      <c r="G28" s="290">
        <v>0.17620160000000001</v>
      </c>
      <c r="H28" s="290">
        <v>10.005397</v>
      </c>
      <c r="I28" s="290">
        <v>2.7239399999999998</v>
      </c>
      <c r="J28" s="290">
        <v>1.5817110000000001</v>
      </c>
      <c r="K28" s="290">
        <v>1.4139919999999999</v>
      </c>
      <c r="L28" s="290">
        <v>0.12679550000000001</v>
      </c>
      <c r="M28" s="290">
        <v>0.33867740000000002</v>
      </c>
      <c r="N28" s="287">
        <v>0</v>
      </c>
      <c r="O28" s="288">
        <v>2</v>
      </c>
      <c r="P28" s="287">
        <v>0</v>
      </c>
    </row>
    <row r="29" spans="1:16">
      <c r="A29" s="285" t="s">
        <v>19</v>
      </c>
      <c r="B29" s="285" t="s">
        <v>486</v>
      </c>
      <c r="C29" s="290">
        <v>5.2748549999999996</v>
      </c>
      <c r="D29" s="290">
        <v>2.652574</v>
      </c>
      <c r="E29" s="290">
        <v>2.7915290000000001</v>
      </c>
      <c r="F29" s="290">
        <v>29.658408999999999</v>
      </c>
      <c r="G29" s="290">
        <v>2.73089</v>
      </c>
      <c r="H29" s="290">
        <v>1.081979</v>
      </c>
      <c r="I29" s="290">
        <v>0.76509470000000002</v>
      </c>
      <c r="J29" s="290">
        <v>62.908352000000001</v>
      </c>
      <c r="K29" s="290">
        <v>-0.1328511</v>
      </c>
      <c r="L29" s="290">
        <v>-0.23699200000000001</v>
      </c>
      <c r="M29" s="290">
        <v>1.570486</v>
      </c>
      <c r="N29" s="287">
        <v>8.0000000000000004E-4</v>
      </c>
      <c r="O29" s="288">
        <v>0.56000000000000005</v>
      </c>
      <c r="P29" s="287">
        <v>2.9999999999999997E-4</v>
      </c>
    </row>
    <row r="30" spans="1:16">
      <c r="A30" s="285" t="s">
        <v>20</v>
      </c>
      <c r="B30" s="285" t="s">
        <v>486</v>
      </c>
      <c r="C30" s="290">
        <v>7.0966740000000001</v>
      </c>
      <c r="D30" s="290">
        <v>1.400091E-2</v>
      </c>
      <c r="E30" s="290">
        <v>0.39184390000000002</v>
      </c>
      <c r="F30" s="290">
        <v>46.104106000000002</v>
      </c>
      <c r="G30" s="290">
        <v>3.2698559999999999</v>
      </c>
      <c r="H30" s="290">
        <v>1.301531</v>
      </c>
      <c r="I30" s="290">
        <v>4.555358</v>
      </c>
      <c r="J30" s="290">
        <v>2.8202039999999999</v>
      </c>
      <c r="K30" s="290">
        <v>2.1501540000000001</v>
      </c>
      <c r="L30" s="290">
        <v>24.430610000000001</v>
      </c>
      <c r="M30" s="290">
        <v>-5.4637979999999997</v>
      </c>
      <c r="N30" s="287">
        <v>2.9999999999999997E-4</v>
      </c>
      <c r="O30" s="288">
        <v>0.57999999999999996</v>
      </c>
      <c r="P30" s="287">
        <v>1E-4</v>
      </c>
    </row>
    <row r="31" spans="1:16">
      <c r="A31" s="285" t="s">
        <v>21</v>
      </c>
      <c r="B31" s="285" t="s">
        <v>486</v>
      </c>
      <c r="C31" s="290">
        <v>4.2645200000000001</v>
      </c>
      <c r="D31" s="290">
        <v>1.5711889999999999</v>
      </c>
      <c r="E31" s="290">
        <v>0.290717</v>
      </c>
      <c r="F31" s="290">
        <v>34.605429000000001</v>
      </c>
      <c r="G31" s="290">
        <v>3.4862790000000001</v>
      </c>
      <c r="H31" s="290">
        <v>3.2768259999999998</v>
      </c>
      <c r="I31" s="290">
        <v>1.0877209999999999</v>
      </c>
      <c r="J31" s="290">
        <v>20.390007000000001</v>
      </c>
      <c r="K31" s="290">
        <v>1.172418</v>
      </c>
      <c r="L31" s="290">
        <v>0.18539050000000001</v>
      </c>
      <c r="M31" s="290">
        <v>0.69833190000000001</v>
      </c>
      <c r="N31" s="287">
        <v>1E-4</v>
      </c>
      <c r="O31" s="288">
        <v>2</v>
      </c>
      <c r="P31" s="287">
        <v>0</v>
      </c>
    </row>
    <row r="32" spans="1:16">
      <c r="A32" s="285" t="s">
        <v>22</v>
      </c>
      <c r="B32" s="285" t="s">
        <v>486</v>
      </c>
      <c r="C32" s="290">
        <v>3.681165</v>
      </c>
      <c r="D32" s="290">
        <v>2.574859</v>
      </c>
      <c r="E32" s="290">
        <v>1.440331</v>
      </c>
      <c r="F32" s="290">
        <v>4.5707190000000004</v>
      </c>
      <c r="G32" s="290">
        <v>2.9939200000000001</v>
      </c>
      <c r="H32" s="290">
        <v>1.3471439999999999</v>
      </c>
      <c r="I32" s="290">
        <v>0.12740609999999999</v>
      </c>
      <c r="J32" s="290">
        <v>7.9890869999999996</v>
      </c>
      <c r="K32" s="290">
        <v>1.360554</v>
      </c>
      <c r="L32" s="290">
        <v>0.1162869</v>
      </c>
      <c r="M32" s="290">
        <v>0.39662269999999999</v>
      </c>
      <c r="N32" s="287">
        <v>0</v>
      </c>
      <c r="O32" s="288">
        <v>2</v>
      </c>
      <c r="P32" s="287">
        <v>0</v>
      </c>
    </row>
    <row r="33" spans="1:16">
      <c r="A33" s="285" t="s">
        <v>331</v>
      </c>
      <c r="B33" s="285" t="s">
        <v>486</v>
      </c>
      <c r="C33" s="290">
        <v>5.3738739999999998</v>
      </c>
      <c r="D33" s="290">
        <v>2.6878950000000001</v>
      </c>
      <c r="E33" s="290">
        <v>3.117388</v>
      </c>
      <c r="F33" s="290">
        <v>37.433680000000003</v>
      </c>
      <c r="G33" s="290">
        <v>2.7463250000000001</v>
      </c>
      <c r="H33" s="290">
        <v>1.050637</v>
      </c>
      <c r="I33" s="290">
        <v>1.3606659999999999</v>
      </c>
      <c r="J33" s="290">
        <v>92.098124999999996</v>
      </c>
      <c r="K33" s="290">
        <v>-6.6483459999999994E-2</v>
      </c>
      <c r="L33" s="290">
        <v>-0.32612550000000001</v>
      </c>
      <c r="M33" s="290">
        <v>1.4672989999999999</v>
      </c>
      <c r="N33" s="287">
        <v>1.4E-3</v>
      </c>
      <c r="O33" s="288">
        <v>0.53</v>
      </c>
      <c r="P33" s="287">
        <v>5.0000000000000001E-4</v>
      </c>
    </row>
    <row r="34" spans="1:16">
      <c r="A34" s="285" t="s">
        <v>23</v>
      </c>
      <c r="B34" s="285" t="s">
        <v>486</v>
      </c>
      <c r="C34" s="290">
        <v>1.438043</v>
      </c>
      <c r="D34" s="290">
        <v>47.013015000000003</v>
      </c>
      <c r="E34" s="290">
        <v>3.9709910000000002</v>
      </c>
      <c r="F34" s="290">
        <v>21.210718</v>
      </c>
      <c r="G34" s="290">
        <v>6.330025</v>
      </c>
      <c r="H34" s="290">
        <v>1.9399649999999999</v>
      </c>
      <c r="I34" s="290">
        <v>1.8882209999999999</v>
      </c>
      <c r="J34" s="290">
        <v>0.56335449999999998</v>
      </c>
      <c r="K34" s="290">
        <v>-0.76263919999999996</v>
      </c>
      <c r="L34" s="290">
        <v>14.285442</v>
      </c>
      <c r="M34" s="290">
        <v>1.1348800000000001</v>
      </c>
      <c r="N34" s="287">
        <v>2.5000000000000001E-3</v>
      </c>
      <c r="O34" s="288">
        <v>2</v>
      </c>
      <c r="P34" s="287">
        <v>5.9999999999999995E-4</v>
      </c>
    </row>
    <row r="35" spans="1:16">
      <c r="A35" s="285" t="s">
        <v>24</v>
      </c>
      <c r="B35" s="285" t="s">
        <v>486</v>
      </c>
      <c r="C35" s="290">
        <v>6.1972180000000003</v>
      </c>
      <c r="D35" s="290">
        <v>1.957856</v>
      </c>
      <c r="E35" s="290">
        <v>3.1973729999999998</v>
      </c>
      <c r="F35" s="290">
        <v>21.628827000000001</v>
      </c>
      <c r="G35" s="290">
        <v>1.969563</v>
      </c>
      <c r="H35" s="290">
        <v>0.60514330000000005</v>
      </c>
      <c r="I35" s="290">
        <v>0.47175850000000003</v>
      </c>
      <c r="J35" s="290">
        <v>45.198079999999997</v>
      </c>
      <c r="K35" s="290">
        <v>-2.5044439999999998E-7</v>
      </c>
      <c r="L35" s="290">
        <v>-2.6257069999999998</v>
      </c>
      <c r="M35" s="290">
        <v>1.164388</v>
      </c>
      <c r="N35" s="287">
        <v>1.1000000000000001E-3</v>
      </c>
      <c r="O35" s="288">
        <v>0.64</v>
      </c>
      <c r="P35" s="287">
        <v>4.0000000000000002E-4</v>
      </c>
    </row>
    <row r="36" spans="1:16">
      <c r="A36" s="285" t="s">
        <v>25</v>
      </c>
      <c r="B36" s="285" t="s">
        <v>486</v>
      </c>
      <c r="C36" s="290">
        <v>5.6075109999999997</v>
      </c>
      <c r="D36" s="290">
        <v>2.0822180000000001</v>
      </c>
      <c r="E36" s="290">
        <v>2.334778</v>
      </c>
      <c r="F36" s="290">
        <v>18.014728999999999</v>
      </c>
      <c r="G36" s="290">
        <v>2.471711</v>
      </c>
      <c r="H36" s="290">
        <v>0.79424019999999995</v>
      </c>
      <c r="I36" s="290">
        <v>0.29205989999999998</v>
      </c>
      <c r="J36" s="290">
        <v>34.166260000000001</v>
      </c>
      <c r="K36" s="290">
        <v>-5.7609050000000002E-3</v>
      </c>
      <c r="L36" s="290">
        <v>-0.62957770000000002</v>
      </c>
      <c r="M36" s="290">
        <v>1.299809</v>
      </c>
      <c r="N36" s="287">
        <v>2.9999999999999997E-4</v>
      </c>
      <c r="O36" s="288">
        <v>0.66</v>
      </c>
      <c r="P36" s="287">
        <v>1E-4</v>
      </c>
    </row>
    <row r="37" spans="1:16">
      <c r="A37" s="285" t="s">
        <v>26</v>
      </c>
      <c r="B37" s="285" t="s">
        <v>486</v>
      </c>
      <c r="C37" s="290">
        <v>4.1018420000000004</v>
      </c>
      <c r="D37" s="290">
        <v>1.269369</v>
      </c>
      <c r="E37" s="290">
        <v>3.666067</v>
      </c>
      <c r="F37" s="290">
        <v>2.5696340000000002</v>
      </c>
      <c r="G37" s="290">
        <v>1.2166520000000001</v>
      </c>
      <c r="H37" s="290">
        <v>0.1334544</v>
      </c>
      <c r="I37" s="290">
        <v>0.24195</v>
      </c>
      <c r="J37" s="290">
        <v>26.061897999999999</v>
      </c>
      <c r="K37" s="290">
        <v>1.1785490000000001</v>
      </c>
      <c r="L37" s="290">
        <v>15.394899000000001</v>
      </c>
      <c r="M37" s="290">
        <v>0.594943</v>
      </c>
      <c r="N37" s="287">
        <v>0</v>
      </c>
      <c r="O37" s="288">
        <v>0.88</v>
      </c>
      <c r="P37" s="287">
        <v>0</v>
      </c>
    </row>
    <row r="38" spans="1:16">
      <c r="A38" s="285" t="s">
        <v>27</v>
      </c>
      <c r="B38" s="285" t="s">
        <v>486</v>
      </c>
      <c r="C38" s="290">
        <v>3.6424530000000002</v>
      </c>
      <c r="D38" s="290">
        <v>2.2087979999999998</v>
      </c>
      <c r="E38" s="290">
        <v>1.236502</v>
      </c>
      <c r="F38" s="290">
        <v>3.8521100000000001</v>
      </c>
      <c r="G38" s="290">
        <v>3.2621739999999999</v>
      </c>
      <c r="H38" s="290">
        <v>1.1642729999999999</v>
      </c>
      <c r="I38" s="290">
        <v>9.1600669999999995E-2</v>
      </c>
      <c r="J38" s="290">
        <v>6.5825420000000001</v>
      </c>
      <c r="K38" s="290">
        <v>1.303223</v>
      </c>
      <c r="L38" s="290">
        <v>0.1098484</v>
      </c>
      <c r="M38" s="290">
        <v>0.4640474</v>
      </c>
      <c r="N38" s="287">
        <v>0</v>
      </c>
      <c r="O38" s="288">
        <v>2</v>
      </c>
      <c r="P38" s="287">
        <v>0</v>
      </c>
    </row>
    <row r="39" spans="1:16">
      <c r="A39" s="285" t="s">
        <v>28</v>
      </c>
      <c r="B39" s="285" t="s">
        <v>486</v>
      </c>
      <c r="C39" s="290">
        <v>6.3057790000000002</v>
      </c>
      <c r="D39" s="290">
        <v>1.6394420000000001</v>
      </c>
      <c r="E39" s="290">
        <v>4.3354160000000004</v>
      </c>
      <c r="F39" s="290">
        <v>18.246461</v>
      </c>
      <c r="G39" s="290">
        <v>2.0067020000000002</v>
      </c>
      <c r="H39" s="290">
        <v>0.51607369999999997</v>
      </c>
      <c r="I39" s="290">
        <v>1.7075979999999999</v>
      </c>
      <c r="J39" s="290">
        <v>39.209629999999997</v>
      </c>
      <c r="K39" s="290">
        <v>-0.50366979999999995</v>
      </c>
      <c r="L39" s="290">
        <v>5.6205720000000001</v>
      </c>
      <c r="M39" s="290">
        <v>1.1475109999999999</v>
      </c>
      <c r="N39" s="287">
        <v>1E-3</v>
      </c>
      <c r="O39" s="288">
        <v>2</v>
      </c>
      <c r="P39" s="287">
        <v>2.9999999999999997E-4</v>
      </c>
    </row>
    <row r="40" spans="1:16">
      <c r="A40" s="285" t="s">
        <v>29</v>
      </c>
      <c r="B40" s="285" t="s">
        <v>486</v>
      </c>
      <c r="C40" s="290">
        <v>6.3133569999999999</v>
      </c>
      <c r="D40" s="290">
        <v>1.6144639999999999</v>
      </c>
      <c r="E40" s="290">
        <v>3.775331</v>
      </c>
      <c r="F40" s="290">
        <v>15.781476</v>
      </c>
      <c r="G40" s="290">
        <v>1.9190449999999999</v>
      </c>
      <c r="H40" s="290">
        <v>0.49911670000000002</v>
      </c>
      <c r="I40" s="290">
        <v>1.4316450000000001</v>
      </c>
      <c r="J40" s="290">
        <v>31.243448999999998</v>
      </c>
      <c r="K40" s="290">
        <v>-0.57965540000000004</v>
      </c>
      <c r="L40" s="290">
        <v>7.1073259999999996</v>
      </c>
      <c r="M40" s="290">
        <v>1.139991</v>
      </c>
      <c r="N40" s="287">
        <v>8.0000000000000004E-4</v>
      </c>
      <c r="O40" s="288">
        <v>2</v>
      </c>
      <c r="P40" s="287">
        <v>2.0000000000000001E-4</v>
      </c>
    </row>
    <row r="41" spans="1:16">
      <c r="A41" s="285" t="s">
        <v>30</v>
      </c>
      <c r="B41" s="285" t="s">
        <v>486</v>
      </c>
      <c r="C41" s="290">
        <v>6.2934999999999999</v>
      </c>
      <c r="D41" s="290">
        <v>1.6079870000000001</v>
      </c>
      <c r="E41" s="290">
        <v>49.919981999999997</v>
      </c>
      <c r="F41" s="290">
        <v>11.469340000000001</v>
      </c>
      <c r="G41" s="290">
        <v>1.2431920000000001</v>
      </c>
      <c r="H41" s="290">
        <v>25.082671999999999</v>
      </c>
      <c r="I41" s="290">
        <v>1.8873489999999999</v>
      </c>
      <c r="J41" s="290">
        <v>0.49492049999999999</v>
      </c>
      <c r="K41" s="290">
        <v>-47.483226000000002</v>
      </c>
      <c r="L41" s="290">
        <v>11.303789999999999</v>
      </c>
      <c r="M41" s="290">
        <v>1.1390739999999999</v>
      </c>
      <c r="N41" s="287">
        <v>8.0000000000000004E-4</v>
      </c>
      <c r="O41" s="288">
        <v>2</v>
      </c>
      <c r="P41" s="287">
        <v>2.0000000000000001E-4</v>
      </c>
    </row>
    <row r="42" spans="1:16">
      <c r="A42" s="285" t="s">
        <v>31</v>
      </c>
      <c r="B42" s="285" t="s">
        <v>486</v>
      </c>
      <c r="C42" s="290">
        <v>1.988448</v>
      </c>
      <c r="D42" s="290">
        <v>0.5296881</v>
      </c>
      <c r="E42" s="290">
        <v>6.1564569999999996</v>
      </c>
      <c r="F42" s="290">
        <v>1.6348419999999999</v>
      </c>
      <c r="G42" s="290">
        <v>2.4839760000000002</v>
      </c>
      <c r="H42" s="290">
        <v>13.965968999999999</v>
      </c>
      <c r="I42" s="290">
        <v>0.20797789999999999</v>
      </c>
      <c r="J42" s="290">
        <v>27.371027999999999</v>
      </c>
      <c r="K42" s="290">
        <v>-2.3610929999999999E-9</v>
      </c>
      <c r="L42" s="290">
        <v>-3.5206710000000001</v>
      </c>
      <c r="M42" s="290">
        <v>1.16327</v>
      </c>
      <c r="N42" s="287">
        <v>2.9999999999999997E-4</v>
      </c>
      <c r="O42" s="288">
        <v>0.75</v>
      </c>
      <c r="P42" s="287">
        <v>1E-4</v>
      </c>
    </row>
    <row r="43" spans="1:16">
      <c r="A43" s="285" t="s">
        <v>32</v>
      </c>
      <c r="B43" s="285" t="s">
        <v>486</v>
      </c>
      <c r="C43" s="290">
        <v>4.0985100000000001</v>
      </c>
      <c r="D43" s="290">
        <v>2.030643</v>
      </c>
      <c r="E43" s="290">
        <v>0.23218710000000001</v>
      </c>
      <c r="F43" s="290">
        <v>20.041418</v>
      </c>
      <c r="G43" s="290">
        <v>3.7753999999999999</v>
      </c>
      <c r="H43" s="290">
        <v>0.99429319999999999</v>
      </c>
      <c r="I43" s="290">
        <v>1.227346</v>
      </c>
      <c r="J43" s="290">
        <v>11.973598000000001</v>
      </c>
      <c r="K43" s="290">
        <v>2.8304809999999998</v>
      </c>
      <c r="L43" s="290">
        <v>3.0830130000000001E-2</v>
      </c>
      <c r="M43" s="290">
        <v>-1.1639200000000001</v>
      </c>
      <c r="N43" s="287">
        <v>0</v>
      </c>
      <c r="O43" s="288">
        <v>2</v>
      </c>
      <c r="P43" s="287">
        <v>0</v>
      </c>
    </row>
    <row r="44" spans="1:16">
      <c r="A44" s="285" t="s">
        <v>33</v>
      </c>
      <c r="B44" s="285" t="s">
        <v>486</v>
      </c>
      <c r="C44" s="290">
        <v>1.249163</v>
      </c>
      <c r="D44" s="290">
        <v>0.10587630000000001</v>
      </c>
      <c r="E44" s="290">
        <v>3.516489</v>
      </c>
      <c r="F44" s="290">
        <v>1.0175920000000001</v>
      </c>
      <c r="G44" s="290">
        <v>3.5758230000000002</v>
      </c>
      <c r="H44" s="290">
        <v>1.9189259999999999</v>
      </c>
      <c r="I44" s="290">
        <v>1.059334</v>
      </c>
      <c r="J44" s="290">
        <v>3.3023229999999999</v>
      </c>
      <c r="K44" s="290">
        <v>6.6178280000000006E-2</v>
      </c>
      <c r="L44" s="290">
        <v>5.5476130000000001</v>
      </c>
      <c r="M44" s="290">
        <v>0.5330125</v>
      </c>
      <c r="N44" s="287">
        <v>0</v>
      </c>
      <c r="O44" s="288">
        <v>2</v>
      </c>
      <c r="P44" s="287">
        <v>0</v>
      </c>
    </row>
    <row r="45" spans="1:16">
      <c r="A45" s="285" t="s">
        <v>34</v>
      </c>
      <c r="B45" s="285" t="s">
        <v>486</v>
      </c>
      <c r="C45" s="290">
        <v>6.3095780000000001</v>
      </c>
      <c r="D45" s="290">
        <v>1.5349200000000001</v>
      </c>
      <c r="E45" s="290">
        <v>1.9682310000000001</v>
      </c>
      <c r="F45" s="290">
        <v>33.170048999999999</v>
      </c>
      <c r="G45" s="290">
        <v>5.203684</v>
      </c>
      <c r="H45" s="290">
        <v>15.323062999999999</v>
      </c>
      <c r="I45" s="290">
        <v>2.615688</v>
      </c>
      <c r="J45" s="290">
        <v>0.54226220000000003</v>
      </c>
      <c r="K45" s="290">
        <v>-1.2875380000000001</v>
      </c>
      <c r="L45" s="290">
        <v>3.2368130000000002</v>
      </c>
      <c r="M45" s="290">
        <v>1.1895709999999999</v>
      </c>
      <c r="N45" s="287">
        <v>8.9999999999999998E-4</v>
      </c>
      <c r="O45" s="288">
        <v>0.1</v>
      </c>
      <c r="P45" s="287">
        <v>2.9999999999999997E-4</v>
      </c>
    </row>
    <row r="46" spans="1:16">
      <c r="A46" s="285" t="s">
        <v>35</v>
      </c>
      <c r="B46" s="285" t="s">
        <v>486</v>
      </c>
      <c r="C46" s="290">
        <v>1.635265</v>
      </c>
      <c r="D46" s="290">
        <v>27.339506</v>
      </c>
      <c r="E46" s="290">
        <v>6.239166</v>
      </c>
      <c r="F46" s="290">
        <v>1.4268479999999999</v>
      </c>
      <c r="G46" s="290">
        <v>4.606058</v>
      </c>
      <c r="H46" s="290">
        <v>13.78909</v>
      </c>
      <c r="I46" s="290">
        <v>2.2246250000000001</v>
      </c>
      <c r="J46" s="290">
        <v>0.489035</v>
      </c>
      <c r="K46" s="290">
        <v>-0.87126119999999996</v>
      </c>
      <c r="L46" s="290">
        <v>4.00265</v>
      </c>
      <c r="M46" s="290">
        <v>1.1658109999999999</v>
      </c>
      <c r="N46" s="287">
        <v>4.0000000000000002E-4</v>
      </c>
      <c r="O46" s="288">
        <v>2</v>
      </c>
      <c r="P46" s="287">
        <v>2.0000000000000001E-4</v>
      </c>
    </row>
    <row r="47" spans="1:16">
      <c r="A47" s="285" t="s">
        <v>36</v>
      </c>
      <c r="B47" s="285" t="s">
        <v>486</v>
      </c>
      <c r="C47" s="290">
        <v>3.946914</v>
      </c>
      <c r="D47" s="290">
        <v>12.340164</v>
      </c>
      <c r="E47" s="290">
        <v>6.2727120000000003</v>
      </c>
      <c r="F47" s="290">
        <v>1.385845</v>
      </c>
      <c r="G47" s="290">
        <v>1.321402</v>
      </c>
      <c r="H47" s="290">
        <v>23.012854000000001</v>
      </c>
      <c r="I47" s="290">
        <v>2.0392250000000001</v>
      </c>
      <c r="J47" s="290">
        <v>0.46004909999999999</v>
      </c>
      <c r="K47" s="290">
        <v>-0.73192579999999996</v>
      </c>
      <c r="L47" s="290">
        <v>4.5762049999999999</v>
      </c>
      <c r="M47" s="290">
        <v>1.151516</v>
      </c>
      <c r="N47" s="287">
        <v>2.9999999999999997E-4</v>
      </c>
      <c r="O47" s="288">
        <v>2</v>
      </c>
      <c r="P47" s="287">
        <v>1E-4</v>
      </c>
    </row>
    <row r="48" spans="1:16">
      <c r="A48" s="285" t="s">
        <v>37</v>
      </c>
      <c r="B48" s="285" t="s">
        <v>486</v>
      </c>
      <c r="C48" s="290">
        <v>3.2551709999999998</v>
      </c>
      <c r="D48" s="290">
        <v>10.825529</v>
      </c>
      <c r="E48" s="290">
        <v>1.0531710000000001</v>
      </c>
      <c r="F48" s="290">
        <v>19.423983</v>
      </c>
      <c r="G48" s="290">
        <v>6.2770190000000001</v>
      </c>
      <c r="H48" s="290">
        <v>1.366725</v>
      </c>
      <c r="I48" s="290">
        <v>1.9369149999999999</v>
      </c>
      <c r="J48" s="290">
        <v>0.4439379</v>
      </c>
      <c r="K48" s="290">
        <v>-0.66609289999999999</v>
      </c>
      <c r="L48" s="290">
        <v>5.4305630000000003</v>
      </c>
      <c r="M48" s="290">
        <v>1.14374</v>
      </c>
      <c r="N48" s="287">
        <v>2.0000000000000001E-4</v>
      </c>
      <c r="O48" s="288">
        <v>2</v>
      </c>
      <c r="P48" s="287">
        <v>1E-4</v>
      </c>
    </row>
    <row r="49" spans="1:16">
      <c r="A49" s="285" t="s">
        <v>38</v>
      </c>
      <c r="B49" s="285" t="s">
        <v>486</v>
      </c>
      <c r="C49" s="290">
        <v>1.9448319999999999</v>
      </c>
      <c r="D49" s="290">
        <v>0.44974999999999998</v>
      </c>
      <c r="E49" s="290">
        <v>0.74303699999999995</v>
      </c>
      <c r="F49" s="290">
        <v>16.357334999999999</v>
      </c>
      <c r="G49" s="290">
        <v>6.2165350000000004</v>
      </c>
      <c r="H49" s="290">
        <v>1.3740159999999999</v>
      </c>
      <c r="I49" s="290">
        <v>50.036487000000001</v>
      </c>
      <c r="J49" s="290">
        <v>8.3753600000000006</v>
      </c>
      <c r="K49" s="290">
        <v>-48.089917999999997</v>
      </c>
      <c r="L49" s="290">
        <v>8.2969349999999995</v>
      </c>
      <c r="M49" s="290">
        <v>1.1490130000000001</v>
      </c>
      <c r="N49" s="287">
        <v>2.9999999999999997E-4</v>
      </c>
      <c r="O49" s="288">
        <v>2</v>
      </c>
      <c r="P49" s="287">
        <v>0</v>
      </c>
    </row>
    <row r="50" spans="1:16">
      <c r="A50" s="285" t="s">
        <v>39</v>
      </c>
      <c r="B50" s="285" t="s">
        <v>486</v>
      </c>
      <c r="C50" s="290">
        <v>4.7187770000000002</v>
      </c>
      <c r="D50" s="290">
        <v>1.624738</v>
      </c>
      <c r="E50" s="290">
        <v>0.2352177</v>
      </c>
      <c r="F50" s="290">
        <v>15.813094</v>
      </c>
      <c r="G50" s="290">
        <v>3.3428930000000001</v>
      </c>
      <c r="H50" s="290">
        <v>0.74421499999999996</v>
      </c>
      <c r="I50" s="290">
        <v>1.2593700000000001</v>
      </c>
      <c r="J50" s="290">
        <v>9.5736150000000002</v>
      </c>
      <c r="K50" s="290">
        <v>-0.1058606</v>
      </c>
      <c r="L50" s="290">
        <v>-0.19228029999999999</v>
      </c>
      <c r="M50" s="290">
        <v>1.5496030000000001</v>
      </c>
      <c r="N50" s="287">
        <v>0</v>
      </c>
      <c r="O50" s="288">
        <v>2</v>
      </c>
      <c r="P50" s="287">
        <v>0</v>
      </c>
    </row>
    <row r="51" spans="1:16">
      <c r="A51" s="285" t="s">
        <v>40</v>
      </c>
      <c r="B51" s="285" t="s">
        <v>486</v>
      </c>
      <c r="C51" s="290">
        <v>3.7500659999999999</v>
      </c>
      <c r="D51" s="290">
        <v>0.89738850000000003</v>
      </c>
      <c r="E51" s="290">
        <v>3.4903740000000001</v>
      </c>
      <c r="F51" s="290">
        <v>1.6836450000000001</v>
      </c>
      <c r="G51" s="290">
        <v>1.203387</v>
      </c>
      <c r="H51" s="290">
        <v>0.1031957</v>
      </c>
      <c r="I51" s="290">
        <v>0.91019019999999995</v>
      </c>
      <c r="J51" s="290">
        <v>2.8679429999999999</v>
      </c>
      <c r="K51" s="290">
        <v>4.8394769999999997E-2</v>
      </c>
      <c r="L51" s="290">
        <v>4.7553320000000001</v>
      </c>
      <c r="M51" s="290">
        <v>0.59758750000000005</v>
      </c>
      <c r="N51" s="287">
        <v>0</v>
      </c>
      <c r="O51" s="288">
        <v>2</v>
      </c>
      <c r="P51" s="287">
        <v>0</v>
      </c>
    </row>
    <row r="52" spans="1:16">
      <c r="A52" s="285" t="s">
        <v>332</v>
      </c>
      <c r="B52" s="285" t="s">
        <v>486</v>
      </c>
      <c r="C52" s="290">
        <v>6.38612</v>
      </c>
      <c r="D52" s="290">
        <v>18.827511999999999</v>
      </c>
      <c r="E52" s="290">
        <v>300</v>
      </c>
      <c r="F52" s="290">
        <v>1.7774110000000001</v>
      </c>
      <c r="G52" s="290">
        <v>2.5718139999999998</v>
      </c>
      <c r="H52" s="290">
        <v>57.562451000000003</v>
      </c>
      <c r="I52" s="290">
        <v>2.306378</v>
      </c>
      <c r="J52" s="290">
        <v>0.4683966</v>
      </c>
      <c r="K52" s="290">
        <v>-294.40524099999999</v>
      </c>
      <c r="L52" s="290">
        <v>1.7875300000000001</v>
      </c>
      <c r="M52" s="290">
        <v>1.133289</v>
      </c>
      <c r="N52" s="287">
        <v>8.2000000000000007E-3</v>
      </c>
      <c r="O52" s="288">
        <v>0.08</v>
      </c>
      <c r="P52" s="287">
        <v>1.9E-3</v>
      </c>
    </row>
    <row r="53" spans="1:16">
      <c r="A53" s="285" t="s">
        <v>41</v>
      </c>
      <c r="B53" s="285" t="s">
        <v>486</v>
      </c>
      <c r="C53" s="290">
        <v>6.9323480000000002</v>
      </c>
      <c r="D53" s="290">
        <v>10.977792000000001</v>
      </c>
      <c r="E53" s="290">
        <v>300</v>
      </c>
      <c r="F53" s="290">
        <v>1.5769869999999999</v>
      </c>
      <c r="G53" s="290">
        <v>3.4199280000000001</v>
      </c>
      <c r="H53" s="290">
        <v>0.46732570000000001</v>
      </c>
      <c r="I53" s="290">
        <v>2.5920559999999999</v>
      </c>
      <c r="J53" s="290">
        <v>24.247053000000001</v>
      </c>
      <c r="K53" s="290">
        <v>-296.13417099999998</v>
      </c>
      <c r="L53" s="290">
        <v>1.588943</v>
      </c>
      <c r="M53" s="290">
        <v>1.1886399999999999</v>
      </c>
      <c r="N53" s="287">
        <v>1.2999999999999999E-3</v>
      </c>
      <c r="O53" s="288">
        <v>0.12</v>
      </c>
      <c r="P53" s="287">
        <v>4.0000000000000002E-4</v>
      </c>
    </row>
    <row r="54" spans="1:16">
      <c r="A54" s="285" t="s">
        <v>333</v>
      </c>
      <c r="B54" s="285" t="s">
        <v>486</v>
      </c>
      <c r="C54" s="290">
        <v>2.5128590000000002</v>
      </c>
      <c r="D54" s="290">
        <v>18.252696</v>
      </c>
      <c r="E54" s="290">
        <v>3.4133420000000001</v>
      </c>
      <c r="F54" s="290">
        <v>0.40128589999999997</v>
      </c>
      <c r="G54" s="290">
        <v>7.2389239999999999</v>
      </c>
      <c r="H54" s="290">
        <v>8.8648249999999997</v>
      </c>
      <c r="I54" s="290">
        <v>-296.32285000000002</v>
      </c>
      <c r="J54" s="290">
        <v>1.3997759999999999</v>
      </c>
      <c r="K54" s="290">
        <v>300</v>
      </c>
      <c r="L54" s="290">
        <v>1.3882380000000001</v>
      </c>
      <c r="M54" s="290">
        <v>1.1570590000000001</v>
      </c>
      <c r="N54" s="287">
        <v>6.9999999999999999E-4</v>
      </c>
      <c r="O54" s="288">
        <v>0.13</v>
      </c>
      <c r="P54" s="287">
        <v>2.9999999999999997E-4</v>
      </c>
    </row>
    <row r="55" spans="1:16">
      <c r="A55" s="285" t="s">
        <v>42</v>
      </c>
      <c r="B55" s="285" t="s">
        <v>486</v>
      </c>
      <c r="C55" s="290">
        <v>7.5914250000000001</v>
      </c>
      <c r="D55" s="290">
        <v>0.61158049999999997</v>
      </c>
      <c r="E55" s="290">
        <v>8.2548770000000005</v>
      </c>
      <c r="F55" s="290">
        <v>7.3309959999999998</v>
      </c>
      <c r="G55" s="290">
        <v>1.443808</v>
      </c>
      <c r="H55" s="290">
        <v>80.615498000000002</v>
      </c>
      <c r="I55" s="290">
        <v>2.6571380000000002</v>
      </c>
      <c r="J55" s="290">
        <v>16.869457000000001</v>
      </c>
      <c r="K55" s="290">
        <v>-1.3851979999999999</v>
      </c>
      <c r="L55" s="290">
        <v>3.1644760000000001</v>
      </c>
      <c r="M55" s="290">
        <v>1.4356819999999999</v>
      </c>
      <c r="N55" s="287">
        <v>3.2000000000000002E-3</v>
      </c>
      <c r="O55" s="288">
        <v>2</v>
      </c>
      <c r="P55" s="287">
        <v>1E-3</v>
      </c>
    </row>
    <row r="56" spans="1:16">
      <c r="A56" s="285" t="s">
        <v>43</v>
      </c>
      <c r="B56" s="285" t="s">
        <v>486</v>
      </c>
      <c r="C56" s="290">
        <v>4.8975229999999996</v>
      </c>
      <c r="D56" s="290">
        <v>13.047444</v>
      </c>
      <c r="E56" s="290">
        <v>7.5562259999999997</v>
      </c>
      <c r="F56" s="290">
        <v>0.60940110000000003</v>
      </c>
      <c r="G56" s="290">
        <v>0.48070950000000001</v>
      </c>
      <c r="H56" s="290">
        <v>35.209584999999997</v>
      </c>
      <c r="I56" s="290">
        <v>300</v>
      </c>
      <c r="J56" s="290">
        <v>5.0454299999999996</v>
      </c>
      <c r="K56" s="290">
        <v>-295.36735099999999</v>
      </c>
      <c r="L56" s="290">
        <v>5.0096290000000003</v>
      </c>
      <c r="M56" s="290">
        <v>1.432658</v>
      </c>
      <c r="N56" s="287">
        <v>3.0000000000000001E-3</v>
      </c>
      <c r="O56" s="288">
        <v>2</v>
      </c>
      <c r="P56" s="287">
        <v>5.0000000000000001E-4</v>
      </c>
    </row>
    <row r="57" spans="1:16">
      <c r="A57" s="285" t="s">
        <v>44</v>
      </c>
      <c r="B57" s="285" t="s">
        <v>486</v>
      </c>
      <c r="C57" s="290">
        <v>7.533099</v>
      </c>
      <c r="D57" s="290">
        <v>7.3352040000000001</v>
      </c>
      <c r="E57" s="290">
        <v>78.896134000000004</v>
      </c>
      <c r="F57" s="290">
        <v>1.180296</v>
      </c>
      <c r="G57" s="290">
        <v>2.4111419999999999</v>
      </c>
      <c r="H57" s="290">
        <v>14.396922999999999</v>
      </c>
      <c r="I57" s="290">
        <v>-74.968603999999999</v>
      </c>
      <c r="J57" s="290">
        <v>1.2240310000000001</v>
      </c>
      <c r="K57" s="290">
        <v>3.07416</v>
      </c>
      <c r="L57" s="290">
        <v>0.30753380000000002</v>
      </c>
      <c r="M57" s="290">
        <v>1.053668</v>
      </c>
      <c r="N57" s="287">
        <v>4.0000000000000002E-4</v>
      </c>
      <c r="O57" s="288">
        <v>0.15</v>
      </c>
      <c r="P57" s="287">
        <v>2.0000000000000001E-4</v>
      </c>
    </row>
    <row r="58" spans="1:16">
      <c r="A58" s="285" t="s">
        <v>334</v>
      </c>
      <c r="B58" s="285" t="s">
        <v>486</v>
      </c>
      <c r="C58" s="290">
        <v>7.580641</v>
      </c>
      <c r="D58" s="290">
        <v>0.54423390000000005</v>
      </c>
      <c r="E58" s="290">
        <v>-2.7215159999999998</v>
      </c>
      <c r="F58" s="290">
        <v>3.1894300000000002</v>
      </c>
      <c r="G58" s="290">
        <v>7.9740739999999999</v>
      </c>
      <c r="H58" s="290">
        <v>5.4349480000000003</v>
      </c>
      <c r="I58" s="290">
        <v>0.7246245</v>
      </c>
      <c r="J58" s="290">
        <v>31.764140000000001</v>
      </c>
      <c r="K58" s="290">
        <v>5.0104340000000001</v>
      </c>
      <c r="L58" s="290">
        <v>11.903724</v>
      </c>
      <c r="M58" s="290">
        <v>1.4313039999999999</v>
      </c>
      <c r="N58" s="287">
        <v>1.1999999999999999E-3</v>
      </c>
      <c r="O58" s="288">
        <v>2</v>
      </c>
      <c r="P58" s="287">
        <v>2.9999999999999997E-4</v>
      </c>
    </row>
    <row r="59" spans="1:16">
      <c r="A59" s="285" t="s">
        <v>45</v>
      </c>
      <c r="B59" s="285" t="s">
        <v>486</v>
      </c>
      <c r="C59" s="290">
        <v>7.5911580000000001</v>
      </c>
      <c r="D59" s="290">
        <v>0.54130149999999999</v>
      </c>
      <c r="E59" s="290">
        <v>-296.17423300000002</v>
      </c>
      <c r="F59" s="290">
        <v>4.0013370000000004</v>
      </c>
      <c r="G59" s="290">
        <v>300</v>
      </c>
      <c r="H59" s="290">
        <v>4.0299129999999996</v>
      </c>
      <c r="I59" s="290">
        <v>0.56016310000000002</v>
      </c>
      <c r="J59" s="290">
        <v>21.941742000000001</v>
      </c>
      <c r="K59" s="290">
        <v>5.5975320000000002</v>
      </c>
      <c r="L59" s="290">
        <v>9.8208660000000005</v>
      </c>
      <c r="M59" s="290">
        <v>1.425284</v>
      </c>
      <c r="N59" s="287">
        <v>1.1000000000000001E-3</v>
      </c>
      <c r="O59" s="288">
        <v>2</v>
      </c>
      <c r="P59" s="287">
        <v>2.0000000000000001E-4</v>
      </c>
    </row>
    <row r="60" spans="1:16">
      <c r="A60" s="285" t="s">
        <v>46</v>
      </c>
      <c r="B60" s="285" t="s">
        <v>486</v>
      </c>
      <c r="C60" s="290">
        <v>44.331488</v>
      </c>
      <c r="D60" s="290">
        <v>0.98226329999999995</v>
      </c>
      <c r="E60" s="290">
        <v>-39.751987999999997</v>
      </c>
      <c r="F60" s="290">
        <v>1.0618019999999999</v>
      </c>
      <c r="G60" s="290">
        <v>7.8079890000000001</v>
      </c>
      <c r="H60" s="290">
        <v>6.1875819999999999</v>
      </c>
      <c r="I60" s="290">
        <v>2.2959849999999999</v>
      </c>
      <c r="J60" s="290">
        <v>11.732991999999999</v>
      </c>
      <c r="K60" s="290">
        <v>2.6927850000000002</v>
      </c>
      <c r="L60" s="290">
        <v>0.1678518</v>
      </c>
      <c r="M60" s="290">
        <v>0.62348950000000003</v>
      </c>
      <c r="N60" s="287">
        <v>2.9999999999999997E-4</v>
      </c>
      <c r="O60" s="288">
        <v>0.16</v>
      </c>
      <c r="P60" s="287">
        <v>1E-4</v>
      </c>
    </row>
    <row r="61" spans="1:16">
      <c r="A61" s="285" t="s">
        <v>47</v>
      </c>
      <c r="B61" s="285" t="s">
        <v>486</v>
      </c>
      <c r="C61" s="290">
        <v>7.922015</v>
      </c>
      <c r="D61" s="290">
        <v>0.51039730000000005</v>
      </c>
      <c r="E61" s="290">
        <v>8.7652990000000006</v>
      </c>
      <c r="F61" s="290">
        <v>6.069331</v>
      </c>
      <c r="G61" s="290">
        <v>4.0737909999999999</v>
      </c>
      <c r="H61" s="290">
        <v>14.936624</v>
      </c>
      <c r="I61" s="290">
        <v>1.013061</v>
      </c>
      <c r="J61" s="290">
        <v>46.555436999999998</v>
      </c>
      <c r="K61" s="290">
        <v>-1.2524249999999999</v>
      </c>
      <c r="L61" s="290">
        <v>1.4992239999999999</v>
      </c>
      <c r="M61" s="290">
        <v>1.4769140000000001</v>
      </c>
      <c r="N61" s="287">
        <v>1.5E-3</v>
      </c>
      <c r="O61" s="288">
        <v>0.09</v>
      </c>
      <c r="P61" s="287">
        <v>5.9999999999999995E-4</v>
      </c>
    </row>
    <row r="62" spans="1:16">
      <c r="A62" s="285" t="s">
        <v>48</v>
      </c>
      <c r="B62" s="285" t="s">
        <v>486</v>
      </c>
      <c r="C62" s="290">
        <v>7.9798270000000002</v>
      </c>
      <c r="D62" s="290">
        <v>5.4449719999999999</v>
      </c>
      <c r="E62" s="290">
        <v>7.665699</v>
      </c>
      <c r="F62" s="290">
        <v>0.49396309999999999</v>
      </c>
      <c r="G62" s="290">
        <v>0.78968660000000002</v>
      </c>
      <c r="H62" s="290">
        <v>30.111021999999998</v>
      </c>
      <c r="I62" s="290">
        <v>-1.472831</v>
      </c>
      <c r="J62" s="290">
        <v>2.0933679999999999</v>
      </c>
      <c r="K62" s="290">
        <v>4.5946179999999996</v>
      </c>
      <c r="L62" s="290">
        <v>11.683346999999999</v>
      </c>
      <c r="M62" s="290">
        <v>1.442598</v>
      </c>
      <c r="N62" s="287">
        <v>6.9999999999999999E-4</v>
      </c>
      <c r="O62" s="288">
        <v>2</v>
      </c>
      <c r="P62" s="287">
        <v>2.0000000000000001E-4</v>
      </c>
    </row>
    <row r="63" spans="1:16">
      <c r="A63" s="285" t="s">
        <v>49</v>
      </c>
      <c r="B63" s="285" t="s">
        <v>486</v>
      </c>
      <c r="C63" s="290">
        <v>7.6206300000000002</v>
      </c>
      <c r="D63" s="290">
        <v>0.48746080000000003</v>
      </c>
      <c r="E63" s="290">
        <v>7.4897939999999998</v>
      </c>
      <c r="F63" s="290">
        <v>4.6481000000000003</v>
      </c>
      <c r="G63" s="290">
        <v>0.68767670000000003</v>
      </c>
      <c r="H63" s="290">
        <v>21.220748</v>
      </c>
      <c r="I63" s="290">
        <v>-2.5615549999999998</v>
      </c>
      <c r="J63" s="290">
        <v>2.5361539999999998</v>
      </c>
      <c r="K63" s="290">
        <v>5.3366769999999999</v>
      </c>
      <c r="L63" s="290">
        <v>9.3692969999999995</v>
      </c>
      <c r="M63" s="290">
        <v>1.426612</v>
      </c>
      <c r="N63" s="287">
        <v>5.0000000000000001E-4</v>
      </c>
      <c r="O63" s="288">
        <v>2</v>
      </c>
      <c r="P63" s="287">
        <v>1E-4</v>
      </c>
    </row>
    <row r="64" spans="1:16">
      <c r="A64" s="285" t="s">
        <v>50</v>
      </c>
      <c r="B64" s="285" t="s">
        <v>486</v>
      </c>
      <c r="C64" s="290">
        <v>7.6239869999999996</v>
      </c>
      <c r="D64" s="290">
        <v>0.483288</v>
      </c>
      <c r="E64" s="290">
        <v>300</v>
      </c>
      <c r="F64" s="290">
        <v>3.3210320000000002</v>
      </c>
      <c r="G64" s="290">
        <v>-296.82644199999999</v>
      </c>
      <c r="H64" s="290">
        <v>3.2977729999999998</v>
      </c>
      <c r="I64" s="290">
        <v>0.67925460000000004</v>
      </c>
      <c r="J64" s="290">
        <v>15.604545</v>
      </c>
      <c r="K64" s="290">
        <v>6.1068610000000003</v>
      </c>
      <c r="L64" s="290">
        <v>7.7433379999999996</v>
      </c>
      <c r="M64" s="290">
        <v>1.4162779999999999</v>
      </c>
      <c r="N64" s="287">
        <v>2.9999999999999997E-4</v>
      </c>
      <c r="O64" s="288">
        <v>2</v>
      </c>
      <c r="P64" s="287">
        <v>1E-4</v>
      </c>
    </row>
    <row r="65" spans="1:16">
      <c r="A65" s="285" t="s">
        <v>51</v>
      </c>
      <c r="B65" s="285" t="s">
        <v>486</v>
      </c>
      <c r="C65" s="290">
        <v>7.6719179999999998</v>
      </c>
      <c r="D65" s="290">
        <v>0.48140359999999999</v>
      </c>
      <c r="E65" s="290">
        <v>300</v>
      </c>
      <c r="F65" s="290">
        <v>3.179192</v>
      </c>
      <c r="G65" s="290">
        <v>0.54325080000000003</v>
      </c>
      <c r="H65" s="290">
        <v>12.419824999999999</v>
      </c>
      <c r="I65" s="290">
        <v>-297.31805200000002</v>
      </c>
      <c r="J65" s="290">
        <v>3.1572369999999998</v>
      </c>
      <c r="K65" s="290">
        <v>5.6910220000000002</v>
      </c>
      <c r="L65" s="290">
        <v>7.0293650000000003</v>
      </c>
      <c r="M65" s="290">
        <v>1.411872</v>
      </c>
      <c r="N65" s="287">
        <v>2.9999999999999997E-4</v>
      </c>
      <c r="O65" s="288">
        <v>2</v>
      </c>
      <c r="P65" s="287">
        <v>0</v>
      </c>
    </row>
    <row r="66" spans="1:16">
      <c r="A66" s="285" t="s">
        <v>52</v>
      </c>
      <c r="B66" s="285" t="s">
        <v>486</v>
      </c>
      <c r="C66" s="290">
        <v>4.370323</v>
      </c>
      <c r="D66" s="290">
        <v>13.672672</v>
      </c>
      <c r="E66" s="290">
        <v>9.3064619999999998</v>
      </c>
      <c r="F66" s="290">
        <v>5.4858339999999997</v>
      </c>
      <c r="G66" s="290">
        <v>10.994759999999999</v>
      </c>
      <c r="H66" s="290">
        <v>0.52936349999999999</v>
      </c>
      <c r="I66" s="290">
        <v>1.0993170000000001</v>
      </c>
      <c r="J66" s="290">
        <v>41.463298999999999</v>
      </c>
      <c r="K66" s="290">
        <v>-4.3378410000000001</v>
      </c>
      <c r="L66" s="290">
        <v>0.82199800000000001</v>
      </c>
      <c r="M66" s="290">
        <v>1.5656000000000001</v>
      </c>
      <c r="N66" s="287">
        <v>1.5E-3</v>
      </c>
      <c r="O66" s="288">
        <v>0.09</v>
      </c>
      <c r="P66" s="287">
        <v>5.9999999999999995E-4</v>
      </c>
    </row>
    <row r="67" spans="1:16">
      <c r="A67" s="285" t="s">
        <v>53</v>
      </c>
      <c r="B67" s="285" t="s">
        <v>486</v>
      </c>
      <c r="C67" s="290">
        <v>4.6350610000000003</v>
      </c>
      <c r="D67" s="290">
        <v>11.071941000000001</v>
      </c>
      <c r="E67" s="290">
        <v>7.8743550000000004</v>
      </c>
      <c r="F67" s="290">
        <v>0.4574648</v>
      </c>
      <c r="G67" s="290">
        <v>0.86700730000000004</v>
      </c>
      <c r="H67" s="290">
        <v>28.025234000000001</v>
      </c>
      <c r="I67" s="290">
        <v>-1.4421390000000001</v>
      </c>
      <c r="J67" s="290">
        <v>1.4562790000000001</v>
      </c>
      <c r="K67" s="290">
        <v>8.594519</v>
      </c>
      <c r="L67" s="290">
        <v>5.0679160000000003</v>
      </c>
      <c r="M67" s="290">
        <v>1.470785</v>
      </c>
      <c r="N67" s="287">
        <v>5.0000000000000001E-4</v>
      </c>
      <c r="O67" s="288">
        <v>2</v>
      </c>
      <c r="P67" s="287">
        <v>2.0000000000000001E-4</v>
      </c>
    </row>
    <row r="68" spans="1:16">
      <c r="A68" s="285" t="s">
        <v>54</v>
      </c>
      <c r="B68" s="285" t="s">
        <v>486</v>
      </c>
      <c r="C68" s="290">
        <v>7.7109959999999997</v>
      </c>
      <c r="D68" s="290">
        <v>0.44575219999999999</v>
      </c>
      <c r="E68" s="290">
        <v>0.70439719999999995</v>
      </c>
      <c r="F68" s="290">
        <v>20.748132999999999</v>
      </c>
      <c r="G68" s="290">
        <v>4.895143</v>
      </c>
      <c r="H68" s="290">
        <v>9.2440949999999997</v>
      </c>
      <c r="I68" s="290">
        <v>7.9402299999999997</v>
      </c>
      <c r="J68" s="290">
        <v>4.6319429999999997</v>
      </c>
      <c r="K68" s="290">
        <v>-1.691961</v>
      </c>
      <c r="L68" s="290">
        <v>1.7900860000000001</v>
      </c>
      <c r="M68" s="290">
        <v>1.441041</v>
      </c>
      <c r="N68" s="287">
        <v>2.9999999999999997E-4</v>
      </c>
      <c r="O68" s="288">
        <v>2</v>
      </c>
      <c r="P68" s="287">
        <v>1E-4</v>
      </c>
    </row>
    <row r="69" spans="1:16">
      <c r="A69" s="285" t="s">
        <v>55</v>
      </c>
      <c r="B69" s="285" t="s">
        <v>486</v>
      </c>
      <c r="C69" s="290">
        <v>7.344214</v>
      </c>
      <c r="D69" s="290">
        <v>4.1343519999999998</v>
      </c>
      <c r="E69" s="290">
        <v>7.6745989999999997</v>
      </c>
      <c r="F69" s="290">
        <v>0.4396988</v>
      </c>
      <c r="G69" s="290">
        <v>0.62654319999999997</v>
      </c>
      <c r="H69" s="290">
        <v>15.951817</v>
      </c>
      <c r="I69" s="290">
        <v>-2.3445749999999999</v>
      </c>
      <c r="J69" s="290">
        <v>2.0256720000000001</v>
      </c>
      <c r="K69" s="290">
        <v>5.2751140000000003</v>
      </c>
      <c r="L69" s="290">
        <v>7.7995999999999999</v>
      </c>
      <c r="M69" s="290">
        <v>1.424037</v>
      </c>
      <c r="N69" s="287">
        <v>2.0000000000000001E-4</v>
      </c>
      <c r="O69" s="288">
        <v>2</v>
      </c>
      <c r="P69" s="287">
        <v>0</v>
      </c>
    </row>
    <row r="70" spans="1:16">
      <c r="A70" s="285" t="s">
        <v>56</v>
      </c>
      <c r="B70" s="285" t="s">
        <v>486</v>
      </c>
      <c r="C70" s="290">
        <v>7.6704350000000003</v>
      </c>
      <c r="D70" s="290">
        <v>0.43478050000000001</v>
      </c>
      <c r="E70" s="290">
        <v>5.9886699999999999</v>
      </c>
      <c r="F70" s="290">
        <v>6.5413079999999999</v>
      </c>
      <c r="G70" s="290">
        <v>7.970745</v>
      </c>
      <c r="H70" s="290">
        <v>3.4031570000000002</v>
      </c>
      <c r="I70" s="290">
        <v>0.67836490000000005</v>
      </c>
      <c r="J70" s="290">
        <v>12.317901000000001</v>
      </c>
      <c r="K70" s="290">
        <v>-4.7181430000000004</v>
      </c>
      <c r="L70" s="290">
        <v>2.3225410000000002</v>
      </c>
      <c r="M70" s="290">
        <v>1.409894</v>
      </c>
      <c r="N70" s="287">
        <v>1E-4</v>
      </c>
      <c r="O70" s="288">
        <v>2</v>
      </c>
      <c r="P70" s="287">
        <v>0</v>
      </c>
    </row>
    <row r="71" spans="1:16">
      <c r="A71" s="285" t="s">
        <v>57</v>
      </c>
      <c r="B71" s="285" t="s">
        <v>486</v>
      </c>
      <c r="C71" s="290">
        <v>7.7271159999999997</v>
      </c>
      <c r="D71" s="290">
        <v>0.43320069999999999</v>
      </c>
      <c r="E71" s="290">
        <v>8.0322320000000005</v>
      </c>
      <c r="F71" s="290">
        <v>3.2009919999999998</v>
      </c>
      <c r="G71" s="290">
        <v>5.6473089999999999</v>
      </c>
      <c r="H71" s="290">
        <v>5.9349660000000002</v>
      </c>
      <c r="I71" s="290">
        <v>-5.4239829999999998</v>
      </c>
      <c r="J71" s="290">
        <v>2.2727050000000002</v>
      </c>
      <c r="K71" s="290">
        <v>0.61158109999999999</v>
      </c>
      <c r="L71" s="290">
        <v>10.12515</v>
      </c>
      <c r="M71" s="290">
        <v>1.405745</v>
      </c>
      <c r="N71" s="287">
        <v>1E-4</v>
      </c>
      <c r="O71" s="288">
        <v>2</v>
      </c>
      <c r="P71" s="287">
        <v>0</v>
      </c>
    </row>
    <row r="72" spans="1:16">
      <c r="A72" s="285" t="s">
        <v>58</v>
      </c>
      <c r="B72" s="285" t="s">
        <v>486</v>
      </c>
      <c r="C72" s="290">
        <v>10.033674</v>
      </c>
      <c r="D72" s="290">
        <v>0.24968290000000001</v>
      </c>
      <c r="E72" s="290">
        <v>10.556022</v>
      </c>
      <c r="F72" s="290">
        <v>5.0808340000000003</v>
      </c>
      <c r="G72" s="290">
        <v>3.5998389999999998</v>
      </c>
      <c r="H72" s="290">
        <v>13.780453</v>
      </c>
      <c r="I72" s="290">
        <v>1.5265839999999999</v>
      </c>
      <c r="J72" s="290">
        <v>57.137203</v>
      </c>
      <c r="K72" s="290">
        <v>1.328309</v>
      </c>
      <c r="L72" s="290">
        <v>-0.1388809</v>
      </c>
      <c r="M72" s="290">
        <v>-3.047714</v>
      </c>
      <c r="N72" s="287">
        <v>3.5999999999999999E-3</v>
      </c>
      <c r="O72" s="288">
        <v>0.08</v>
      </c>
      <c r="P72" s="287">
        <v>1.1999999999999999E-3</v>
      </c>
    </row>
    <row r="73" spans="1:16">
      <c r="A73" s="285" t="s">
        <v>59</v>
      </c>
      <c r="B73" s="285" t="s">
        <v>486</v>
      </c>
      <c r="C73" s="290">
        <v>9.1115569999999995</v>
      </c>
      <c r="D73" s="290">
        <v>0.45399109999999998</v>
      </c>
      <c r="E73" s="290">
        <v>9.2034059999999993</v>
      </c>
      <c r="F73" s="290">
        <v>4.658398</v>
      </c>
      <c r="G73" s="290">
        <v>4.8164499999999997</v>
      </c>
      <c r="H73" s="290">
        <v>10.365760999999999</v>
      </c>
      <c r="I73" s="290">
        <v>0.94422729999999999</v>
      </c>
      <c r="J73" s="290">
        <v>26.006004999999998</v>
      </c>
      <c r="K73" s="290">
        <v>-2.6245240000000001</v>
      </c>
      <c r="L73" s="290">
        <v>0.90464250000000002</v>
      </c>
      <c r="M73" s="290">
        <v>1.5484469999999999</v>
      </c>
      <c r="N73" s="287">
        <v>5.0000000000000001E-4</v>
      </c>
      <c r="O73" s="288">
        <v>2</v>
      </c>
      <c r="P73" s="287">
        <v>2.0000000000000001E-4</v>
      </c>
    </row>
    <row r="74" spans="1:16">
      <c r="A74" s="285" t="s">
        <v>60</v>
      </c>
      <c r="B74" s="285" t="s">
        <v>486</v>
      </c>
      <c r="C74" s="290">
        <v>4.8875640000000002</v>
      </c>
      <c r="D74" s="290">
        <v>8.8449290000000005</v>
      </c>
      <c r="E74" s="290">
        <v>7.9361199999999998</v>
      </c>
      <c r="F74" s="290">
        <v>0.41605999999999999</v>
      </c>
      <c r="G74" s="290">
        <v>0.75675979999999998</v>
      </c>
      <c r="H74" s="290">
        <v>19.776869000000001</v>
      </c>
      <c r="I74" s="290">
        <v>8.6195229999999992</v>
      </c>
      <c r="J74" s="290">
        <v>4.3514910000000002</v>
      </c>
      <c r="K74" s="290">
        <v>-1.6739360000000001</v>
      </c>
      <c r="L74" s="290">
        <v>1.293304</v>
      </c>
      <c r="M74" s="290">
        <v>1.4738119999999999</v>
      </c>
      <c r="N74" s="287">
        <v>2.0000000000000001E-4</v>
      </c>
      <c r="O74" s="288">
        <v>2</v>
      </c>
      <c r="P74" s="287">
        <v>1E-4</v>
      </c>
    </row>
    <row r="75" spans="1:16">
      <c r="A75" s="285" t="s">
        <v>61</v>
      </c>
      <c r="B75" s="285" t="s">
        <v>486</v>
      </c>
      <c r="C75" s="290">
        <v>-1.8590390000000001</v>
      </c>
      <c r="D75" s="290">
        <v>1.5141929999999999</v>
      </c>
      <c r="E75" s="290">
        <v>8.061852</v>
      </c>
      <c r="F75" s="290">
        <v>4.0386410000000001</v>
      </c>
      <c r="G75" s="290">
        <v>7.7783110000000004</v>
      </c>
      <c r="H75" s="290">
        <v>0.40520309999999998</v>
      </c>
      <c r="I75" s="290">
        <v>0.62498869999999995</v>
      </c>
      <c r="J75" s="290">
        <v>15.723490999999999</v>
      </c>
      <c r="K75" s="290">
        <v>4.951155</v>
      </c>
      <c r="L75" s="290">
        <v>7.6612609999999997</v>
      </c>
      <c r="M75" s="290">
        <v>1.4426669999999999</v>
      </c>
      <c r="N75" s="287">
        <v>1E-4</v>
      </c>
      <c r="O75" s="288">
        <v>2</v>
      </c>
      <c r="P75" s="287">
        <v>0</v>
      </c>
    </row>
    <row r="76" spans="1:16">
      <c r="A76" s="285" t="s">
        <v>62</v>
      </c>
      <c r="B76" s="285" t="s">
        <v>486</v>
      </c>
      <c r="C76" s="290">
        <v>0.55475390000000002</v>
      </c>
      <c r="D76" s="290">
        <v>12.753417000000001</v>
      </c>
      <c r="E76" s="290">
        <v>7.7398670000000003</v>
      </c>
      <c r="F76" s="290">
        <v>0.39917160000000002</v>
      </c>
      <c r="G76" s="290">
        <v>-2.2964950000000002</v>
      </c>
      <c r="H76" s="290">
        <v>1.6632709999999999</v>
      </c>
      <c r="I76" s="290">
        <v>7.4954789999999996</v>
      </c>
      <c r="J76" s="290">
        <v>3.703783</v>
      </c>
      <c r="K76" s="290">
        <v>5.0827</v>
      </c>
      <c r="L76" s="290">
        <v>6.6758499999999996</v>
      </c>
      <c r="M76" s="290">
        <v>1.423665</v>
      </c>
      <c r="N76" s="287">
        <v>1E-4</v>
      </c>
      <c r="O76" s="288">
        <v>2</v>
      </c>
      <c r="P76" s="287">
        <v>0</v>
      </c>
    </row>
    <row r="77" spans="1:16">
      <c r="A77" s="285" t="s">
        <v>63</v>
      </c>
      <c r="B77" s="285" t="s">
        <v>486</v>
      </c>
      <c r="C77" s="290">
        <v>5.4150970000000003</v>
      </c>
      <c r="D77" s="290">
        <v>5.7942650000000002</v>
      </c>
      <c r="E77" s="290">
        <v>7.739071</v>
      </c>
      <c r="F77" s="290">
        <v>0.39452589999999998</v>
      </c>
      <c r="G77" s="290">
        <v>6.9820909999999996</v>
      </c>
      <c r="H77" s="290">
        <v>3.2986230000000001</v>
      </c>
      <c r="I77" s="290">
        <v>-3.1157940000000002</v>
      </c>
      <c r="J77" s="290">
        <v>1.796832</v>
      </c>
      <c r="K77" s="290">
        <v>0.57092430000000005</v>
      </c>
      <c r="L77" s="290">
        <v>10.361186</v>
      </c>
      <c r="M77" s="290">
        <v>1.4085970000000001</v>
      </c>
      <c r="N77" s="287">
        <v>0</v>
      </c>
      <c r="O77" s="288">
        <v>2</v>
      </c>
      <c r="P77" s="287">
        <v>0</v>
      </c>
    </row>
    <row r="78" spans="1:16">
      <c r="A78" s="285" t="s">
        <v>64</v>
      </c>
      <c r="B78" s="285" t="s">
        <v>486</v>
      </c>
      <c r="C78" s="290">
        <v>11.349171</v>
      </c>
      <c r="D78" s="290">
        <v>2.5674049999999999</v>
      </c>
      <c r="E78" s="290">
        <v>7.7502820000000003</v>
      </c>
      <c r="F78" s="290">
        <v>0.38995489999999999</v>
      </c>
      <c r="G78" s="290">
        <v>-9.4215579999999992</v>
      </c>
      <c r="H78" s="290">
        <v>2.0942560000000001</v>
      </c>
      <c r="I78" s="290">
        <v>6.1696470000000003</v>
      </c>
      <c r="J78" s="290">
        <v>4.9368619999999996</v>
      </c>
      <c r="K78" s="290">
        <v>0.75879300000000005</v>
      </c>
      <c r="L78" s="290">
        <v>8.3236899999999991</v>
      </c>
      <c r="M78" s="290">
        <v>1.393659</v>
      </c>
      <c r="N78" s="287">
        <v>0</v>
      </c>
      <c r="O78" s="288">
        <v>2</v>
      </c>
      <c r="P78" s="287">
        <v>0</v>
      </c>
    </row>
    <row r="79" spans="1:16">
      <c r="A79" s="285" t="s">
        <v>65</v>
      </c>
      <c r="B79" s="285" t="s">
        <v>486</v>
      </c>
      <c r="C79" s="290">
        <v>11.129904</v>
      </c>
      <c r="D79" s="290">
        <v>4.5961040000000004</v>
      </c>
      <c r="E79" s="290">
        <v>7.6409609999999999</v>
      </c>
      <c r="F79" s="290">
        <v>0.28328389999999998</v>
      </c>
      <c r="G79" s="290">
        <v>1.5502480000000001</v>
      </c>
      <c r="H79" s="290">
        <v>53.029513999999999</v>
      </c>
      <c r="I79" s="290">
        <v>3.997827</v>
      </c>
      <c r="J79" s="290">
        <v>12.585440999999999</v>
      </c>
      <c r="K79" s="290">
        <v>4.2266180000000001E-4</v>
      </c>
      <c r="L79" s="290">
        <v>-1.228056</v>
      </c>
      <c r="M79" s="290">
        <v>0.6769096</v>
      </c>
      <c r="N79" s="287">
        <v>4.0000000000000001E-3</v>
      </c>
      <c r="O79" s="288">
        <v>0.09</v>
      </c>
      <c r="P79" s="287">
        <v>1.2999999999999999E-3</v>
      </c>
    </row>
    <row r="80" spans="1:16">
      <c r="A80" s="285" t="s">
        <v>66</v>
      </c>
      <c r="B80" s="285" t="s">
        <v>486</v>
      </c>
      <c r="C80" s="290">
        <v>9.6895500000000006</v>
      </c>
      <c r="D80" s="290">
        <v>4.2156929999999999</v>
      </c>
      <c r="E80" s="290">
        <v>300</v>
      </c>
      <c r="F80" s="290">
        <v>0.53159120000000004</v>
      </c>
      <c r="G80" s="290">
        <v>1.0631200000000001</v>
      </c>
      <c r="H80" s="290">
        <v>23.855560000000001</v>
      </c>
      <c r="I80" s="290">
        <v>5.1964240000000004</v>
      </c>
      <c r="J80" s="290">
        <v>9.4820879999999992</v>
      </c>
      <c r="K80" s="290">
        <v>-293.56363800000003</v>
      </c>
      <c r="L80" s="290">
        <v>0.53744179999999997</v>
      </c>
      <c r="M80" s="290">
        <v>1.614017</v>
      </c>
      <c r="N80" s="287">
        <v>5.9999999999999995E-4</v>
      </c>
      <c r="O80" s="288">
        <v>0.12</v>
      </c>
      <c r="P80" s="287">
        <v>2.0000000000000001E-4</v>
      </c>
    </row>
    <row r="81" spans="1:16">
      <c r="A81" s="285" t="s">
        <v>67</v>
      </c>
      <c r="B81" s="285" t="s">
        <v>486</v>
      </c>
      <c r="C81" s="290">
        <v>9.2760429999999996</v>
      </c>
      <c r="D81" s="290">
        <v>0.4175316</v>
      </c>
      <c r="E81" s="290">
        <v>5.0235669999999999</v>
      </c>
      <c r="F81" s="290">
        <v>8.3702509999999997</v>
      </c>
      <c r="G81" s="290">
        <v>9.2659389999999995</v>
      </c>
      <c r="H81" s="290">
        <v>4.0388159999999997</v>
      </c>
      <c r="I81" s="290">
        <v>0.81754890000000002</v>
      </c>
      <c r="J81" s="290">
        <v>18.707708</v>
      </c>
      <c r="K81" s="290">
        <v>-2.943387</v>
      </c>
      <c r="L81" s="290">
        <v>0.82726619999999995</v>
      </c>
      <c r="M81" s="290">
        <v>1.5601210000000001</v>
      </c>
      <c r="N81" s="287">
        <v>2.0000000000000001E-4</v>
      </c>
      <c r="O81" s="288">
        <v>2</v>
      </c>
      <c r="P81" s="287">
        <v>1E-4</v>
      </c>
    </row>
    <row r="82" spans="1:16">
      <c r="A82" s="285" t="s">
        <v>68</v>
      </c>
      <c r="B82" s="285" t="s">
        <v>486</v>
      </c>
      <c r="C82" s="290">
        <v>8.0650329999999997</v>
      </c>
      <c r="D82" s="290">
        <v>0.38249109999999997</v>
      </c>
      <c r="E82" s="290">
        <v>4.9543600000000003</v>
      </c>
      <c r="F82" s="290">
        <v>7.3575600000000003</v>
      </c>
      <c r="G82" s="290">
        <v>0.66086869999999998</v>
      </c>
      <c r="H82" s="290">
        <v>15.153088</v>
      </c>
      <c r="I82" s="290">
        <v>8.7682120000000001</v>
      </c>
      <c r="J82" s="290">
        <v>3.8053659999999998</v>
      </c>
      <c r="K82" s="290">
        <v>-1.932369</v>
      </c>
      <c r="L82" s="290">
        <v>1.116509</v>
      </c>
      <c r="M82" s="290">
        <v>1.4838290000000001</v>
      </c>
      <c r="N82" s="287">
        <v>1E-4</v>
      </c>
      <c r="O82" s="288">
        <v>2</v>
      </c>
      <c r="P82" s="287">
        <v>0</v>
      </c>
    </row>
    <row r="83" spans="1:16">
      <c r="A83" s="285" t="s">
        <v>69</v>
      </c>
      <c r="B83" s="285" t="s">
        <v>486</v>
      </c>
      <c r="C83" s="290">
        <v>0.54914890000000005</v>
      </c>
      <c r="D83" s="290">
        <v>12.587383000000001</v>
      </c>
      <c r="E83" s="290">
        <v>8.2782029999999995</v>
      </c>
      <c r="F83" s="290">
        <v>3.5700720000000001</v>
      </c>
      <c r="G83" s="290">
        <v>7.8693439999999999</v>
      </c>
      <c r="H83" s="290">
        <v>0.37099919999999997</v>
      </c>
      <c r="I83" s="290">
        <v>-2.0264289999999998</v>
      </c>
      <c r="J83" s="290">
        <v>1.2848470000000001</v>
      </c>
      <c r="K83" s="290">
        <v>4.8817130000000004</v>
      </c>
      <c r="L83" s="290">
        <v>6.5252319999999999</v>
      </c>
      <c r="M83" s="290">
        <v>1.4479919999999999</v>
      </c>
      <c r="N83" s="287">
        <v>1E-4</v>
      </c>
      <c r="O83" s="288">
        <v>2</v>
      </c>
      <c r="P83" s="287">
        <v>0</v>
      </c>
    </row>
    <row r="84" spans="1:16">
      <c r="A84" s="285" t="s">
        <v>70</v>
      </c>
      <c r="B84" s="285" t="s">
        <v>486</v>
      </c>
      <c r="C84" s="290">
        <v>0.48413020000000001</v>
      </c>
      <c r="D84" s="290">
        <v>10.581911</v>
      </c>
      <c r="E84" s="290">
        <v>4.8541489999999996</v>
      </c>
      <c r="F84" s="290">
        <v>5.8105789999999997</v>
      </c>
      <c r="G84" s="290">
        <v>7.817043</v>
      </c>
      <c r="H84" s="290">
        <v>0.36459940000000002</v>
      </c>
      <c r="I84" s="290">
        <v>7.7625659999999996</v>
      </c>
      <c r="J84" s="290">
        <v>3.326616</v>
      </c>
      <c r="K84" s="290">
        <v>-2.3436720000000002</v>
      </c>
      <c r="L84" s="290">
        <v>1.3959729999999999</v>
      </c>
      <c r="M84" s="290">
        <v>1.42577</v>
      </c>
      <c r="N84" s="287">
        <v>0</v>
      </c>
      <c r="O84" s="288">
        <v>2</v>
      </c>
      <c r="P84" s="287">
        <v>0</v>
      </c>
    </row>
    <row r="85" spans="1:16">
      <c r="A85" s="285" t="s">
        <v>71</v>
      </c>
      <c r="B85" s="285" t="s">
        <v>486</v>
      </c>
      <c r="C85" s="290">
        <v>1.3525370000000001</v>
      </c>
      <c r="D85" s="290">
        <v>30.830679</v>
      </c>
      <c r="E85" s="290">
        <v>7.622268</v>
      </c>
      <c r="F85" s="290">
        <v>0.25829190000000002</v>
      </c>
      <c r="G85" s="290">
        <v>10.945686</v>
      </c>
      <c r="H85" s="290">
        <v>4.0788250000000001</v>
      </c>
      <c r="I85" s="290">
        <v>5.4125779999999999</v>
      </c>
      <c r="J85" s="290">
        <v>10.414208</v>
      </c>
      <c r="K85" s="290">
        <v>1.9309190000000001E-4</v>
      </c>
      <c r="L85" s="290">
        <v>-1.3300419999999999</v>
      </c>
      <c r="M85" s="290">
        <v>0.66503409999999996</v>
      </c>
      <c r="N85" s="287">
        <v>1.8E-3</v>
      </c>
      <c r="O85" s="288">
        <v>0.11</v>
      </c>
      <c r="P85" s="287">
        <v>6.9999999999999999E-4</v>
      </c>
    </row>
    <row r="86" spans="1:16">
      <c r="A86" s="285" t="s">
        <v>72</v>
      </c>
      <c r="B86" s="285" t="s">
        <v>486</v>
      </c>
      <c r="C86" s="290">
        <v>5.3402969999999996</v>
      </c>
      <c r="D86" s="290">
        <v>8.9792860000000001</v>
      </c>
      <c r="E86" s="290">
        <v>10.391204</v>
      </c>
      <c r="F86" s="290">
        <v>3.9127939999999999</v>
      </c>
      <c r="G86" s="290">
        <v>48.895105999999998</v>
      </c>
      <c r="H86" s="290">
        <v>0.1001638</v>
      </c>
      <c r="I86" s="290">
        <v>1.09796</v>
      </c>
      <c r="J86" s="290">
        <v>22.46528</v>
      </c>
      <c r="K86" s="290">
        <v>-77.341030000000003</v>
      </c>
      <c r="L86" s="290">
        <v>3.9834429999999997E-2</v>
      </c>
      <c r="M86" s="290">
        <v>36.615943999999999</v>
      </c>
      <c r="N86" s="287">
        <v>5.9999999999999995E-4</v>
      </c>
      <c r="O86" s="288">
        <v>0.12</v>
      </c>
      <c r="P86" s="287">
        <v>2.0000000000000001E-4</v>
      </c>
    </row>
    <row r="87" spans="1:16">
      <c r="A87" s="285" t="s">
        <v>73</v>
      </c>
      <c r="B87" s="285" t="s">
        <v>486</v>
      </c>
      <c r="C87" s="290">
        <v>0.93152069999999998</v>
      </c>
      <c r="D87" s="290">
        <v>17.410257999999999</v>
      </c>
      <c r="E87" s="290">
        <v>78.966539999999995</v>
      </c>
      <c r="F87" s="290">
        <v>0.4848345</v>
      </c>
      <c r="G87" s="290">
        <v>5.3915680000000004</v>
      </c>
      <c r="H87" s="290">
        <v>7.7335409999999998</v>
      </c>
      <c r="I87" s="290">
        <v>9.7538590000000003</v>
      </c>
      <c r="J87" s="290">
        <v>3.6838799999999998</v>
      </c>
      <c r="K87" s="290">
        <v>-72.672608999999994</v>
      </c>
      <c r="L87" s="290">
        <v>0.50716170000000005</v>
      </c>
      <c r="M87" s="290">
        <v>1.6289070000000001</v>
      </c>
      <c r="N87" s="287">
        <v>2.0000000000000001E-4</v>
      </c>
      <c r="O87" s="288">
        <v>0.13</v>
      </c>
      <c r="P87" s="287">
        <v>1E-4</v>
      </c>
    </row>
    <row r="88" spans="1:16">
      <c r="A88" s="285" t="s">
        <v>74</v>
      </c>
      <c r="B88" s="285" t="s">
        <v>486</v>
      </c>
      <c r="C88" s="290">
        <v>10.267901</v>
      </c>
      <c r="D88" s="290">
        <v>0.39787339999999999</v>
      </c>
      <c r="E88" s="290">
        <v>9.4326899999999991</v>
      </c>
      <c r="F88" s="290">
        <v>3.5532810000000001</v>
      </c>
      <c r="G88" s="290">
        <v>0.70762559999999997</v>
      </c>
      <c r="H88" s="290">
        <v>14.486295</v>
      </c>
      <c r="I88" s="290">
        <v>5.0773419999999998</v>
      </c>
      <c r="J88" s="290">
        <v>7.0056969999999996</v>
      </c>
      <c r="K88" s="290">
        <v>-4.075996</v>
      </c>
      <c r="L88" s="290">
        <v>0.70311420000000002</v>
      </c>
      <c r="M88" s="290">
        <v>1.590365</v>
      </c>
      <c r="N88" s="287">
        <v>1E-4</v>
      </c>
      <c r="O88" s="288">
        <v>2</v>
      </c>
      <c r="P88" s="287">
        <v>0</v>
      </c>
    </row>
    <row r="89" spans="1:16">
      <c r="A89" s="285" t="s">
        <v>75</v>
      </c>
      <c r="B89" s="285" t="s">
        <v>486</v>
      </c>
      <c r="C89" s="290">
        <v>8.2833970000000008</v>
      </c>
      <c r="D89" s="290">
        <v>0.35565279999999999</v>
      </c>
      <c r="E89" s="290">
        <v>8.9894250000000007</v>
      </c>
      <c r="F89" s="290">
        <v>3.3690989999999998</v>
      </c>
      <c r="G89" s="290">
        <v>0.57472939999999995</v>
      </c>
      <c r="H89" s="290">
        <v>12.20101</v>
      </c>
      <c r="I89" s="290">
        <v>-2.2596539999999998</v>
      </c>
      <c r="J89" s="290">
        <v>0.95150089999999998</v>
      </c>
      <c r="K89" s="290">
        <v>4.910412</v>
      </c>
      <c r="L89" s="290">
        <v>6.2785719999999996</v>
      </c>
      <c r="M89" s="290">
        <v>1.5016590000000001</v>
      </c>
      <c r="N89" s="287">
        <v>1E-4</v>
      </c>
      <c r="O89" s="288">
        <v>2</v>
      </c>
      <c r="P89" s="287">
        <v>0</v>
      </c>
    </row>
    <row r="90" spans="1:16">
      <c r="A90" s="285" t="s">
        <v>76</v>
      </c>
      <c r="B90" s="285" t="s">
        <v>486</v>
      </c>
      <c r="C90" s="290">
        <v>5.6373569999999997</v>
      </c>
      <c r="D90" s="290">
        <v>9.0118179999999999</v>
      </c>
      <c r="E90" s="290">
        <v>11.268602</v>
      </c>
      <c r="F90" s="290">
        <v>3.6877870000000001</v>
      </c>
      <c r="G90" s="290">
        <v>0.1321591</v>
      </c>
      <c r="H90" s="290">
        <v>55.909258999999999</v>
      </c>
      <c r="I90" s="290">
        <v>7.3943050000000001</v>
      </c>
      <c r="J90" s="290">
        <v>0.247257</v>
      </c>
      <c r="K90" s="290">
        <v>1.682267</v>
      </c>
      <c r="L90" s="290">
        <v>23.568836999999998</v>
      </c>
      <c r="M90" s="290">
        <v>0.88539579999999996</v>
      </c>
      <c r="N90" s="287">
        <v>3.2000000000000002E-3</v>
      </c>
      <c r="O90" s="288">
        <v>2</v>
      </c>
      <c r="P90" s="287">
        <v>5.9999999999999995E-4</v>
      </c>
    </row>
    <row r="91" spans="1:16">
      <c r="A91" s="285" t="s">
        <v>77</v>
      </c>
      <c r="B91" s="285" t="s">
        <v>486</v>
      </c>
      <c r="C91" s="290">
        <v>1.1858690000000001</v>
      </c>
      <c r="D91" s="290">
        <v>20.890961000000001</v>
      </c>
      <c r="E91" s="290">
        <v>5.6732189999999996</v>
      </c>
      <c r="F91" s="290">
        <v>8.3141549999999995</v>
      </c>
      <c r="G91" s="290">
        <v>7.8353339999999996</v>
      </c>
      <c r="H91" s="290">
        <v>0.2210416</v>
      </c>
      <c r="I91" s="290">
        <v>10.951482</v>
      </c>
      <c r="J91" s="290">
        <v>3.5799940000000001</v>
      </c>
      <c r="K91" s="290">
        <v>9.9897070000000009E-4</v>
      </c>
      <c r="L91" s="290">
        <v>-0.99690129999999999</v>
      </c>
      <c r="M91" s="290">
        <v>0.35250949999999998</v>
      </c>
      <c r="N91" s="287">
        <v>5.9999999999999995E-4</v>
      </c>
      <c r="O91" s="288">
        <v>0.12</v>
      </c>
      <c r="P91" s="287">
        <v>2.9999999999999997E-4</v>
      </c>
    </row>
    <row r="92" spans="1:16">
      <c r="A92" s="285" t="s">
        <v>78</v>
      </c>
      <c r="B92" s="285" t="s">
        <v>486</v>
      </c>
      <c r="C92" s="290">
        <v>0.94020490000000001</v>
      </c>
      <c r="D92" s="290">
        <v>16.687856</v>
      </c>
      <c r="E92" s="290">
        <v>138.81365099999999</v>
      </c>
      <c r="F92" s="290">
        <v>5.7400949999999999E-2</v>
      </c>
      <c r="G92" s="290">
        <v>10.529044000000001</v>
      </c>
      <c r="H92" s="290">
        <v>3.4559850000000001</v>
      </c>
      <c r="I92" s="290">
        <v>5.4535450000000001</v>
      </c>
      <c r="J92" s="290">
        <v>7.4252359999999999</v>
      </c>
      <c r="K92" s="290">
        <v>-218.56884600000001</v>
      </c>
      <c r="L92" s="290">
        <v>2.9142850000000001E-2</v>
      </c>
      <c r="M92" s="290">
        <v>87.832200999999998</v>
      </c>
      <c r="N92" s="287">
        <v>2.9999999999999997E-4</v>
      </c>
      <c r="O92" s="288">
        <v>2</v>
      </c>
      <c r="P92" s="287">
        <v>1E-4</v>
      </c>
    </row>
    <row r="93" spans="1:16">
      <c r="A93" s="285" t="s">
        <v>79</v>
      </c>
      <c r="B93" s="285" t="s">
        <v>486</v>
      </c>
      <c r="C93" s="290">
        <v>9.8914249999999999</v>
      </c>
      <c r="D93" s="290">
        <v>3.2518560000000001</v>
      </c>
      <c r="E93" s="290">
        <v>69.227540000000005</v>
      </c>
      <c r="F93" s="290">
        <v>0.44688679999999997</v>
      </c>
      <c r="G93" s="290">
        <v>5.4816440000000002</v>
      </c>
      <c r="H93" s="290">
        <v>6.494402</v>
      </c>
      <c r="I93" s="290">
        <v>0.82253270000000001</v>
      </c>
      <c r="J93" s="290">
        <v>13.562810000000001</v>
      </c>
      <c r="K93" s="290">
        <v>-63.060122</v>
      </c>
      <c r="L93" s="290">
        <v>0.47147719999999999</v>
      </c>
      <c r="M93" s="290">
        <v>1.6368799999999999</v>
      </c>
      <c r="N93" s="287">
        <v>1E-4</v>
      </c>
      <c r="O93" s="288">
        <v>0.15</v>
      </c>
      <c r="P93" s="287">
        <v>0</v>
      </c>
    </row>
    <row r="94" spans="1:16">
      <c r="A94" s="285" t="s">
        <v>80</v>
      </c>
      <c r="B94" s="285" t="s">
        <v>486</v>
      </c>
      <c r="C94" s="290">
        <v>6.1245260000000004</v>
      </c>
      <c r="D94" s="290">
        <v>7.7422199999999997</v>
      </c>
      <c r="E94" s="290">
        <v>11.375762999999999</v>
      </c>
      <c r="F94" s="290">
        <v>3.2976800000000002</v>
      </c>
      <c r="G94" s="290">
        <v>0.2659474</v>
      </c>
      <c r="H94" s="290">
        <v>43.623240000000003</v>
      </c>
      <c r="I94" s="290">
        <v>2.0112779999999999</v>
      </c>
      <c r="J94" s="290">
        <v>19.337344999999999</v>
      </c>
      <c r="K94" s="290">
        <v>7.4034040000000001</v>
      </c>
      <c r="L94" s="290">
        <v>0.2232151</v>
      </c>
      <c r="M94" s="290">
        <v>0.81909659999999995</v>
      </c>
      <c r="N94" s="287">
        <v>1.9E-3</v>
      </c>
      <c r="O94" s="288">
        <v>2</v>
      </c>
      <c r="P94" s="287">
        <v>2.9999999999999997E-4</v>
      </c>
    </row>
    <row r="95" spans="1:16">
      <c r="A95" s="285" t="s">
        <v>81</v>
      </c>
      <c r="B95" s="285" t="s">
        <v>486</v>
      </c>
      <c r="C95" s="290">
        <v>6.0597079999999997</v>
      </c>
      <c r="D95" s="290">
        <v>7.6671639999999996</v>
      </c>
      <c r="E95" s="290">
        <v>11.467765</v>
      </c>
      <c r="F95" s="290">
        <v>3.2716970000000001</v>
      </c>
      <c r="G95" s="290">
        <v>7.5186299999999999</v>
      </c>
      <c r="H95" s="290">
        <v>0.2148349</v>
      </c>
      <c r="I95" s="290">
        <v>1.2893570000000001</v>
      </c>
      <c r="J95" s="290">
        <v>19.409789</v>
      </c>
      <c r="K95" s="290">
        <v>3.1030940000000002E-7</v>
      </c>
      <c r="L95" s="290">
        <v>-2.5599560000000001</v>
      </c>
      <c r="M95" s="290">
        <v>0.66385249999999996</v>
      </c>
      <c r="N95" s="287">
        <v>6.9999999999999999E-4</v>
      </c>
      <c r="O95" s="288">
        <v>0.13</v>
      </c>
      <c r="P95" s="287">
        <v>2.9999999999999997E-4</v>
      </c>
    </row>
    <row r="96" spans="1:16">
      <c r="A96" s="285" t="s">
        <v>82</v>
      </c>
      <c r="B96" s="285" t="s">
        <v>486</v>
      </c>
      <c r="C96" s="290">
        <v>5.7887269999999997</v>
      </c>
      <c r="D96" s="290">
        <v>6.9191419999999999</v>
      </c>
      <c r="E96" s="290">
        <v>8.0073410000000003</v>
      </c>
      <c r="F96" s="290">
        <v>0.19189870000000001</v>
      </c>
      <c r="G96" s="290">
        <v>11.081118</v>
      </c>
      <c r="H96" s="290">
        <v>3.1779730000000002</v>
      </c>
      <c r="I96" s="290">
        <v>1.029293</v>
      </c>
      <c r="J96" s="290">
        <v>15.664902</v>
      </c>
      <c r="K96" s="290">
        <v>1.4425429999999999E-3</v>
      </c>
      <c r="L96" s="290">
        <v>-0.9046497</v>
      </c>
      <c r="M96" s="290">
        <v>9.1841119999999998E-2</v>
      </c>
      <c r="N96" s="287">
        <v>2.9999999999999997E-4</v>
      </c>
      <c r="O96" s="288">
        <v>0.14000000000000001</v>
      </c>
      <c r="P96" s="287">
        <v>1E-4</v>
      </c>
    </row>
    <row r="97" spans="1:16">
      <c r="A97" s="285" t="s">
        <v>83</v>
      </c>
      <c r="B97" s="285" t="s">
        <v>486</v>
      </c>
      <c r="C97" s="290">
        <v>5.4768540000000003</v>
      </c>
      <c r="D97" s="290">
        <v>6.2963339999999999</v>
      </c>
      <c r="E97" s="290">
        <v>10.724831</v>
      </c>
      <c r="F97" s="290">
        <v>3.0770240000000002</v>
      </c>
      <c r="G97" s="290">
        <v>0.80882100000000001</v>
      </c>
      <c r="H97" s="290">
        <v>13.156523999999999</v>
      </c>
      <c r="I97" s="290">
        <v>56.825355000000002</v>
      </c>
      <c r="J97" s="290">
        <v>5.4820670000000002E-2</v>
      </c>
      <c r="K97" s="290">
        <v>89.307203999999999</v>
      </c>
      <c r="L97" s="290">
        <v>-1.904753E-2</v>
      </c>
      <c r="M97" s="290">
        <v>-138.14315099999999</v>
      </c>
      <c r="N97" s="287">
        <v>1E-4</v>
      </c>
      <c r="O97" s="288">
        <v>2</v>
      </c>
      <c r="P97" s="287">
        <v>0</v>
      </c>
    </row>
    <row r="98" spans="1:16">
      <c r="A98" s="285" t="s">
        <v>335</v>
      </c>
      <c r="B98" s="285" t="s">
        <v>486</v>
      </c>
      <c r="C98" s="290">
        <v>1.749728</v>
      </c>
      <c r="D98" s="290">
        <v>15.369590000000001</v>
      </c>
      <c r="E98" s="290">
        <v>6.3862110000000003</v>
      </c>
      <c r="F98" s="290">
        <v>6.6474970000000004</v>
      </c>
      <c r="G98" s="290">
        <v>7.4212720000000001</v>
      </c>
      <c r="H98" s="290">
        <v>0.2006281</v>
      </c>
      <c r="I98" s="290">
        <v>0.10220659999999999</v>
      </c>
      <c r="J98" s="290">
        <v>33.468254000000002</v>
      </c>
      <c r="K98" s="290">
        <v>11.609261</v>
      </c>
      <c r="L98" s="290">
        <v>2.959311</v>
      </c>
      <c r="M98" s="290">
        <v>0.73136279999999998</v>
      </c>
      <c r="N98" s="287">
        <v>1.1000000000000001E-3</v>
      </c>
      <c r="O98" s="288">
        <v>2</v>
      </c>
      <c r="P98" s="287">
        <v>2.0000000000000001E-4</v>
      </c>
    </row>
    <row r="99" spans="1:16">
      <c r="A99" s="285" t="s">
        <v>84</v>
      </c>
      <c r="B99" s="285" t="s">
        <v>486</v>
      </c>
      <c r="C99" s="290">
        <v>5.9527029999999996</v>
      </c>
      <c r="D99" s="290">
        <v>6.1421859999999997</v>
      </c>
      <c r="E99" s="290">
        <v>7.4403170000000003</v>
      </c>
      <c r="F99" s="290">
        <v>0.1793025</v>
      </c>
      <c r="G99" s="290">
        <v>2.163062</v>
      </c>
      <c r="H99" s="290">
        <v>21.428329999999999</v>
      </c>
      <c r="I99" s="290">
        <v>1.309348</v>
      </c>
      <c r="J99" s="290">
        <v>49.577767000000001</v>
      </c>
      <c r="K99" s="290">
        <v>12.506625</v>
      </c>
      <c r="L99" s="290">
        <v>2.6973989999999999</v>
      </c>
      <c r="M99" s="290">
        <v>0.62732350000000003</v>
      </c>
      <c r="N99" s="287">
        <v>6.9999999999999999E-4</v>
      </c>
      <c r="O99" s="288">
        <v>0.08</v>
      </c>
      <c r="P99" s="287">
        <v>2.9999999999999997E-4</v>
      </c>
    </row>
    <row r="100" spans="1:16">
      <c r="A100" s="285" t="s">
        <v>85</v>
      </c>
      <c r="B100" s="285" t="s">
        <v>486</v>
      </c>
      <c r="C100" s="290">
        <v>6.266864</v>
      </c>
      <c r="D100" s="290">
        <v>5.9279109999999999</v>
      </c>
      <c r="E100" s="290">
        <v>1.696882</v>
      </c>
      <c r="F100" s="290">
        <v>16.879704</v>
      </c>
      <c r="G100" s="290">
        <v>12.173037000000001</v>
      </c>
      <c r="H100" s="290">
        <v>2.6775920000000002</v>
      </c>
      <c r="I100" s="290">
        <v>0.79484980000000005</v>
      </c>
      <c r="J100" s="290">
        <v>38.333629999999999</v>
      </c>
      <c r="K100" s="290">
        <v>7.4556069999999997</v>
      </c>
      <c r="L100" s="290">
        <v>0.17895449999999999</v>
      </c>
      <c r="M100" s="290">
        <v>0.61254500000000001</v>
      </c>
      <c r="N100" s="287">
        <v>5.9999999999999995E-4</v>
      </c>
      <c r="O100" s="288">
        <v>2</v>
      </c>
      <c r="P100" s="287">
        <v>1E-4</v>
      </c>
    </row>
    <row r="101" spans="1:16">
      <c r="A101" s="285" t="s">
        <v>86</v>
      </c>
      <c r="B101" s="285" t="s">
        <v>486</v>
      </c>
      <c r="C101" s="290">
        <v>1.491609</v>
      </c>
      <c r="D101" s="290">
        <v>12.535524000000001</v>
      </c>
      <c r="E101" s="290">
        <v>6.5357960000000004</v>
      </c>
      <c r="F101" s="290">
        <v>5.7571649999999996</v>
      </c>
      <c r="G101" s="290">
        <v>3.6048219999999999E-2</v>
      </c>
      <c r="H101" s="290">
        <v>28.748628</v>
      </c>
      <c r="I101" s="290">
        <v>7.4467249999999998</v>
      </c>
      <c r="J101" s="290">
        <v>0.1803467</v>
      </c>
      <c r="K101" s="290">
        <v>11.855729999999999</v>
      </c>
      <c r="L101" s="290">
        <v>2.6664400000000001</v>
      </c>
      <c r="M101" s="290">
        <v>0.63412009999999996</v>
      </c>
      <c r="N101" s="287">
        <v>5.9999999999999995E-4</v>
      </c>
      <c r="O101" s="288">
        <v>2</v>
      </c>
      <c r="P101" s="287">
        <v>1E-4</v>
      </c>
    </row>
    <row r="102" spans="1:16">
      <c r="A102" s="285" t="s">
        <v>87</v>
      </c>
      <c r="B102" s="285" t="s">
        <v>486</v>
      </c>
      <c r="C102" s="290">
        <v>13.215548</v>
      </c>
      <c r="D102" s="290">
        <v>2.469354</v>
      </c>
      <c r="E102" s="290">
        <v>7.412687</v>
      </c>
      <c r="F102" s="290">
        <v>0.16363420000000001</v>
      </c>
      <c r="G102" s="290">
        <v>1.4748699999999999</v>
      </c>
      <c r="H102" s="290">
        <v>53.819947999999997</v>
      </c>
      <c r="I102" s="290">
        <v>5.4997059999999998</v>
      </c>
      <c r="J102" s="290">
        <v>5.5311950000000003</v>
      </c>
      <c r="K102" s="290">
        <v>2.8031030000000001</v>
      </c>
      <c r="L102" s="290">
        <v>23.391622000000002</v>
      </c>
      <c r="M102" s="290">
        <v>0.59311729999999996</v>
      </c>
      <c r="N102" s="287">
        <v>1.1000000000000001E-3</v>
      </c>
      <c r="O102" s="288">
        <v>0.08</v>
      </c>
      <c r="P102" s="287">
        <v>4.0000000000000002E-4</v>
      </c>
    </row>
    <row r="103" spans="1:16">
      <c r="A103" s="285" t="s">
        <v>88</v>
      </c>
      <c r="B103" s="285" t="s">
        <v>486</v>
      </c>
      <c r="C103" s="290">
        <v>5.7923309999999999</v>
      </c>
      <c r="D103" s="290">
        <v>5.2320159999999998</v>
      </c>
      <c r="E103" s="290">
        <v>2.2617989999999999</v>
      </c>
      <c r="F103" s="290">
        <v>17.675152000000001</v>
      </c>
      <c r="G103" s="290">
        <v>7.5008059999999999</v>
      </c>
      <c r="H103" s="290">
        <v>0.15945519999999999</v>
      </c>
      <c r="I103" s="290">
        <v>1.2193419999999999</v>
      </c>
      <c r="J103" s="290">
        <v>35.636823999999997</v>
      </c>
      <c r="K103" s="290">
        <v>12.745514</v>
      </c>
      <c r="L103" s="290">
        <v>2.4308239999999999</v>
      </c>
      <c r="M103" s="290">
        <v>0.47994209999999998</v>
      </c>
      <c r="N103" s="287">
        <v>2.9999999999999997E-4</v>
      </c>
      <c r="O103" s="288">
        <v>0.09</v>
      </c>
      <c r="P103" s="287">
        <v>1E-4</v>
      </c>
    </row>
    <row r="104" spans="1:16">
      <c r="A104" s="285" t="s">
        <v>89</v>
      </c>
      <c r="B104" s="285" t="s">
        <v>486</v>
      </c>
      <c r="C104" s="290">
        <v>6.2046770000000002</v>
      </c>
      <c r="D104" s="290">
        <v>5.139411</v>
      </c>
      <c r="E104" s="290">
        <v>1.615807</v>
      </c>
      <c r="F104" s="290">
        <v>14.430236000000001</v>
      </c>
      <c r="G104" s="290">
        <v>12.454411</v>
      </c>
      <c r="H104" s="290">
        <v>2.420617</v>
      </c>
      <c r="I104" s="290">
        <v>0.73452879999999998</v>
      </c>
      <c r="J104" s="290">
        <v>29.278932999999999</v>
      </c>
      <c r="K104" s="290">
        <v>7.4989299999999997</v>
      </c>
      <c r="L104" s="290">
        <v>0.1602837</v>
      </c>
      <c r="M104" s="290">
        <v>0.49154379999999998</v>
      </c>
      <c r="N104" s="287">
        <v>2.9999999999999997E-4</v>
      </c>
      <c r="O104" s="288">
        <v>2</v>
      </c>
      <c r="P104" s="287">
        <v>1E-4</v>
      </c>
    </row>
    <row r="105" spans="1:16">
      <c r="A105" s="285" t="s">
        <v>90</v>
      </c>
      <c r="B105" s="285" t="s">
        <v>486</v>
      </c>
      <c r="C105" s="290">
        <v>7.4798450000000001</v>
      </c>
      <c r="D105" s="290">
        <v>0.1622411</v>
      </c>
      <c r="E105" s="290">
        <v>12.104714</v>
      </c>
      <c r="F105" s="290">
        <v>2.4121250000000001</v>
      </c>
      <c r="G105" s="290">
        <v>1.4115229999999999E-2</v>
      </c>
      <c r="H105" s="290">
        <v>25.580615999999999</v>
      </c>
      <c r="I105" s="290">
        <v>6.5964960000000001</v>
      </c>
      <c r="J105" s="290">
        <v>5.0257449999999997</v>
      </c>
      <c r="K105" s="290">
        <v>1.275698</v>
      </c>
      <c r="L105" s="290">
        <v>10.404285</v>
      </c>
      <c r="M105" s="290">
        <v>0.52914640000000002</v>
      </c>
      <c r="N105" s="287">
        <v>2.9999999999999997E-4</v>
      </c>
      <c r="O105" s="288">
        <v>2</v>
      </c>
      <c r="P105" s="287">
        <v>0</v>
      </c>
    </row>
    <row r="106" spans="1:16">
      <c r="A106" s="285" t="s">
        <v>336</v>
      </c>
      <c r="B106" s="285" t="s">
        <v>486</v>
      </c>
      <c r="C106" s="290">
        <v>13.348763999999999</v>
      </c>
      <c r="D106" s="290">
        <v>2.2237130000000001</v>
      </c>
      <c r="E106" s="290">
        <v>3.02887</v>
      </c>
      <c r="F106" s="290">
        <v>18.787651</v>
      </c>
      <c r="G106" s="290">
        <v>5.3043509999999996</v>
      </c>
      <c r="H106" s="290">
        <v>4.6405469999999998</v>
      </c>
      <c r="I106" s="290">
        <v>1.4100630000000001</v>
      </c>
      <c r="J106" s="290">
        <v>37.786993000000002</v>
      </c>
      <c r="K106" s="290">
        <v>7.5138020000000001</v>
      </c>
      <c r="L106" s="290">
        <v>0.1440314</v>
      </c>
      <c r="M106" s="290">
        <v>0.39374989999999999</v>
      </c>
      <c r="N106" s="287">
        <v>4.0000000000000002E-4</v>
      </c>
      <c r="O106" s="288">
        <v>0.09</v>
      </c>
      <c r="P106" s="287">
        <v>2.0000000000000001E-4</v>
      </c>
    </row>
    <row r="107" spans="1:16">
      <c r="A107" s="285" t="s">
        <v>91</v>
      </c>
      <c r="B107" s="285" t="s">
        <v>486</v>
      </c>
      <c r="C107" s="290">
        <v>2.3981599999999998</v>
      </c>
      <c r="D107" s="290">
        <v>14.976034</v>
      </c>
      <c r="E107" s="290">
        <v>5.5727250000000002</v>
      </c>
      <c r="F107" s="290">
        <v>4.5234909999999999</v>
      </c>
      <c r="G107" s="290">
        <v>7.5727339999999996</v>
      </c>
      <c r="H107" s="290">
        <v>0.14198649999999999</v>
      </c>
      <c r="I107" s="290">
        <v>1.10833</v>
      </c>
      <c r="J107" s="290">
        <v>27.683454000000001</v>
      </c>
      <c r="K107" s="290">
        <v>13.024184999999999</v>
      </c>
      <c r="L107" s="290">
        <v>2.2025980000000001</v>
      </c>
      <c r="M107" s="290">
        <v>0.3237391</v>
      </c>
      <c r="N107" s="287">
        <v>1E-4</v>
      </c>
      <c r="O107" s="288">
        <v>0.1</v>
      </c>
      <c r="P107" s="287">
        <v>1E-4</v>
      </c>
    </row>
    <row r="108" spans="1:16">
      <c r="A108" s="285" t="s">
        <v>337</v>
      </c>
      <c r="B108" s="285" t="s">
        <v>486</v>
      </c>
      <c r="C108" s="290">
        <v>12.354877999999999</v>
      </c>
      <c r="D108" s="290">
        <v>2.1906940000000001</v>
      </c>
      <c r="E108" s="290">
        <v>7.5202340000000003</v>
      </c>
      <c r="F108" s="290">
        <v>0.14614199999999999</v>
      </c>
      <c r="G108" s="290">
        <v>1.1048480000000001</v>
      </c>
      <c r="H108" s="290">
        <v>8.781307</v>
      </c>
      <c r="I108" s="290">
        <v>6.5953590000000002</v>
      </c>
      <c r="J108" s="290">
        <v>4.4234330000000002</v>
      </c>
      <c r="K108" s="290">
        <v>6.5710739999999997E-3</v>
      </c>
      <c r="L108" s="290">
        <v>22.738834000000001</v>
      </c>
      <c r="M108" s="290">
        <v>0.4181184</v>
      </c>
      <c r="N108" s="287">
        <v>2.0000000000000001E-4</v>
      </c>
      <c r="O108" s="288">
        <v>2</v>
      </c>
      <c r="P108" s="287">
        <v>0</v>
      </c>
    </row>
    <row r="109" spans="1:16">
      <c r="A109" s="285" t="s">
        <v>338</v>
      </c>
      <c r="B109" s="285" t="s">
        <v>486</v>
      </c>
      <c r="C109" s="290">
        <v>7.5904660000000002</v>
      </c>
      <c r="D109" s="290">
        <v>0.128022</v>
      </c>
      <c r="E109" s="290">
        <v>13.672160999999999</v>
      </c>
      <c r="F109" s="290">
        <v>2.0237780000000001</v>
      </c>
      <c r="G109" s="290">
        <v>4.8976990000000002</v>
      </c>
      <c r="H109" s="290">
        <v>3.959362</v>
      </c>
      <c r="I109" s="290">
        <v>1.65707</v>
      </c>
      <c r="J109" s="290">
        <v>35.478951000000002</v>
      </c>
      <c r="K109" s="290">
        <v>3.9541729999999999</v>
      </c>
      <c r="L109" s="290">
        <v>18.019701999999999</v>
      </c>
      <c r="M109" s="290">
        <v>0.22803590000000001</v>
      </c>
      <c r="N109" s="287">
        <v>4.0000000000000002E-4</v>
      </c>
      <c r="O109" s="288">
        <v>0.09</v>
      </c>
      <c r="P109" s="287">
        <v>2.0000000000000001E-4</v>
      </c>
    </row>
    <row r="110" spans="1:16">
      <c r="A110" s="285" t="s">
        <v>339</v>
      </c>
      <c r="B110" s="285" t="s">
        <v>486</v>
      </c>
      <c r="C110" s="290">
        <v>13.316106</v>
      </c>
      <c r="D110" s="290">
        <v>2.0045130000000002</v>
      </c>
      <c r="E110" s="290">
        <v>0.99955839999999996</v>
      </c>
      <c r="F110" s="290">
        <v>22.484798999999999</v>
      </c>
      <c r="G110" s="290">
        <v>5.3187150000000001</v>
      </c>
      <c r="H110" s="290">
        <v>3.9507940000000001</v>
      </c>
      <c r="I110" s="290">
        <v>7.6591199999999997</v>
      </c>
      <c r="J110" s="290">
        <v>0.12650529999999999</v>
      </c>
      <c r="K110" s="290">
        <v>2.5511020000000002</v>
      </c>
      <c r="L110" s="290">
        <v>12.860787999999999</v>
      </c>
      <c r="M110" s="290">
        <v>0.1553312</v>
      </c>
      <c r="N110" s="287">
        <v>1E-4</v>
      </c>
      <c r="O110" s="288">
        <v>0.11</v>
      </c>
      <c r="P110" s="287">
        <v>0</v>
      </c>
    </row>
    <row r="111" spans="1:16">
      <c r="A111" s="285" t="s">
        <v>340</v>
      </c>
      <c r="B111" s="285" t="s">
        <v>486</v>
      </c>
      <c r="C111" s="290">
        <v>6.5522689999999999</v>
      </c>
      <c r="D111" s="290">
        <v>3.9245610000000002</v>
      </c>
      <c r="E111" s="290">
        <v>7.5674049999999999</v>
      </c>
      <c r="F111" s="290">
        <v>0.13185459999999999</v>
      </c>
      <c r="G111" s="290">
        <v>3.6232500000000002E-3</v>
      </c>
      <c r="H111" s="290">
        <v>19.955995000000001</v>
      </c>
      <c r="I111" s="290">
        <v>0.96909230000000002</v>
      </c>
      <c r="J111" s="290">
        <v>7.5261380000000004</v>
      </c>
      <c r="K111" s="290">
        <v>12.605313000000001</v>
      </c>
      <c r="L111" s="290">
        <v>1.99718</v>
      </c>
      <c r="M111" s="290">
        <v>0.30230190000000001</v>
      </c>
      <c r="N111" s="287">
        <v>1E-4</v>
      </c>
      <c r="O111" s="288">
        <v>2</v>
      </c>
      <c r="P111" s="287">
        <v>0</v>
      </c>
    </row>
    <row r="112" spans="1:16">
      <c r="A112" s="285" t="s">
        <v>92</v>
      </c>
      <c r="B112" s="285" t="s">
        <v>486</v>
      </c>
      <c r="C112" s="290">
        <v>2.2550300000000001</v>
      </c>
      <c r="D112" s="290">
        <v>39.126714999999997</v>
      </c>
      <c r="E112" s="290">
        <v>4.3409870000000002</v>
      </c>
      <c r="F112" s="290">
        <v>3.3429739999999999</v>
      </c>
      <c r="G112" s="290">
        <v>5.5883830000000003</v>
      </c>
      <c r="H112" s="290">
        <v>18.391131999999999</v>
      </c>
      <c r="I112" s="290">
        <v>14.068716999999999</v>
      </c>
      <c r="J112" s="290">
        <v>1.8577140000000001</v>
      </c>
      <c r="K112" s="290">
        <v>7.5605330000000004</v>
      </c>
      <c r="L112" s="290">
        <v>0.1168401</v>
      </c>
      <c r="M112" s="290">
        <v>0.1854731</v>
      </c>
      <c r="N112" s="287">
        <v>1E-3</v>
      </c>
      <c r="O112" s="288">
        <v>0.09</v>
      </c>
      <c r="P112" s="287">
        <v>2.9999999999999997E-4</v>
      </c>
    </row>
    <row r="113" spans="1:16">
      <c r="A113" s="285" t="s">
        <v>341</v>
      </c>
      <c r="B113" s="285" t="s">
        <v>486</v>
      </c>
      <c r="C113" s="290">
        <v>4.9758259999999996</v>
      </c>
      <c r="D113" s="290">
        <v>3.2798579999999999</v>
      </c>
      <c r="E113" s="290">
        <v>1.5246489999999999</v>
      </c>
      <c r="F113" s="290">
        <v>27.587617000000002</v>
      </c>
      <c r="G113" s="290">
        <v>13.488314000000001</v>
      </c>
      <c r="H113" s="290">
        <v>1.8238380000000001</v>
      </c>
      <c r="I113" s="290">
        <v>4.3038550000000004</v>
      </c>
      <c r="J113" s="290">
        <v>14.989901</v>
      </c>
      <c r="K113" s="290">
        <v>7.8352899999999996</v>
      </c>
      <c r="L113" s="290">
        <v>0.1098884</v>
      </c>
      <c r="M113" s="290">
        <v>-0.12812309999999999</v>
      </c>
      <c r="N113" s="287">
        <v>2.0000000000000001E-4</v>
      </c>
      <c r="O113" s="288">
        <v>0.11</v>
      </c>
      <c r="P113" s="287">
        <v>1E-4</v>
      </c>
    </row>
    <row r="114" spans="1:16">
      <c r="A114" s="285" t="s">
        <v>93</v>
      </c>
      <c r="B114" s="285" t="s">
        <v>486</v>
      </c>
      <c r="C114" s="290">
        <v>7.7882249999999997</v>
      </c>
      <c r="D114" s="290">
        <v>0.11151990000000001</v>
      </c>
      <c r="E114" s="290">
        <v>4.9135419999999996</v>
      </c>
      <c r="F114" s="290">
        <v>3.3914049999999998</v>
      </c>
      <c r="G114" s="290">
        <v>1.1893180000000001</v>
      </c>
      <c r="H114" s="290">
        <v>23.363472000000002</v>
      </c>
      <c r="I114" s="290">
        <v>3.5411579999999998</v>
      </c>
      <c r="J114" s="290">
        <v>13.228878</v>
      </c>
      <c r="K114" s="290">
        <v>13.634161000000001</v>
      </c>
      <c r="L114" s="290">
        <v>1.8306100000000001</v>
      </c>
      <c r="M114" s="290">
        <v>-6.6500290000000004E-2</v>
      </c>
      <c r="N114" s="287">
        <v>1E-4</v>
      </c>
      <c r="O114" s="288">
        <v>0.11</v>
      </c>
      <c r="P114" s="287">
        <v>0</v>
      </c>
    </row>
    <row r="115" spans="1:16">
      <c r="A115" s="285" t="s">
        <v>94</v>
      </c>
      <c r="B115" s="285" t="s">
        <v>486</v>
      </c>
      <c r="C115" s="290">
        <v>7.7612810000000003</v>
      </c>
      <c r="D115" s="290">
        <v>0.1127649</v>
      </c>
      <c r="E115" s="290">
        <v>13.609052</v>
      </c>
      <c r="F115" s="290">
        <v>1.8312090000000001</v>
      </c>
      <c r="G115" s="290">
        <v>5.0472270000000004</v>
      </c>
      <c r="H115" s="290">
        <v>3.4779689999999999</v>
      </c>
      <c r="I115" s="290">
        <v>0.9060667</v>
      </c>
      <c r="J115" s="290">
        <v>18.786881000000001</v>
      </c>
      <c r="K115" s="290">
        <v>2.702731</v>
      </c>
      <c r="L115" s="290">
        <v>11.145567</v>
      </c>
      <c r="M115" s="290">
        <v>-2.6394339999999999E-2</v>
      </c>
      <c r="N115" s="287">
        <v>0</v>
      </c>
      <c r="O115" s="288">
        <v>0.12</v>
      </c>
      <c r="P115" s="287">
        <v>0</v>
      </c>
    </row>
    <row r="116" spans="1:16">
      <c r="A116" s="285" t="s">
        <v>342</v>
      </c>
      <c r="B116" s="285" t="s">
        <v>486</v>
      </c>
      <c r="C116" s="290">
        <v>6.4809289999999997</v>
      </c>
      <c r="D116" s="290">
        <v>3.507863</v>
      </c>
      <c r="E116" s="290">
        <v>12.854358</v>
      </c>
      <c r="F116" s="290">
        <v>1.827331</v>
      </c>
      <c r="G116" s="290">
        <v>7.6208989999999996</v>
      </c>
      <c r="H116" s="290">
        <v>0.11918040000000001</v>
      </c>
      <c r="I116" s="290">
        <v>0.85891899999999999</v>
      </c>
      <c r="J116" s="290">
        <v>6.53756</v>
      </c>
      <c r="K116" s="290">
        <v>2.299564E-3</v>
      </c>
      <c r="L116" s="290">
        <v>17.302568000000001</v>
      </c>
      <c r="M116" s="290">
        <v>0.1825975</v>
      </c>
      <c r="N116" s="287">
        <v>0</v>
      </c>
      <c r="O116" s="288">
        <v>2</v>
      </c>
      <c r="P116" s="287">
        <v>0</v>
      </c>
    </row>
    <row r="117" spans="1:16">
      <c r="A117" s="285" t="s">
        <v>343</v>
      </c>
      <c r="B117" s="285" t="s">
        <v>486</v>
      </c>
      <c r="C117" s="290">
        <v>16.90606</v>
      </c>
      <c r="D117" s="290">
        <v>2.0623269999999998</v>
      </c>
      <c r="E117" s="290">
        <v>1.730596</v>
      </c>
      <c r="F117" s="290">
        <v>6.5248949999999999</v>
      </c>
      <c r="G117" s="290">
        <v>2.3792710000000001</v>
      </c>
      <c r="H117" s="290">
        <v>71.907134999999997</v>
      </c>
      <c r="I117" s="290">
        <v>6.835528</v>
      </c>
      <c r="J117" s="290">
        <v>24.413497</v>
      </c>
      <c r="K117" s="290">
        <v>6.1814289999999996</v>
      </c>
      <c r="L117" s="290">
        <v>0.18331040000000001</v>
      </c>
      <c r="M117" s="290">
        <v>1.9619679999999999</v>
      </c>
      <c r="N117" s="287">
        <v>5.5999999999999999E-3</v>
      </c>
      <c r="O117" s="288">
        <v>7.0000000000000007E-2</v>
      </c>
      <c r="P117" s="287">
        <v>1.9E-3</v>
      </c>
    </row>
    <row r="118" spans="1:16">
      <c r="A118" s="285" t="s">
        <v>344</v>
      </c>
      <c r="B118" s="285" t="s">
        <v>486</v>
      </c>
      <c r="C118" s="290">
        <v>9.6771539999999998</v>
      </c>
      <c r="D118" s="290">
        <v>1.5238339999999999</v>
      </c>
      <c r="E118" s="290">
        <v>8.6645529999999997</v>
      </c>
      <c r="F118" s="290">
        <v>2.3423820000000002</v>
      </c>
      <c r="G118" s="290">
        <v>2.1166990000000001</v>
      </c>
      <c r="H118" s="290">
        <v>29.653684999999999</v>
      </c>
      <c r="I118" s="290">
        <v>6.0474030000000001</v>
      </c>
      <c r="J118" s="290">
        <v>15.2095</v>
      </c>
      <c r="K118" s="290">
        <v>8.9318740000000005</v>
      </c>
      <c r="L118" s="290">
        <v>8.0018300000000001E-2</v>
      </c>
      <c r="M118" s="290">
        <v>-1.438075</v>
      </c>
      <c r="N118" s="287">
        <v>4.0000000000000002E-4</v>
      </c>
      <c r="O118" s="288">
        <v>0.1</v>
      </c>
      <c r="P118" s="287">
        <v>1E-4</v>
      </c>
    </row>
    <row r="119" spans="1:16">
      <c r="A119" s="285" t="s">
        <v>95</v>
      </c>
      <c r="B119" s="285" t="s">
        <v>486</v>
      </c>
      <c r="C119" s="290">
        <v>17.495145000000001</v>
      </c>
      <c r="D119" s="290">
        <v>1.722637</v>
      </c>
      <c r="E119" s="290">
        <v>5.3770069999999999</v>
      </c>
      <c r="F119" s="290">
        <v>0.19143070000000001</v>
      </c>
      <c r="G119" s="290">
        <v>7.7421749999999996</v>
      </c>
      <c r="H119" s="290">
        <v>14.921657</v>
      </c>
      <c r="I119" s="290">
        <v>2.6804570000000001</v>
      </c>
      <c r="J119" s="290">
        <v>31.545096999999998</v>
      </c>
      <c r="K119" s="290">
        <v>-3.7952910000000001E-5</v>
      </c>
      <c r="L119" s="290">
        <v>-1.5914550000000001</v>
      </c>
      <c r="M119" s="290">
        <v>2.7044100000000002</v>
      </c>
      <c r="N119" s="287">
        <v>8.9999999999999998E-4</v>
      </c>
      <c r="O119" s="288">
        <v>0.1</v>
      </c>
      <c r="P119" s="287">
        <v>2.9999999999999997E-4</v>
      </c>
    </row>
    <row r="120" spans="1:16">
      <c r="A120" s="285" t="s">
        <v>345</v>
      </c>
      <c r="B120" s="285" t="s">
        <v>486</v>
      </c>
      <c r="C120" s="290">
        <v>17.896678000000001</v>
      </c>
      <c r="D120" s="290">
        <v>1.5545949999999999</v>
      </c>
      <c r="E120" s="290">
        <v>2.6677680000000001</v>
      </c>
      <c r="F120" s="290">
        <v>24.461835000000001</v>
      </c>
      <c r="G120" s="290">
        <v>8.2573670000000003</v>
      </c>
      <c r="H120" s="290">
        <v>12.431417</v>
      </c>
      <c r="I120" s="290">
        <v>6.1898210000000002</v>
      </c>
      <c r="J120" s="290">
        <v>0.12836210000000001</v>
      </c>
      <c r="K120" s="290">
        <v>-0.59671379999999996</v>
      </c>
      <c r="L120" s="290">
        <v>4.5669250000000003</v>
      </c>
      <c r="M120" s="290">
        <v>1.5846279999999999</v>
      </c>
      <c r="N120" s="287">
        <v>5.9999999999999995E-4</v>
      </c>
      <c r="O120" s="288">
        <v>2</v>
      </c>
      <c r="P120" s="287">
        <v>2.0000000000000001E-4</v>
      </c>
    </row>
    <row r="121" spans="1:16">
      <c r="A121" s="285" t="s">
        <v>346</v>
      </c>
      <c r="B121" s="285" t="s">
        <v>486</v>
      </c>
      <c r="C121" s="290">
        <v>18.204273000000001</v>
      </c>
      <c r="D121" s="290">
        <v>1.358301</v>
      </c>
      <c r="E121" s="290">
        <v>1.922801</v>
      </c>
      <c r="F121" s="290">
        <v>32.339438999999999</v>
      </c>
      <c r="G121" s="290">
        <v>-22.957104000000001</v>
      </c>
      <c r="H121" s="290">
        <v>-1.813737E-2</v>
      </c>
      <c r="I121" s="290">
        <v>7.8466569999999999E-2</v>
      </c>
      <c r="J121" s="290">
        <v>101.099217</v>
      </c>
      <c r="K121" s="290">
        <v>9.7073129999999992</v>
      </c>
      <c r="L121" s="290">
        <v>12.279151000000001</v>
      </c>
      <c r="M121" s="290">
        <v>30.044551999999999</v>
      </c>
      <c r="N121" s="287">
        <v>3.3E-3</v>
      </c>
      <c r="O121" s="288">
        <v>2</v>
      </c>
      <c r="P121" s="287">
        <v>1.1999999999999999E-3</v>
      </c>
    </row>
    <row r="122" spans="1:16">
      <c r="A122" s="285" t="s">
        <v>96</v>
      </c>
      <c r="B122" s="285" t="s">
        <v>486</v>
      </c>
      <c r="C122" s="290">
        <v>8.7240780000000004</v>
      </c>
      <c r="D122" s="290">
        <v>10.600035999999999</v>
      </c>
      <c r="E122" s="290">
        <v>-1.3319319999999999</v>
      </c>
      <c r="F122" s="290">
        <v>3.6748470000000002</v>
      </c>
      <c r="G122" s="290">
        <v>6.164892</v>
      </c>
      <c r="H122" s="290">
        <v>0.11644359999999999</v>
      </c>
      <c r="I122" s="290">
        <v>2.6226229999999999</v>
      </c>
      <c r="J122" s="290">
        <v>19.810231999999999</v>
      </c>
      <c r="K122" s="290">
        <v>18.305636</v>
      </c>
      <c r="L122" s="290">
        <v>1.4309000000000001</v>
      </c>
      <c r="M122" s="290">
        <v>1.5144299999999999</v>
      </c>
      <c r="N122" s="287">
        <v>2.9999999999999997E-4</v>
      </c>
      <c r="O122" s="288">
        <v>2</v>
      </c>
      <c r="P122" s="287">
        <v>1E-4</v>
      </c>
    </row>
    <row r="123" spans="1:16">
      <c r="A123" s="285" t="s">
        <v>97</v>
      </c>
      <c r="B123" s="285" t="s">
        <v>486</v>
      </c>
      <c r="C123" s="290">
        <v>18.536859</v>
      </c>
      <c r="D123" s="290">
        <v>1.2128859999999999</v>
      </c>
      <c r="E123" s="290">
        <v>2.233781</v>
      </c>
      <c r="F123" s="290">
        <v>35.607852000000001</v>
      </c>
      <c r="G123" s="290">
        <v>-1.3853329999999999</v>
      </c>
      <c r="H123" s="290">
        <v>-0.15613679999999999</v>
      </c>
      <c r="I123" s="290">
        <v>1.331933</v>
      </c>
      <c r="J123" s="290">
        <v>91.477806000000001</v>
      </c>
      <c r="K123" s="290">
        <v>10.283220999999999</v>
      </c>
      <c r="L123" s="290">
        <v>11.088974</v>
      </c>
      <c r="M123" s="290">
        <v>7.9991459999999996</v>
      </c>
      <c r="N123" s="287">
        <v>4.4999999999999997E-3</v>
      </c>
      <c r="O123" s="288">
        <v>2</v>
      </c>
      <c r="P123" s="287">
        <v>1.4E-3</v>
      </c>
    </row>
    <row r="124" spans="1:16">
      <c r="A124" s="285" t="s">
        <v>98</v>
      </c>
      <c r="B124" s="285" t="s">
        <v>486</v>
      </c>
      <c r="C124" s="290">
        <v>2.4471229999999999</v>
      </c>
      <c r="D124" s="290">
        <v>31.131910999999999</v>
      </c>
      <c r="E124" s="290">
        <v>18.565411999999998</v>
      </c>
      <c r="F124" s="290">
        <v>1.2151449999999999</v>
      </c>
      <c r="G124" s="290">
        <v>-1.3888039999999999</v>
      </c>
      <c r="H124" s="290">
        <v>-0.15632399999999999</v>
      </c>
      <c r="I124" s="290">
        <v>0.1005764</v>
      </c>
      <c r="J124" s="290">
        <v>91.598517999999999</v>
      </c>
      <c r="K124" s="290">
        <v>10.267385000000001</v>
      </c>
      <c r="L124" s="290">
        <v>11.296322999999999</v>
      </c>
      <c r="M124" s="290">
        <v>8.0086689999999994</v>
      </c>
      <c r="N124" s="287">
        <v>4.7000000000000002E-3</v>
      </c>
      <c r="O124" s="288">
        <v>2</v>
      </c>
      <c r="P124" s="287">
        <v>1.5E-3</v>
      </c>
    </row>
    <row r="125" spans="1:16">
      <c r="A125" s="285" t="s">
        <v>99</v>
      </c>
      <c r="B125" s="285" t="s">
        <v>486</v>
      </c>
      <c r="C125" s="290">
        <v>185.465981</v>
      </c>
      <c r="D125" s="290">
        <v>1.5994440000000001</v>
      </c>
      <c r="E125" s="290">
        <v>-168.63286299999999</v>
      </c>
      <c r="F125" s="290">
        <v>1.6370899999999999</v>
      </c>
      <c r="G125" s="290">
        <v>5.418806</v>
      </c>
      <c r="H125" s="290">
        <v>0.15635769999999999</v>
      </c>
      <c r="I125" s="290">
        <v>2.008556</v>
      </c>
      <c r="J125" s="290">
        <v>25.161313</v>
      </c>
      <c r="K125" s="290">
        <v>10.142386999999999</v>
      </c>
      <c r="L125" s="290">
        <v>10.476067</v>
      </c>
      <c r="M125" s="290">
        <v>2.5955439999999999</v>
      </c>
      <c r="N125" s="287">
        <v>1.6999999999999999E-3</v>
      </c>
      <c r="O125" s="288">
        <v>0.11</v>
      </c>
      <c r="P125" s="287">
        <v>5.0000000000000001E-4</v>
      </c>
    </row>
    <row r="126" spans="1:16">
      <c r="A126" s="285" t="s">
        <v>100</v>
      </c>
      <c r="B126" s="285" t="s">
        <v>486</v>
      </c>
      <c r="C126" s="290">
        <v>9.1816879999999994</v>
      </c>
      <c r="D126" s="290">
        <v>9.1949520000000007</v>
      </c>
      <c r="E126" s="290">
        <v>18.794260999999999</v>
      </c>
      <c r="F126" s="290">
        <v>1.326425</v>
      </c>
      <c r="G126" s="290">
        <v>2.5411419999999998</v>
      </c>
      <c r="H126" s="290">
        <v>16.550453000000001</v>
      </c>
      <c r="I126" s="290">
        <v>-2.1341540000000001</v>
      </c>
      <c r="J126" s="290">
        <v>3.114563</v>
      </c>
      <c r="K126" s="290">
        <v>6.0228929999999998</v>
      </c>
      <c r="L126" s="290">
        <v>0.11023620000000001</v>
      </c>
      <c r="M126" s="290">
        <v>1.5939989999999999</v>
      </c>
      <c r="N126" s="287">
        <v>2.0000000000000001E-4</v>
      </c>
      <c r="O126" s="288">
        <v>2</v>
      </c>
      <c r="P126" s="287">
        <v>1E-4</v>
      </c>
    </row>
    <row r="127" spans="1:16">
      <c r="A127" s="285" t="s">
        <v>347</v>
      </c>
      <c r="B127" s="285" t="s">
        <v>486</v>
      </c>
      <c r="C127" s="290">
        <v>10.902778</v>
      </c>
      <c r="D127" s="290">
        <v>10.474741</v>
      </c>
      <c r="E127" s="290">
        <v>18.888859</v>
      </c>
      <c r="F127" s="290">
        <v>1.0898540000000001</v>
      </c>
      <c r="G127" s="290">
        <v>-0.2278396</v>
      </c>
      <c r="H127" s="290">
        <v>-0.36268400000000001</v>
      </c>
      <c r="I127" s="290">
        <v>9.7970470000000004E-2</v>
      </c>
      <c r="J127" s="290">
        <v>87.211223000000004</v>
      </c>
      <c r="K127" s="290">
        <v>2.9298320000000002</v>
      </c>
      <c r="L127" s="290">
        <v>29.042708999999999</v>
      </c>
      <c r="M127" s="290">
        <v>6.4088050000000001</v>
      </c>
      <c r="N127" s="287">
        <v>5.5999999999999999E-3</v>
      </c>
      <c r="O127" s="288">
        <v>2</v>
      </c>
      <c r="P127" s="287">
        <v>1.6999999999999999E-3</v>
      </c>
    </row>
    <row r="128" spans="1:16">
      <c r="A128" s="285" t="s">
        <v>101</v>
      </c>
      <c r="B128" s="285" t="s">
        <v>486</v>
      </c>
      <c r="C128" s="290">
        <v>10.788695000000001</v>
      </c>
      <c r="D128" s="290">
        <v>9.7428690000000007</v>
      </c>
      <c r="E128" s="290">
        <v>5.8768469999999997</v>
      </c>
      <c r="F128" s="290">
        <v>0.1186038</v>
      </c>
      <c r="G128" s="290">
        <v>300</v>
      </c>
      <c r="H128" s="290">
        <v>1.4846600000000001</v>
      </c>
      <c r="I128" s="290">
        <v>2.4978850000000001</v>
      </c>
      <c r="J128" s="290">
        <v>24.450606000000001</v>
      </c>
      <c r="K128" s="290">
        <v>-283.08186999999998</v>
      </c>
      <c r="L128" s="290">
        <v>1.5076780000000001</v>
      </c>
      <c r="M128" s="290">
        <v>1.9163749999999999</v>
      </c>
      <c r="N128" s="287">
        <v>2.2000000000000001E-3</v>
      </c>
      <c r="O128" s="288">
        <v>0.12</v>
      </c>
      <c r="P128" s="287">
        <v>8.0000000000000004E-4</v>
      </c>
    </row>
    <row r="129" spans="1:16">
      <c r="A129" s="285" t="s">
        <v>102</v>
      </c>
      <c r="B129" s="285" t="s">
        <v>486</v>
      </c>
      <c r="C129" s="290">
        <v>300</v>
      </c>
      <c r="D129" s="290">
        <v>1.5452870000000001</v>
      </c>
      <c r="E129" s="290">
        <v>10.454513</v>
      </c>
      <c r="F129" s="290">
        <v>9.0764790000000009</v>
      </c>
      <c r="G129" s="290">
        <v>-283.74366900000001</v>
      </c>
      <c r="H129" s="290">
        <v>1.5717970000000001</v>
      </c>
      <c r="I129" s="290">
        <v>2.0771950000000001</v>
      </c>
      <c r="J129" s="290">
        <v>19.643151</v>
      </c>
      <c r="K129" s="290">
        <v>5.1088550000000001</v>
      </c>
      <c r="L129" s="290">
        <v>0.1797443</v>
      </c>
      <c r="M129" s="290">
        <v>3.1023339999999999</v>
      </c>
      <c r="N129" s="287">
        <v>8.0000000000000004E-4</v>
      </c>
      <c r="O129" s="288">
        <v>0.13</v>
      </c>
      <c r="P129" s="287">
        <v>2.9999999999999997E-4</v>
      </c>
    </row>
    <row r="130" spans="1:16">
      <c r="A130" s="285" t="s">
        <v>103</v>
      </c>
      <c r="B130" s="285" t="s">
        <v>486</v>
      </c>
      <c r="C130" s="290">
        <v>19.383261999999998</v>
      </c>
      <c r="D130" s="290">
        <v>1.2380819999999999</v>
      </c>
      <c r="E130" s="290">
        <v>9.6192770000000003</v>
      </c>
      <c r="F130" s="290">
        <v>8.0757130000000004</v>
      </c>
      <c r="G130" s="290">
        <v>5.7602440000000001</v>
      </c>
      <c r="H130" s="290">
        <v>0.1094542</v>
      </c>
      <c r="I130" s="290">
        <v>2.446593</v>
      </c>
      <c r="J130" s="290">
        <v>14.130444000000001</v>
      </c>
      <c r="K130" s="290">
        <v>-3.0391780000000002</v>
      </c>
      <c r="L130" s="290">
        <v>2.6912349999999998</v>
      </c>
      <c r="M130" s="290">
        <v>1.829693</v>
      </c>
      <c r="N130" s="287">
        <v>1E-4</v>
      </c>
      <c r="O130" s="288">
        <v>2</v>
      </c>
      <c r="P130" s="287">
        <v>1E-4</v>
      </c>
    </row>
    <row r="131" spans="1:16">
      <c r="A131" s="285" t="s">
        <v>104</v>
      </c>
      <c r="B131" s="285" t="s">
        <v>486</v>
      </c>
      <c r="C131" s="290">
        <v>3.9533719999999999</v>
      </c>
      <c r="D131" s="290">
        <v>28.369833</v>
      </c>
      <c r="E131" s="290">
        <v>19.141143</v>
      </c>
      <c r="F131" s="290">
        <v>0.98563590000000001</v>
      </c>
      <c r="G131" s="290">
        <v>-3.2148070000000001E-2</v>
      </c>
      <c r="H131" s="290">
        <v>-0.65920369999999995</v>
      </c>
      <c r="I131" s="290">
        <v>0.56066859999999996</v>
      </c>
      <c r="J131" s="290">
        <v>71.751766000000003</v>
      </c>
      <c r="K131" s="290">
        <v>11.492991</v>
      </c>
      <c r="L131" s="290">
        <v>9.893637</v>
      </c>
      <c r="M131" s="290">
        <v>5.8843430000000003</v>
      </c>
      <c r="N131" s="287">
        <v>6.1999999999999998E-3</v>
      </c>
      <c r="O131" s="288">
        <v>2</v>
      </c>
      <c r="P131" s="287">
        <v>1.9E-3</v>
      </c>
    </row>
    <row r="132" spans="1:16">
      <c r="A132" s="285" t="s">
        <v>105</v>
      </c>
      <c r="B132" s="285" t="s">
        <v>486</v>
      </c>
      <c r="C132" s="290">
        <v>11.812068</v>
      </c>
      <c r="D132" s="290">
        <v>9.7361699999999995</v>
      </c>
      <c r="E132" s="290">
        <v>3.318168</v>
      </c>
      <c r="F132" s="290">
        <v>28.303842</v>
      </c>
      <c r="G132" s="290">
        <v>208.71149700000001</v>
      </c>
      <c r="H132" s="290">
        <v>0.65604370000000001</v>
      </c>
      <c r="I132" s="290">
        <v>113.07757599999999</v>
      </c>
      <c r="J132" s="290">
        <v>0.44025690000000001</v>
      </c>
      <c r="K132" s="290">
        <v>-299.999999</v>
      </c>
      <c r="L132" s="290">
        <v>0.56083240000000001</v>
      </c>
      <c r="M132" s="290">
        <v>3.075796</v>
      </c>
      <c r="N132" s="287">
        <v>5.1999999999999998E-3</v>
      </c>
      <c r="O132" s="288">
        <v>0.11</v>
      </c>
      <c r="P132" s="287">
        <v>1.8E-3</v>
      </c>
    </row>
    <row r="133" spans="1:16">
      <c r="A133" s="285" t="s">
        <v>106</v>
      </c>
      <c r="B133" s="285" t="s">
        <v>486</v>
      </c>
      <c r="C133" s="290">
        <v>2.9534570000000002</v>
      </c>
      <c r="D133" s="290">
        <v>23.004428000000001</v>
      </c>
      <c r="E133" s="290">
        <v>11.479125</v>
      </c>
      <c r="F133" s="290">
        <v>9.0942469999999993</v>
      </c>
      <c r="G133" s="290">
        <v>32.469777000000001</v>
      </c>
      <c r="H133" s="290">
        <v>1.2459659999999999</v>
      </c>
      <c r="I133" s="290">
        <v>-15.203752</v>
      </c>
      <c r="J133" s="290">
        <v>1.5449489999999999</v>
      </c>
      <c r="K133" s="290">
        <v>15.205232000000001</v>
      </c>
      <c r="L133" s="290">
        <v>2.924409E-2</v>
      </c>
      <c r="M133" s="290">
        <v>-7.906161</v>
      </c>
      <c r="N133" s="287">
        <v>2.5000000000000001E-3</v>
      </c>
      <c r="O133" s="288">
        <v>0.12</v>
      </c>
      <c r="P133" s="287">
        <v>8.9999999999999998E-4</v>
      </c>
    </row>
    <row r="134" spans="1:16">
      <c r="A134" s="285" t="s">
        <v>107</v>
      </c>
      <c r="B134" s="285" t="s">
        <v>486</v>
      </c>
      <c r="C134" s="290">
        <v>2.542567</v>
      </c>
      <c r="D134" s="290">
        <v>19.172339999999998</v>
      </c>
      <c r="E134" s="290">
        <v>5.5161720000000001</v>
      </c>
      <c r="F134" s="290">
        <v>0.1245197</v>
      </c>
      <c r="G134" s="290">
        <v>28.291685999999999</v>
      </c>
      <c r="H134" s="290">
        <v>1.2718179999999999</v>
      </c>
      <c r="I134" s="290">
        <v>11.152771</v>
      </c>
      <c r="J134" s="290">
        <v>8.502936</v>
      </c>
      <c r="K134" s="290">
        <v>-11.802728</v>
      </c>
      <c r="L134" s="290">
        <v>1.7020679999999999</v>
      </c>
      <c r="M134" s="290">
        <v>2.2984390000000001</v>
      </c>
      <c r="N134" s="287">
        <v>1.1999999999999999E-3</v>
      </c>
      <c r="O134" s="288">
        <v>0.13</v>
      </c>
      <c r="P134" s="287">
        <v>4.0000000000000002E-4</v>
      </c>
    </row>
    <row r="135" spans="1:16">
      <c r="A135" s="285" t="s">
        <v>108</v>
      </c>
      <c r="B135" s="285" t="s">
        <v>486</v>
      </c>
      <c r="C135" s="290">
        <v>300</v>
      </c>
      <c r="D135" s="290">
        <v>1.467938</v>
      </c>
      <c r="E135" s="290">
        <v>10.794093999999999</v>
      </c>
      <c r="F135" s="290">
        <v>7.9556979999999999</v>
      </c>
      <c r="G135" s="290">
        <v>2.1085310000000002</v>
      </c>
      <c r="H135" s="290">
        <v>16.060078000000001</v>
      </c>
      <c r="I135" s="290">
        <v>-284.24518499999999</v>
      </c>
      <c r="J135" s="290">
        <v>1.496227</v>
      </c>
      <c r="K135" s="290">
        <v>4.9773269999999998</v>
      </c>
      <c r="L135" s="290">
        <v>0.19106909999999999</v>
      </c>
      <c r="M135" s="290">
        <v>3.3648099999999999</v>
      </c>
      <c r="N135" s="287">
        <v>4.0000000000000002E-4</v>
      </c>
      <c r="O135" s="288">
        <v>0.14000000000000001</v>
      </c>
      <c r="P135" s="287">
        <v>2.0000000000000001E-4</v>
      </c>
    </row>
    <row r="136" spans="1:16">
      <c r="A136" s="285" t="s">
        <v>109</v>
      </c>
      <c r="B136" s="285" t="s">
        <v>486</v>
      </c>
      <c r="C136" s="290">
        <v>20.149419000000002</v>
      </c>
      <c r="D136" s="290">
        <v>1.165205</v>
      </c>
      <c r="E136" s="290">
        <v>10.031814000000001</v>
      </c>
      <c r="F136" s="290">
        <v>7.1641810000000001</v>
      </c>
      <c r="G136" s="290">
        <v>2.3465509999999998</v>
      </c>
      <c r="H136" s="290">
        <v>12.264208</v>
      </c>
      <c r="I136" s="290">
        <v>-4.1400959999999998</v>
      </c>
      <c r="J136" s="290">
        <v>2.341923</v>
      </c>
      <c r="K136" s="290">
        <v>5.3959570000000001</v>
      </c>
      <c r="L136" s="290">
        <v>0.1150109</v>
      </c>
      <c r="M136" s="290">
        <v>2.2162820000000001</v>
      </c>
      <c r="N136" s="287">
        <v>1E-4</v>
      </c>
      <c r="O136" s="288">
        <v>2</v>
      </c>
      <c r="P136" s="287">
        <v>0</v>
      </c>
    </row>
    <row r="137" spans="1:16">
      <c r="A137" s="285" t="s">
        <v>110</v>
      </c>
      <c r="B137" s="285" t="s">
        <v>486</v>
      </c>
      <c r="C137" s="290">
        <v>19.207156999999999</v>
      </c>
      <c r="D137" s="290">
        <v>0.89078100000000004</v>
      </c>
      <c r="E137" s="290">
        <v>3.6112389999999999</v>
      </c>
      <c r="F137" s="290">
        <v>27.827978999999999</v>
      </c>
      <c r="G137" s="290">
        <v>-1.5690809999999999E-3</v>
      </c>
      <c r="H137" s="290">
        <v>-1.206226</v>
      </c>
      <c r="I137" s="290">
        <v>1.1898260000000001</v>
      </c>
      <c r="J137" s="290">
        <v>76.031481999999997</v>
      </c>
      <c r="K137" s="290">
        <v>12.397615999999999</v>
      </c>
      <c r="L137" s="290">
        <v>9.0085490000000004</v>
      </c>
      <c r="M137" s="290">
        <v>5.5955430000000002</v>
      </c>
      <c r="N137" s="287">
        <v>6.3E-3</v>
      </c>
      <c r="O137" s="288">
        <v>2</v>
      </c>
      <c r="P137" s="287">
        <v>2.0999999999999999E-3</v>
      </c>
    </row>
    <row r="138" spans="1:16">
      <c r="A138" s="285" t="s">
        <v>111</v>
      </c>
      <c r="B138" s="285" t="s">
        <v>486</v>
      </c>
      <c r="C138" s="290">
        <v>-297.65033</v>
      </c>
      <c r="D138" s="290">
        <v>0.42899969999999998</v>
      </c>
      <c r="E138" s="290">
        <v>198.14985899999999</v>
      </c>
      <c r="F138" s="290">
        <v>0.36398829999999999</v>
      </c>
      <c r="G138" s="290">
        <v>3.6942680000000001</v>
      </c>
      <c r="H138" s="290">
        <v>25.952456000000002</v>
      </c>
      <c r="I138" s="290">
        <v>12.588829</v>
      </c>
      <c r="J138" s="290">
        <v>9.0796880000000009</v>
      </c>
      <c r="K138" s="290">
        <v>122.518458</v>
      </c>
      <c r="L138" s="290">
        <v>0.590113</v>
      </c>
      <c r="M138" s="290">
        <v>1.6939029999999999</v>
      </c>
      <c r="N138" s="287">
        <v>5.3E-3</v>
      </c>
      <c r="O138" s="288">
        <v>0.12</v>
      </c>
      <c r="P138" s="287">
        <v>2E-3</v>
      </c>
    </row>
    <row r="139" spans="1:16">
      <c r="A139" s="285" t="s">
        <v>112</v>
      </c>
      <c r="B139" s="285" t="s">
        <v>486</v>
      </c>
      <c r="C139" s="290">
        <v>300</v>
      </c>
      <c r="D139" s="290">
        <v>1.254712</v>
      </c>
      <c r="E139" s="290">
        <v>3.3741029999999999</v>
      </c>
      <c r="F139" s="290">
        <v>21.443663000000001</v>
      </c>
      <c r="G139" s="290">
        <v>-9.3983899999999991</v>
      </c>
      <c r="H139" s="290">
        <v>-3.3950580000000001E-2</v>
      </c>
      <c r="I139" s="290">
        <v>12.225016999999999</v>
      </c>
      <c r="J139" s="290">
        <v>8.4995630000000002</v>
      </c>
      <c r="K139" s="290">
        <v>-282.64166899999998</v>
      </c>
      <c r="L139" s="290">
        <v>1.2773669999999999</v>
      </c>
      <c r="M139" s="290">
        <v>16.438395</v>
      </c>
      <c r="N139" s="287">
        <v>2.7000000000000001E-3</v>
      </c>
      <c r="O139" s="288">
        <v>0.13</v>
      </c>
      <c r="P139" s="287">
        <v>1E-3</v>
      </c>
    </row>
    <row r="140" spans="1:16">
      <c r="A140" s="285" t="s">
        <v>113</v>
      </c>
      <c r="B140" s="285" t="s">
        <v>486</v>
      </c>
      <c r="C140" s="290">
        <v>6.3620299999999999</v>
      </c>
      <c r="D140" s="290">
        <v>9.1463840000000005E-2</v>
      </c>
      <c r="E140" s="290">
        <v>2.9611740000000002</v>
      </c>
      <c r="F140" s="290">
        <v>18.262923000000001</v>
      </c>
      <c r="G140" s="290">
        <v>11.879624</v>
      </c>
      <c r="H140" s="290">
        <v>7.9977210000000003</v>
      </c>
      <c r="I140" s="290">
        <v>300</v>
      </c>
      <c r="J140" s="290">
        <v>1.320438</v>
      </c>
      <c r="K140" s="290">
        <v>-283.51561199999998</v>
      </c>
      <c r="L140" s="290">
        <v>1.346398</v>
      </c>
      <c r="M140" s="290">
        <v>1.3115140000000001</v>
      </c>
      <c r="N140" s="287">
        <v>1.2999999999999999E-3</v>
      </c>
      <c r="O140" s="288">
        <v>0.13</v>
      </c>
      <c r="P140" s="287">
        <v>5.0000000000000001E-4</v>
      </c>
    </row>
    <row r="141" spans="1:16">
      <c r="A141" s="285" t="s">
        <v>114</v>
      </c>
      <c r="B141" s="285" t="s">
        <v>486</v>
      </c>
      <c r="C141" s="290">
        <v>192.98840999999999</v>
      </c>
      <c r="D141" s="290">
        <v>1.3538380000000001</v>
      </c>
      <c r="E141" s="290">
        <v>5.0744870000000004</v>
      </c>
      <c r="F141" s="290">
        <v>0.15790399999999999</v>
      </c>
      <c r="G141" s="290">
        <v>-177.178248</v>
      </c>
      <c r="H141" s="290">
        <v>1.397891</v>
      </c>
      <c r="I141" s="290">
        <v>2.5269699999999999</v>
      </c>
      <c r="J141" s="290">
        <v>15.745391</v>
      </c>
      <c r="K141" s="290">
        <v>11.533239999999999</v>
      </c>
      <c r="L141" s="290">
        <v>7.5155890000000003</v>
      </c>
      <c r="M141" s="290">
        <v>3.0545279999999999</v>
      </c>
      <c r="N141" s="287">
        <v>5.9999999999999995E-4</v>
      </c>
      <c r="O141" s="288">
        <v>0.14000000000000001</v>
      </c>
      <c r="P141" s="287">
        <v>2.9999999999999997E-4</v>
      </c>
    </row>
    <row r="142" spans="1:16">
      <c r="A142" s="285" t="s">
        <v>115</v>
      </c>
      <c r="B142" s="285" t="s">
        <v>486</v>
      </c>
      <c r="C142" s="290">
        <v>24.325258000000002</v>
      </c>
      <c r="D142" s="290">
        <v>1.161321</v>
      </c>
      <c r="E142" s="290">
        <v>11.146343</v>
      </c>
      <c r="F142" s="290">
        <v>7.0071180000000002</v>
      </c>
      <c r="G142" s="290">
        <v>2.1732819999999999</v>
      </c>
      <c r="H142" s="290">
        <v>13.445224</v>
      </c>
      <c r="I142" s="290">
        <v>4.9940020000000001</v>
      </c>
      <c r="J142" s="290">
        <v>0.14304069999999999</v>
      </c>
      <c r="K142" s="290">
        <v>-8.5443960000000008</v>
      </c>
      <c r="L142" s="290">
        <v>1.788697</v>
      </c>
      <c r="M142" s="290">
        <v>2.9052410000000002</v>
      </c>
      <c r="N142" s="287">
        <v>2.9999999999999997E-4</v>
      </c>
      <c r="O142" s="288">
        <v>0.15</v>
      </c>
      <c r="P142" s="287">
        <v>1E-4</v>
      </c>
    </row>
    <row r="143" spans="1:16">
      <c r="A143" s="285" t="s">
        <v>116</v>
      </c>
      <c r="B143" s="285" t="s">
        <v>486</v>
      </c>
      <c r="C143" s="290">
        <v>21.307981000000002</v>
      </c>
      <c r="D143" s="290">
        <v>1.1094329999999999</v>
      </c>
      <c r="E143" s="290">
        <v>10.417094000000001</v>
      </c>
      <c r="F143" s="290">
        <v>6.4095930000000001</v>
      </c>
      <c r="G143" s="290">
        <v>-5.6794060000000002</v>
      </c>
      <c r="H143" s="290">
        <v>2.0358510000000001</v>
      </c>
      <c r="I143" s="290">
        <v>2.2438500000000001</v>
      </c>
      <c r="J143" s="290">
        <v>10.784322</v>
      </c>
      <c r="K143" s="290">
        <v>5.0035860000000003</v>
      </c>
      <c r="L143" s="290">
        <v>0.12845880000000001</v>
      </c>
      <c r="M143" s="290">
        <v>2.7068460000000001</v>
      </c>
      <c r="N143" s="287">
        <v>1E-4</v>
      </c>
      <c r="O143" s="288">
        <v>2</v>
      </c>
      <c r="P143" s="287">
        <v>0</v>
      </c>
    </row>
    <row r="144" spans="1:16">
      <c r="A144" s="285" t="s">
        <v>117</v>
      </c>
      <c r="B144" s="285" t="s">
        <v>486</v>
      </c>
      <c r="C144" s="290">
        <v>13.355124</v>
      </c>
      <c r="D144" s="290">
        <v>8.7799870000000002</v>
      </c>
      <c r="E144" s="290">
        <v>19.306281999999999</v>
      </c>
      <c r="F144" s="290">
        <v>0.8181543</v>
      </c>
      <c r="G144" s="290">
        <v>0.32879029999999998</v>
      </c>
      <c r="H144" s="290">
        <v>70.697190000000006</v>
      </c>
      <c r="I144" s="290">
        <v>-1.4766390000000001E-5</v>
      </c>
      <c r="J144" s="290">
        <v>-2.179046</v>
      </c>
      <c r="K144" s="290">
        <v>4.5562690000000003</v>
      </c>
      <c r="L144" s="290">
        <v>25.612019</v>
      </c>
      <c r="M144" s="290">
        <v>5.4542580000000003</v>
      </c>
      <c r="N144" s="287">
        <v>6.4999999999999997E-3</v>
      </c>
      <c r="O144" s="288">
        <v>1.01</v>
      </c>
      <c r="P144" s="287">
        <v>2.8E-3</v>
      </c>
    </row>
    <row r="145" spans="1:16">
      <c r="A145" s="285" t="s">
        <v>118</v>
      </c>
      <c r="B145" s="285" t="s">
        <v>486</v>
      </c>
      <c r="C145" s="290">
        <v>22.712890999999999</v>
      </c>
      <c r="D145" s="290">
        <v>0.73108680000000004</v>
      </c>
      <c r="E145" s="290">
        <v>13.436896000000001</v>
      </c>
      <c r="F145" s="290">
        <v>8.5318509999999996</v>
      </c>
      <c r="G145" s="290">
        <v>-21.030743999999999</v>
      </c>
      <c r="H145" s="290">
        <v>-0.11150160000000001</v>
      </c>
      <c r="I145" s="290">
        <v>3.9651420000000002</v>
      </c>
      <c r="J145" s="290">
        <v>24.051057</v>
      </c>
      <c r="K145" s="290">
        <v>300</v>
      </c>
      <c r="L145" s="290">
        <v>-1.2052999999999999E-2</v>
      </c>
      <c r="M145" s="290">
        <v>-277.08900699999998</v>
      </c>
      <c r="N145" s="287">
        <v>5.1000000000000004E-3</v>
      </c>
      <c r="O145" s="288">
        <v>0.12</v>
      </c>
      <c r="P145" s="287">
        <v>2.2000000000000001E-3</v>
      </c>
    </row>
    <row r="146" spans="1:16">
      <c r="A146" s="285" t="s">
        <v>119</v>
      </c>
      <c r="B146" s="285" t="s">
        <v>486</v>
      </c>
      <c r="C146" s="290">
        <v>300</v>
      </c>
      <c r="D146" s="290">
        <v>1.148387</v>
      </c>
      <c r="E146" s="290">
        <v>13.030484</v>
      </c>
      <c r="F146" s="290">
        <v>7.9673559999999997</v>
      </c>
      <c r="G146" s="290">
        <v>3.7373699999999999</v>
      </c>
      <c r="H146" s="290">
        <v>20.002161999999998</v>
      </c>
      <c r="I146" s="290">
        <v>-0.84942759999999995</v>
      </c>
      <c r="J146" s="290">
        <v>-0.17879010000000001</v>
      </c>
      <c r="K146" s="290">
        <v>-282.33729499999998</v>
      </c>
      <c r="L146" s="290">
        <v>1.170526</v>
      </c>
      <c r="M146" s="290">
        <v>7.4161780000000004</v>
      </c>
      <c r="N146" s="287">
        <v>2.8E-3</v>
      </c>
      <c r="O146" s="288">
        <v>0.13</v>
      </c>
      <c r="P146" s="287">
        <v>1.1000000000000001E-3</v>
      </c>
    </row>
    <row r="147" spans="1:16">
      <c r="A147" s="285" t="s">
        <v>120</v>
      </c>
      <c r="B147" s="285" t="s">
        <v>486</v>
      </c>
      <c r="C147" s="290">
        <v>254.23315700000001</v>
      </c>
      <c r="D147" s="290">
        <v>1.210996</v>
      </c>
      <c r="E147" s="290">
        <v>12.663155</v>
      </c>
      <c r="F147" s="290">
        <v>7.5237660000000002</v>
      </c>
      <c r="G147" s="290">
        <v>-237.461389</v>
      </c>
      <c r="H147" s="290">
        <v>1.241198</v>
      </c>
      <c r="I147" s="290">
        <v>3.347807</v>
      </c>
      <c r="J147" s="290">
        <v>17.243880000000001</v>
      </c>
      <c r="K147" s="290">
        <v>89.138486</v>
      </c>
      <c r="L147" s="290">
        <v>4.1287329999999999E-3</v>
      </c>
      <c r="M147" s="290">
        <v>-81.922624999999996</v>
      </c>
      <c r="N147" s="287">
        <v>1.5E-3</v>
      </c>
      <c r="O147" s="288">
        <v>0.14000000000000001</v>
      </c>
      <c r="P147" s="287">
        <v>5.9999999999999995E-4</v>
      </c>
    </row>
    <row r="148" spans="1:16">
      <c r="A148" s="285" t="s">
        <v>121</v>
      </c>
      <c r="B148" s="285" t="s">
        <v>486</v>
      </c>
      <c r="C148" s="290">
        <v>12.301748999999999</v>
      </c>
      <c r="D148" s="290">
        <v>7.1005260000000003</v>
      </c>
      <c r="E148" s="290">
        <v>5.8444520000000004</v>
      </c>
      <c r="F148" s="290">
        <v>0.10247199999999999</v>
      </c>
      <c r="G148" s="290">
        <v>300</v>
      </c>
      <c r="H148" s="290">
        <v>1.257687</v>
      </c>
      <c r="I148" s="290">
        <v>2.928213</v>
      </c>
      <c r="J148" s="290">
        <v>15.088061</v>
      </c>
      <c r="K148" s="290">
        <v>-283.99969499999997</v>
      </c>
      <c r="L148" s="290">
        <v>1.285088</v>
      </c>
      <c r="M148" s="290">
        <v>1.9245410000000001</v>
      </c>
      <c r="N148" s="287">
        <v>8.0000000000000004E-4</v>
      </c>
      <c r="O148" s="288">
        <v>0.14000000000000001</v>
      </c>
      <c r="P148" s="287">
        <v>2.9999999999999997E-4</v>
      </c>
    </row>
    <row r="149" spans="1:16">
      <c r="A149" s="285" t="s">
        <v>122</v>
      </c>
      <c r="B149" s="285" t="s">
        <v>486</v>
      </c>
      <c r="C149" s="290">
        <v>-284.60897799999998</v>
      </c>
      <c r="D149" s="290">
        <v>1.315374</v>
      </c>
      <c r="E149" s="290">
        <v>11.922594999999999</v>
      </c>
      <c r="F149" s="290">
        <v>6.6886830000000002</v>
      </c>
      <c r="G149" s="290">
        <v>2.5045419999999998</v>
      </c>
      <c r="H149" s="290">
        <v>13.281433</v>
      </c>
      <c r="I149" s="290">
        <v>300</v>
      </c>
      <c r="J149" s="290">
        <v>1.2868459999999999</v>
      </c>
      <c r="K149" s="290">
        <v>4.9899050000000003</v>
      </c>
      <c r="L149" s="290">
        <v>0.15905079999999999</v>
      </c>
      <c r="M149" s="290">
        <v>3.1915619999999998</v>
      </c>
      <c r="N149" s="287">
        <v>4.0000000000000002E-4</v>
      </c>
      <c r="O149" s="288">
        <v>0.15</v>
      </c>
      <c r="P149" s="287">
        <v>2.0000000000000001E-4</v>
      </c>
    </row>
    <row r="150" spans="1:16">
      <c r="A150" s="285" t="s">
        <v>123</v>
      </c>
      <c r="B150" s="285" t="s">
        <v>486</v>
      </c>
      <c r="C150" s="290">
        <v>20.947323999999998</v>
      </c>
      <c r="D150" s="290">
        <v>0.98536950000000001</v>
      </c>
      <c r="E150" s="290">
        <v>11.535503</v>
      </c>
      <c r="F150" s="290">
        <v>6.2024280000000003</v>
      </c>
      <c r="G150" s="290">
        <v>-4.8072470000000003</v>
      </c>
      <c r="H150" s="290">
        <v>2.0014500000000002</v>
      </c>
      <c r="I150" s="290">
        <v>2.2602370000000001</v>
      </c>
      <c r="J150" s="290">
        <v>11.468467</v>
      </c>
      <c r="K150" s="290">
        <v>13.784397</v>
      </c>
      <c r="L150" s="290">
        <v>2.6152450000000001E-2</v>
      </c>
      <c r="M150" s="290">
        <v>-6.7204009999999998</v>
      </c>
      <c r="N150" s="287">
        <v>2.0000000000000001E-4</v>
      </c>
      <c r="O150" s="288">
        <v>2</v>
      </c>
      <c r="P150" s="287">
        <v>1E-4</v>
      </c>
    </row>
    <row r="151" spans="1:16">
      <c r="A151" s="285" t="s">
        <v>124</v>
      </c>
      <c r="B151" s="285" t="s">
        <v>486</v>
      </c>
      <c r="C151" s="290">
        <v>4.7124439999999996</v>
      </c>
      <c r="D151" s="290">
        <v>0.15177399999999999</v>
      </c>
      <c r="E151" s="290">
        <v>23.629769</v>
      </c>
      <c r="F151" s="290">
        <v>1.0773239999999999</v>
      </c>
      <c r="G151" s="290">
        <v>2.1397629999999999</v>
      </c>
      <c r="H151" s="290">
        <v>9.5850449999999991</v>
      </c>
      <c r="I151" s="290">
        <v>10.774224</v>
      </c>
      <c r="J151" s="290">
        <v>5.7765659999999999</v>
      </c>
      <c r="K151" s="290">
        <v>-8.4779710000000001</v>
      </c>
      <c r="L151" s="290">
        <v>1.750251</v>
      </c>
      <c r="M151" s="290">
        <v>3.2217389999999999</v>
      </c>
      <c r="N151" s="287">
        <v>1E-4</v>
      </c>
      <c r="O151" s="288">
        <v>2</v>
      </c>
      <c r="P151" s="287">
        <v>0</v>
      </c>
    </row>
    <row r="152" spans="1:16">
      <c r="A152" s="285" t="s">
        <v>125</v>
      </c>
      <c r="B152" s="285" t="s">
        <v>486</v>
      </c>
      <c r="C152" s="290">
        <v>19.314446</v>
      </c>
      <c r="D152" s="290">
        <v>0.75359089999999995</v>
      </c>
      <c r="E152" s="290">
        <v>14.470717</v>
      </c>
      <c r="F152" s="290">
        <v>8.3467380000000002</v>
      </c>
      <c r="G152" s="290">
        <v>-4.6258840000000001E-10</v>
      </c>
      <c r="H152" s="290">
        <v>-4.5356740000000002</v>
      </c>
      <c r="I152" s="290">
        <v>0.19169240000000001</v>
      </c>
      <c r="J152" s="290">
        <v>79.037209000000004</v>
      </c>
      <c r="K152" s="290">
        <v>4.6730739999999997</v>
      </c>
      <c r="L152" s="290">
        <v>24.890172</v>
      </c>
      <c r="M152" s="290">
        <v>5.350962</v>
      </c>
      <c r="N152" s="287">
        <v>9.1999999999999998E-3</v>
      </c>
      <c r="O152" s="288">
        <v>1.04</v>
      </c>
      <c r="P152" s="287">
        <v>3.7000000000000002E-3</v>
      </c>
    </row>
    <row r="153" spans="1:16">
      <c r="A153" s="285" t="s">
        <v>126</v>
      </c>
      <c r="B153" s="285" t="s">
        <v>486</v>
      </c>
      <c r="C153" s="290">
        <v>300</v>
      </c>
      <c r="D153" s="290">
        <v>0.43122440000000001</v>
      </c>
      <c r="E153" s="290">
        <v>4.3418070000000002</v>
      </c>
      <c r="F153" s="290">
        <v>22.057418999999999</v>
      </c>
      <c r="G153" s="290">
        <v>14.282256</v>
      </c>
      <c r="H153" s="290">
        <v>7.932747</v>
      </c>
      <c r="I153" s="290">
        <v>-278.30309899999997</v>
      </c>
      <c r="J153" s="290">
        <v>-6.8158369999999999E-3</v>
      </c>
      <c r="K153" s="290">
        <v>-297.326233</v>
      </c>
      <c r="L153" s="290">
        <v>0.39518019999999998</v>
      </c>
      <c r="M153" s="290">
        <v>300</v>
      </c>
      <c r="N153" s="287">
        <v>5.4999999999999997E-3</v>
      </c>
      <c r="O153" s="288">
        <v>0.13</v>
      </c>
      <c r="P153" s="287">
        <v>2.0999999999999999E-3</v>
      </c>
    </row>
    <row r="154" spans="1:16">
      <c r="A154" s="285" t="s">
        <v>127</v>
      </c>
      <c r="B154" s="285" t="s">
        <v>486</v>
      </c>
      <c r="C154" s="290">
        <v>13.879848000000001</v>
      </c>
      <c r="D154" s="290">
        <v>7.4789919999999999</v>
      </c>
      <c r="E154" s="290">
        <v>300</v>
      </c>
      <c r="F154" s="290">
        <v>1.0528090000000001</v>
      </c>
      <c r="G154" s="290">
        <v>4.0642180000000003</v>
      </c>
      <c r="H154" s="290">
        <v>18.6814</v>
      </c>
      <c r="I154" s="290">
        <v>-0.12791379999999999</v>
      </c>
      <c r="J154" s="290">
        <v>-0.39608159999999998</v>
      </c>
      <c r="K154" s="290">
        <v>-282.098364</v>
      </c>
      <c r="L154" s="290">
        <v>1.074311</v>
      </c>
      <c r="M154" s="290">
        <v>6.2793950000000001</v>
      </c>
      <c r="N154" s="287">
        <v>3.0000000000000001E-3</v>
      </c>
      <c r="O154" s="288">
        <v>0.13</v>
      </c>
      <c r="P154" s="287">
        <v>1.1999999999999999E-3</v>
      </c>
    </row>
    <row r="155" spans="1:16">
      <c r="A155" s="285" t="s">
        <v>128</v>
      </c>
      <c r="B155" s="285" t="s">
        <v>486</v>
      </c>
      <c r="C155" s="290">
        <v>-1.1829810000000001</v>
      </c>
      <c r="D155" s="290">
        <v>-0.1429356</v>
      </c>
      <c r="E155" s="290">
        <v>13.494278</v>
      </c>
      <c r="F155" s="290">
        <v>7.0871690000000003</v>
      </c>
      <c r="G155" s="290">
        <v>60.994711000000002</v>
      </c>
      <c r="H155" s="290">
        <v>1.0583340000000001</v>
      </c>
      <c r="I155" s="290">
        <v>-43.840392999999999</v>
      </c>
      <c r="J155" s="290">
        <v>1.198237</v>
      </c>
      <c r="K155" s="290">
        <v>3.6924779999999999</v>
      </c>
      <c r="L155" s="290">
        <v>16.254839</v>
      </c>
      <c r="M155" s="290">
        <v>7.8403890000000001</v>
      </c>
      <c r="N155" s="287">
        <v>1.6000000000000001E-3</v>
      </c>
      <c r="O155" s="288">
        <v>0.14000000000000001</v>
      </c>
      <c r="P155" s="287">
        <v>6.9999999999999999E-4</v>
      </c>
    </row>
    <row r="156" spans="1:16">
      <c r="A156" s="285" t="s">
        <v>129</v>
      </c>
      <c r="B156" s="285" t="s">
        <v>486</v>
      </c>
      <c r="C156" s="290">
        <v>42.409844</v>
      </c>
      <c r="D156" s="290">
        <v>8.535595E-3</v>
      </c>
      <c r="E156" s="290">
        <v>3.2863690000000001</v>
      </c>
      <c r="F156" s="290">
        <v>14.361936999999999</v>
      </c>
      <c r="G156" s="290">
        <v>288.37607700000001</v>
      </c>
      <c r="H156" s="290">
        <v>1.154633</v>
      </c>
      <c r="I156" s="290">
        <v>-272.02487500000001</v>
      </c>
      <c r="J156" s="290">
        <v>1.1825110000000001</v>
      </c>
      <c r="K156" s="290">
        <v>13.116429</v>
      </c>
      <c r="L156" s="290">
        <v>6.7151610000000002</v>
      </c>
      <c r="M156" s="290">
        <v>-35.164673000000001</v>
      </c>
      <c r="N156" s="287">
        <v>8.9999999999999998E-4</v>
      </c>
      <c r="O156" s="288">
        <v>0.15</v>
      </c>
      <c r="P156" s="287">
        <v>4.0000000000000002E-4</v>
      </c>
    </row>
    <row r="157" spans="1:16">
      <c r="A157" s="285" t="s">
        <v>130</v>
      </c>
      <c r="B157" s="285" t="s">
        <v>486</v>
      </c>
      <c r="C157" s="290">
        <v>52.317812000000004</v>
      </c>
      <c r="D157" s="290">
        <v>1.114838</v>
      </c>
      <c r="E157" s="290">
        <v>12.729485</v>
      </c>
      <c r="F157" s="290">
        <v>6.3502599999999996</v>
      </c>
      <c r="G157" s="290">
        <v>6.1234640000000002</v>
      </c>
      <c r="H157" s="290">
        <v>8.7810589999999994E-2</v>
      </c>
      <c r="I157" s="290">
        <v>2.8763670000000001</v>
      </c>
      <c r="J157" s="290">
        <v>12.794313000000001</v>
      </c>
      <c r="K157" s="290">
        <v>-36.598092999999999</v>
      </c>
      <c r="L157" s="290">
        <v>1.302711</v>
      </c>
      <c r="M157" s="290">
        <v>1.5505100000000001</v>
      </c>
      <c r="N157" s="287">
        <v>5.0000000000000001E-4</v>
      </c>
      <c r="O157" s="288">
        <v>0.15</v>
      </c>
      <c r="P157" s="287">
        <v>2.0000000000000001E-4</v>
      </c>
    </row>
    <row r="158" spans="1:16">
      <c r="A158" s="285" t="s">
        <v>348</v>
      </c>
      <c r="B158" s="285" t="s">
        <v>486</v>
      </c>
      <c r="C158" s="290">
        <v>15.175214</v>
      </c>
      <c r="D158" s="290">
        <v>7.4283510000000001</v>
      </c>
      <c r="E158" s="290">
        <v>45.258504000000002</v>
      </c>
      <c r="F158" s="290">
        <v>0.45505469999999998</v>
      </c>
      <c r="G158" s="290">
        <v>4.6313909999999998</v>
      </c>
      <c r="H158" s="290">
        <v>20.444110999999999</v>
      </c>
      <c r="I158" s="290">
        <v>-99.046690999999996</v>
      </c>
      <c r="J158" s="290">
        <v>0.13002079999999999</v>
      </c>
      <c r="K158" s="290">
        <v>-222.023843</v>
      </c>
      <c r="L158" s="290">
        <v>-2.1541930000000001E-2</v>
      </c>
      <c r="M158" s="290">
        <v>300</v>
      </c>
      <c r="N158" s="287">
        <v>5.7000000000000002E-3</v>
      </c>
      <c r="O158" s="288">
        <v>0.13</v>
      </c>
      <c r="P158" s="287">
        <v>2.0999999999999999E-3</v>
      </c>
    </row>
    <row r="159" spans="1:16">
      <c r="A159" s="285" t="s">
        <v>349</v>
      </c>
      <c r="B159" s="285" t="s">
        <v>486</v>
      </c>
      <c r="C159" s="290">
        <v>300</v>
      </c>
      <c r="D159" s="290">
        <v>1.0180499999999999</v>
      </c>
      <c r="E159" s="290">
        <v>4.0017170000000002</v>
      </c>
      <c r="F159" s="290">
        <v>15.328274</v>
      </c>
      <c r="G159" s="290">
        <v>14.360889</v>
      </c>
      <c r="H159" s="290">
        <v>6.6842079999999999</v>
      </c>
      <c r="I159" s="290">
        <v>-282.580467</v>
      </c>
      <c r="J159" s="290">
        <v>1.0419620000000001</v>
      </c>
      <c r="K159" s="290">
        <v>-0.1641251</v>
      </c>
      <c r="L159" s="290">
        <v>-0.35088150000000001</v>
      </c>
      <c r="M159" s="290">
        <v>6.3803749999999999</v>
      </c>
      <c r="N159" s="287">
        <v>1.6999999999999999E-3</v>
      </c>
      <c r="O159" s="288">
        <v>0.15</v>
      </c>
      <c r="P159" s="287">
        <v>6.9999999999999999E-4</v>
      </c>
    </row>
    <row r="160" spans="1:16">
      <c r="A160" s="285" t="s">
        <v>131</v>
      </c>
      <c r="B160" s="285" t="s">
        <v>486</v>
      </c>
      <c r="C160" s="290">
        <v>300</v>
      </c>
      <c r="D160" s="290">
        <v>4.6807619999999996</v>
      </c>
      <c r="E160" s="290">
        <v>19.675868000000001</v>
      </c>
      <c r="F160" s="290">
        <v>0.66515599999999997</v>
      </c>
      <c r="G160" s="290">
        <v>-288.95066100000003</v>
      </c>
      <c r="H160" s="290">
        <v>4.6147349999999996</v>
      </c>
      <c r="I160" s="290">
        <v>1.672865</v>
      </c>
      <c r="J160" s="290">
        <v>33.836063000000003</v>
      </c>
      <c r="K160" s="290">
        <v>8.3176699999999997</v>
      </c>
      <c r="L160" s="290">
        <v>13.541634999999999</v>
      </c>
      <c r="M160" s="290">
        <v>5.2836080000000001</v>
      </c>
      <c r="N160" s="287">
        <v>8.3999999999999995E-3</v>
      </c>
      <c r="O160" s="288">
        <v>2</v>
      </c>
      <c r="P160" s="287">
        <v>1.1999999999999999E-3</v>
      </c>
    </row>
    <row r="161" spans="1:16">
      <c r="A161" s="285" t="s">
        <v>132</v>
      </c>
      <c r="B161" s="285" t="s">
        <v>486</v>
      </c>
      <c r="C161" s="290">
        <v>300</v>
      </c>
      <c r="D161" s="290">
        <v>4.6051419999999998</v>
      </c>
      <c r="E161" s="290">
        <v>19.666584</v>
      </c>
      <c r="F161" s="290">
        <v>0.66471899999999995</v>
      </c>
      <c r="G161" s="290">
        <v>1.222377</v>
      </c>
      <c r="H161" s="290">
        <v>28.591536999999999</v>
      </c>
      <c r="I161" s="290">
        <v>-289.13867099999999</v>
      </c>
      <c r="J161" s="290">
        <v>4.540178</v>
      </c>
      <c r="K161" s="290">
        <v>7.9678909999999998</v>
      </c>
      <c r="L161" s="290">
        <v>12.72528</v>
      </c>
      <c r="M161" s="290">
        <v>5.2818180000000003</v>
      </c>
      <c r="N161" s="287">
        <v>8.3999999999999995E-3</v>
      </c>
      <c r="O161" s="288">
        <v>2</v>
      </c>
      <c r="P161" s="287">
        <v>1.1000000000000001E-3</v>
      </c>
    </row>
    <row r="162" spans="1:16">
      <c r="A162" s="285" t="s">
        <v>133</v>
      </c>
      <c r="B162" s="285" t="s">
        <v>486</v>
      </c>
      <c r="C162" s="290">
        <v>300</v>
      </c>
      <c r="D162" s="290">
        <v>0.90343830000000003</v>
      </c>
      <c r="E162" s="290">
        <v>15.670641</v>
      </c>
      <c r="F162" s="290">
        <v>6.6060189999999999</v>
      </c>
      <c r="G162" s="290">
        <v>4.6544910000000002</v>
      </c>
      <c r="H162" s="290">
        <v>16.376799999999999</v>
      </c>
      <c r="I162" s="290">
        <v>-282.01237800000001</v>
      </c>
      <c r="J162" s="290">
        <v>0.92387920000000001</v>
      </c>
      <c r="K162" s="290">
        <v>-1.1348420000000001E-3</v>
      </c>
      <c r="L162" s="290">
        <v>-1.1611400000000001</v>
      </c>
      <c r="M162" s="290">
        <v>5.6853030000000002</v>
      </c>
      <c r="N162" s="287">
        <v>3.2000000000000002E-3</v>
      </c>
      <c r="O162" s="288">
        <v>0.14000000000000001</v>
      </c>
      <c r="P162" s="287">
        <v>1.2999999999999999E-3</v>
      </c>
    </row>
    <row r="163" spans="1:16">
      <c r="A163" s="285" t="s">
        <v>350</v>
      </c>
      <c r="B163" s="285" t="s">
        <v>486</v>
      </c>
      <c r="C163" s="290">
        <v>19.842371</v>
      </c>
      <c r="D163" s="290">
        <v>0.62592789999999998</v>
      </c>
      <c r="E163" s="290">
        <v>300</v>
      </c>
      <c r="F163" s="290">
        <v>4.0509639999999996</v>
      </c>
      <c r="G163" s="290">
        <v>1.677794</v>
      </c>
      <c r="H163" s="290">
        <v>24.841947000000001</v>
      </c>
      <c r="I163" s="290">
        <v>-290.03213599999998</v>
      </c>
      <c r="J163" s="290">
        <v>3.9875790000000002</v>
      </c>
      <c r="K163" s="290">
        <v>9.2599610000000006</v>
      </c>
      <c r="L163" s="290">
        <v>10.989735</v>
      </c>
      <c r="M163" s="290">
        <v>5.2517420000000001</v>
      </c>
      <c r="N163" s="287">
        <v>4.7000000000000002E-3</v>
      </c>
      <c r="O163" s="288">
        <v>2</v>
      </c>
      <c r="P163" s="287">
        <v>5.9999999999999995E-4</v>
      </c>
    </row>
    <row r="164" spans="1:16">
      <c r="A164" s="285" t="s">
        <v>134</v>
      </c>
      <c r="B164" s="285" t="s">
        <v>486</v>
      </c>
      <c r="C164" s="290">
        <v>17.241070000000001</v>
      </c>
      <c r="D164" s="290">
        <v>5.486389</v>
      </c>
      <c r="E164" s="290">
        <v>20.776268999999999</v>
      </c>
      <c r="F164" s="290">
        <v>0.60519219999999996</v>
      </c>
      <c r="G164" s="290">
        <v>2.39683</v>
      </c>
      <c r="H164" s="290">
        <v>48.530991999999998</v>
      </c>
      <c r="I164" s="290">
        <v>5.7023109999999999</v>
      </c>
      <c r="J164" s="290">
        <v>14.867687</v>
      </c>
      <c r="K164" s="290">
        <v>-3.3894519999999999</v>
      </c>
      <c r="L164" s="290">
        <v>1.683217</v>
      </c>
      <c r="M164" s="290">
        <v>5.2701130000000003</v>
      </c>
      <c r="N164" s="287">
        <v>3.7000000000000002E-3</v>
      </c>
      <c r="O164" s="288">
        <v>2</v>
      </c>
      <c r="P164" s="287">
        <v>1.2999999999999999E-3</v>
      </c>
    </row>
    <row r="165" spans="1:16">
      <c r="A165" s="285" t="s">
        <v>135</v>
      </c>
      <c r="B165" s="285" t="s">
        <v>486</v>
      </c>
      <c r="C165" s="290">
        <v>20.235277</v>
      </c>
      <c r="D165" s="290">
        <v>0.59481660000000003</v>
      </c>
      <c r="E165" s="290">
        <v>6.9026589999999999</v>
      </c>
      <c r="F165" s="290">
        <v>12.285288</v>
      </c>
      <c r="G165" s="290">
        <v>-4.008</v>
      </c>
      <c r="H165" s="290">
        <v>2.1984889999999999</v>
      </c>
      <c r="I165" s="290">
        <v>1.6938569999999999</v>
      </c>
      <c r="J165" s="290">
        <v>37.385309999999997</v>
      </c>
      <c r="K165" s="290">
        <v>16.937201000000002</v>
      </c>
      <c r="L165" s="290">
        <v>5.1094799999999996</v>
      </c>
      <c r="M165" s="290">
        <v>5.2376060000000004</v>
      </c>
      <c r="N165" s="287">
        <v>2.8999999999999998E-3</v>
      </c>
      <c r="O165" s="288">
        <v>2</v>
      </c>
      <c r="P165" s="287">
        <v>8.0000000000000004E-4</v>
      </c>
    </row>
    <row r="166" spans="1:16">
      <c r="A166" s="285" t="s">
        <v>136</v>
      </c>
      <c r="B166" s="285" t="s">
        <v>486</v>
      </c>
      <c r="C166" s="290">
        <v>20.009442</v>
      </c>
      <c r="D166" s="290">
        <v>0.58981399999999995</v>
      </c>
      <c r="E166" s="290">
        <v>10.122648</v>
      </c>
      <c r="F166" s="290">
        <v>9.1913169999999997</v>
      </c>
      <c r="G166" s="290">
        <v>1.697732</v>
      </c>
      <c r="H166" s="290">
        <v>19.419488999999999</v>
      </c>
      <c r="I166" s="290">
        <v>300</v>
      </c>
      <c r="J166" s="290">
        <v>3.566738</v>
      </c>
      <c r="K166" s="290">
        <v>-291.04968400000001</v>
      </c>
      <c r="L166" s="290">
        <v>3.5071560000000002</v>
      </c>
      <c r="M166" s="290">
        <v>5.2197170000000002</v>
      </c>
      <c r="N166" s="287">
        <v>2.5000000000000001E-3</v>
      </c>
      <c r="O166" s="288">
        <v>2</v>
      </c>
      <c r="P166" s="287">
        <v>2.9999999999999997E-4</v>
      </c>
    </row>
    <row r="167" spans="1:16">
      <c r="A167" s="285" t="s">
        <v>351</v>
      </c>
      <c r="B167" s="285" t="s">
        <v>486</v>
      </c>
      <c r="C167" s="290">
        <v>17.77047</v>
      </c>
      <c r="D167" s="290">
        <v>4.9452959999999999</v>
      </c>
      <c r="E167" s="290">
        <v>21.184035000000002</v>
      </c>
      <c r="F167" s="290">
        <v>0.57512070000000004</v>
      </c>
      <c r="G167" s="290">
        <v>2.5403959999999999</v>
      </c>
      <c r="H167" s="290">
        <v>36.166984999999997</v>
      </c>
      <c r="I167" s="290">
        <v>-4.3052440000000001</v>
      </c>
      <c r="J167" s="290">
        <v>1.552478</v>
      </c>
      <c r="K167" s="290">
        <v>5.5551349999999999</v>
      </c>
      <c r="L167" s="290">
        <v>12.711924</v>
      </c>
      <c r="M167" s="290">
        <v>5.2536079999999998</v>
      </c>
      <c r="N167" s="287">
        <v>2.3E-3</v>
      </c>
      <c r="O167" s="288">
        <v>2</v>
      </c>
      <c r="P167" s="287">
        <v>8.0000000000000004E-4</v>
      </c>
    </row>
    <row r="168" spans="1:16">
      <c r="A168" s="285" t="s">
        <v>352</v>
      </c>
      <c r="B168" s="285" t="s">
        <v>486</v>
      </c>
      <c r="C168" s="290">
        <v>300</v>
      </c>
      <c r="D168" s="290">
        <v>3.1800449999999998</v>
      </c>
      <c r="E168" s="290">
        <v>20.174786000000001</v>
      </c>
      <c r="F168" s="290">
        <v>0.55651119999999998</v>
      </c>
      <c r="G168" s="290">
        <v>1.729225</v>
      </c>
      <c r="H168" s="290">
        <v>15.789778999999999</v>
      </c>
      <c r="I168" s="290">
        <v>-292.00224700000001</v>
      </c>
      <c r="J168" s="290">
        <v>3.1244510000000001</v>
      </c>
      <c r="K168" s="290">
        <v>10.910259999999999</v>
      </c>
      <c r="L168" s="290">
        <v>7.8551799999999998</v>
      </c>
      <c r="M168" s="290">
        <v>5.1878789999999997</v>
      </c>
      <c r="N168" s="287">
        <v>1.1999999999999999E-3</v>
      </c>
      <c r="O168" s="288">
        <v>2</v>
      </c>
      <c r="P168" s="287">
        <v>2.0000000000000001E-4</v>
      </c>
    </row>
    <row r="169" spans="1:16">
      <c r="A169" s="285" t="s">
        <v>353</v>
      </c>
      <c r="B169" s="285" t="s">
        <v>486</v>
      </c>
      <c r="C169" s="290">
        <v>5.2936129999999997</v>
      </c>
      <c r="D169" s="290">
        <v>11.261698000000001</v>
      </c>
      <c r="E169" s="290">
        <v>21.774543000000001</v>
      </c>
      <c r="F169" s="290">
        <v>0.54961919999999997</v>
      </c>
      <c r="G169" s="290">
        <v>18.350016</v>
      </c>
      <c r="H169" s="290">
        <v>4.5125909999999996</v>
      </c>
      <c r="I169" s="290">
        <v>2.6295489999999999</v>
      </c>
      <c r="J169" s="290">
        <v>28.789010000000001</v>
      </c>
      <c r="K169" s="290">
        <v>-5.2938239999999999</v>
      </c>
      <c r="L169" s="290">
        <v>1.395194</v>
      </c>
      <c r="M169" s="290">
        <v>5.2451319999999999</v>
      </c>
      <c r="N169" s="287">
        <v>1.5E-3</v>
      </c>
      <c r="O169" s="288">
        <v>2</v>
      </c>
      <c r="P169" s="287">
        <v>5.0000000000000001E-4</v>
      </c>
    </row>
    <row r="170" spans="1:16">
      <c r="A170" s="285" t="s">
        <v>354</v>
      </c>
      <c r="B170" s="285" t="s">
        <v>486</v>
      </c>
      <c r="C170" s="290">
        <v>300</v>
      </c>
      <c r="D170" s="290">
        <v>2.8643749999999999</v>
      </c>
      <c r="E170" s="290">
        <v>1.7582869999999999</v>
      </c>
      <c r="F170" s="290">
        <v>13.210978000000001</v>
      </c>
      <c r="G170" s="290">
        <v>20.336003000000002</v>
      </c>
      <c r="H170" s="290">
        <v>0.52573099999999995</v>
      </c>
      <c r="I170" s="290">
        <v>11.619897999999999</v>
      </c>
      <c r="J170" s="290">
        <v>6.8313430000000004</v>
      </c>
      <c r="K170" s="290">
        <v>-292.870633</v>
      </c>
      <c r="L170" s="290">
        <v>2.8125140000000002</v>
      </c>
      <c r="M170" s="290">
        <v>5.1563739999999996</v>
      </c>
      <c r="N170" s="287">
        <v>5.9999999999999995E-4</v>
      </c>
      <c r="O170" s="288">
        <v>2</v>
      </c>
      <c r="P170" s="287">
        <v>1E-4</v>
      </c>
    </row>
    <row r="171" spans="1:16">
      <c r="A171" s="285" t="s">
        <v>355</v>
      </c>
      <c r="B171" s="285" t="s">
        <v>486</v>
      </c>
      <c r="C171" s="290">
        <v>300</v>
      </c>
      <c r="D171" s="290">
        <v>0.68530579999999996</v>
      </c>
      <c r="E171" s="290">
        <v>19.881613999999999</v>
      </c>
      <c r="F171" s="290">
        <v>4.3947349999999998</v>
      </c>
      <c r="G171" s="290">
        <v>4.1638419999999998</v>
      </c>
      <c r="H171" s="290">
        <v>15.422305</v>
      </c>
      <c r="I171" s="290">
        <v>3.8114020000000002</v>
      </c>
      <c r="J171" s="290">
        <v>37.033302999999997</v>
      </c>
      <c r="K171" s="290">
        <v>-283.26438899999999</v>
      </c>
      <c r="L171" s="290">
        <v>0.70595249999999998</v>
      </c>
      <c r="M171" s="290">
        <v>5.4051669999999996</v>
      </c>
      <c r="N171" s="287">
        <v>2.5999999999999999E-3</v>
      </c>
      <c r="O171" s="288">
        <v>0.1</v>
      </c>
      <c r="P171" s="287">
        <v>1.1000000000000001E-3</v>
      </c>
    </row>
    <row r="172" spans="1:16">
      <c r="A172" s="285" t="s">
        <v>356</v>
      </c>
      <c r="B172" s="285" t="s">
        <v>486</v>
      </c>
      <c r="C172" s="290">
        <v>2.6737660000000001</v>
      </c>
      <c r="D172" s="290">
        <v>23.848524000000001</v>
      </c>
      <c r="E172" s="290">
        <v>4.9920679999999997</v>
      </c>
      <c r="F172" s="290">
        <v>10.225063</v>
      </c>
      <c r="G172" s="290">
        <v>22.598877000000002</v>
      </c>
      <c r="H172" s="290">
        <v>0.52826640000000002</v>
      </c>
      <c r="I172" s="290">
        <v>-6.4569609999999997</v>
      </c>
      <c r="J172" s="290">
        <v>1.242828</v>
      </c>
      <c r="K172" s="290">
        <v>18.946987</v>
      </c>
      <c r="L172" s="290">
        <v>4.1476540000000002</v>
      </c>
      <c r="M172" s="290">
        <v>5.2446479999999998</v>
      </c>
      <c r="N172" s="287">
        <v>1E-3</v>
      </c>
      <c r="O172" s="288">
        <v>2</v>
      </c>
      <c r="P172" s="287">
        <v>2.9999999999999997E-4</v>
      </c>
    </row>
    <row r="173" spans="1:16">
      <c r="A173" s="285" t="s">
        <v>137</v>
      </c>
      <c r="B173" s="285" t="s">
        <v>486</v>
      </c>
      <c r="C173" s="290">
        <v>1.7108429999999999</v>
      </c>
      <c r="D173" s="290">
        <v>20.781108</v>
      </c>
      <c r="E173" s="290">
        <v>21.392226999999998</v>
      </c>
      <c r="F173" s="290">
        <v>0.51259160000000004</v>
      </c>
      <c r="G173" s="290">
        <v>6.1779609999999998</v>
      </c>
      <c r="H173" s="290">
        <v>8.5353209999999997</v>
      </c>
      <c r="I173" s="290">
        <v>-5.974888</v>
      </c>
      <c r="J173" s="290">
        <v>1.4952529999999999</v>
      </c>
      <c r="K173" s="290">
        <v>18.501571999999999</v>
      </c>
      <c r="L173" s="290">
        <v>3.9965860000000002</v>
      </c>
      <c r="M173" s="290">
        <v>5.1919430000000002</v>
      </c>
      <c r="N173" s="287">
        <v>6.9999999999999999E-4</v>
      </c>
      <c r="O173" s="288">
        <v>2</v>
      </c>
      <c r="P173" s="287">
        <v>2.0000000000000001E-4</v>
      </c>
    </row>
    <row r="174" spans="1:16">
      <c r="A174" s="285" t="s">
        <v>138</v>
      </c>
      <c r="B174" s="285" t="s">
        <v>486</v>
      </c>
      <c r="C174" s="290">
        <v>20.495540999999999</v>
      </c>
      <c r="D174" s="290">
        <v>0.49730970000000002</v>
      </c>
      <c r="E174" s="290">
        <v>65.185525999999996</v>
      </c>
      <c r="F174" s="290">
        <v>2.6979920000000002</v>
      </c>
      <c r="G174" s="290">
        <v>1.7624679999999999</v>
      </c>
      <c r="H174" s="290">
        <v>11.31404</v>
      </c>
      <c r="I174" s="290">
        <v>-58.768439000000001</v>
      </c>
      <c r="J174" s="290">
        <v>2.4636939999999998</v>
      </c>
      <c r="K174" s="290">
        <v>12.199128</v>
      </c>
      <c r="L174" s="290">
        <v>6.0382189999999998</v>
      </c>
      <c r="M174" s="290">
        <v>5.1257219999999997</v>
      </c>
      <c r="N174" s="287">
        <v>2.9999999999999997E-4</v>
      </c>
      <c r="O174" s="288">
        <v>2</v>
      </c>
      <c r="P174" s="287">
        <v>0</v>
      </c>
    </row>
    <row r="175" spans="1:16">
      <c r="A175" s="285" t="s">
        <v>139</v>
      </c>
      <c r="B175" s="285" t="s">
        <v>486</v>
      </c>
      <c r="C175" s="290">
        <v>300</v>
      </c>
      <c r="D175" s="290">
        <v>0.65029979999999998</v>
      </c>
      <c r="E175" s="290">
        <v>5.4039320000000002</v>
      </c>
      <c r="F175" s="290">
        <v>19.814879000000001</v>
      </c>
      <c r="G175" s="290">
        <v>20.712015999999998</v>
      </c>
      <c r="H175" s="290">
        <v>4.0355879999999997</v>
      </c>
      <c r="I175" s="290">
        <v>4.1092370000000003</v>
      </c>
      <c r="J175" s="290">
        <v>43.174503000000001</v>
      </c>
      <c r="K175" s="290">
        <v>-283.59074199999998</v>
      </c>
      <c r="L175" s="290">
        <v>0.67079880000000003</v>
      </c>
      <c r="M175" s="290">
        <v>5.3627050000000001</v>
      </c>
      <c r="N175" s="287">
        <v>3.0999999999999999E-3</v>
      </c>
      <c r="O175" s="288">
        <v>0.09</v>
      </c>
      <c r="P175" s="287">
        <v>1.2999999999999999E-3</v>
      </c>
    </row>
    <row r="176" spans="1:16">
      <c r="A176" s="285" t="s">
        <v>357</v>
      </c>
      <c r="B176" s="285" t="s">
        <v>486</v>
      </c>
      <c r="C176" s="290">
        <v>3.8110689999999998</v>
      </c>
      <c r="D176" s="290">
        <v>29.786462</v>
      </c>
      <c r="E176" s="290">
        <v>300</v>
      </c>
      <c r="F176" s="290">
        <v>0.65846669999999996</v>
      </c>
      <c r="G176" s="290">
        <v>20.36168</v>
      </c>
      <c r="H176" s="290">
        <v>3.9898470000000001</v>
      </c>
      <c r="I176" s="290">
        <v>4.1511979999999999</v>
      </c>
      <c r="J176" s="290">
        <v>14.291315000000001</v>
      </c>
      <c r="K176" s="290">
        <v>-283.73026599999997</v>
      </c>
      <c r="L176" s="290">
        <v>0.67976380000000003</v>
      </c>
      <c r="M176" s="290">
        <v>5.4050089999999997</v>
      </c>
      <c r="N176" s="287">
        <v>1.4E-3</v>
      </c>
      <c r="O176" s="288">
        <v>0.11</v>
      </c>
      <c r="P176" s="287">
        <v>6.9999999999999999E-4</v>
      </c>
    </row>
    <row r="177" spans="1:16">
      <c r="A177" s="285" t="s">
        <v>358</v>
      </c>
      <c r="B177" s="285" t="s">
        <v>486</v>
      </c>
      <c r="C177" s="290">
        <v>4.7098750000000003</v>
      </c>
      <c r="D177" s="290">
        <v>9.4478150000000003</v>
      </c>
      <c r="E177" s="290">
        <v>19.530123</v>
      </c>
      <c r="F177" s="290">
        <v>3.8287200000000001</v>
      </c>
      <c r="G177" s="290">
        <v>-7.9394030000000004</v>
      </c>
      <c r="H177" s="290">
        <v>1.1035109999999999</v>
      </c>
      <c r="I177" s="290">
        <v>2.6757960000000001</v>
      </c>
      <c r="J177" s="290">
        <v>20.302866999999999</v>
      </c>
      <c r="K177" s="290">
        <v>23.77093</v>
      </c>
      <c r="L177" s="290">
        <v>0.51098659999999996</v>
      </c>
      <c r="M177" s="290">
        <v>5.2522799999999998</v>
      </c>
      <c r="N177" s="287">
        <v>6.9999999999999999E-4</v>
      </c>
      <c r="O177" s="288">
        <v>2</v>
      </c>
      <c r="P177" s="287">
        <v>2.0000000000000001E-4</v>
      </c>
    </row>
    <row r="178" spans="1:16">
      <c r="A178" s="285" t="s">
        <v>359</v>
      </c>
      <c r="B178" s="285" t="s">
        <v>486</v>
      </c>
      <c r="C178" s="290">
        <v>20.685167</v>
      </c>
      <c r="D178" s="290">
        <v>0.47164230000000001</v>
      </c>
      <c r="E178" s="290">
        <v>26.889876000000001</v>
      </c>
      <c r="F178" s="290">
        <v>2.6839849999999998</v>
      </c>
      <c r="G178" s="290">
        <v>12.358815999999999</v>
      </c>
      <c r="H178" s="290">
        <v>5.4579800000000001</v>
      </c>
      <c r="I178" s="290">
        <v>-20.712541999999999</v>
      </c>
      <c r="J178" s="290">
        <v>2.0762420000000001</v>
      </c>
      <c r="K178" s="290">
        <v>1.679303</v>
      </c>
      <c r="L178" s="290">
        <v>9.9254390000000008</v>
      </c>
      <c r="M178" s="290">
        <v>5.0993430000000002</v>
      </c>
      <c r="N178" s="287">
        <v>1E-4</v>
      </c>
      <c r="O178" s="288">
        <v>2</v>
      </c>
      <c r="P178" s="287">
        <v>0</v>
      </c>
    </row>
    <row r="179" spans="1:16">
      <c r="A179" s="285" t="s">
        <v>360</v>
      </c>
      <c r="B179" s="285" t="s">
        <v>486</v>
      </c>
      <c r="C179" s="290">
        <v>3.5886490000000002</v>
      </c>
      <c r="D179" s="290">
        <v>76.805332000000007</v>
      </c>
      <c r="E179" s="290">
        <v>20.458448000000001</v>
      </c>
      <c r="F179" s="290">
        <v>4.2067730000000001</v>
      </c>
      <c r="G179" s="290">
        <v>289.873332</v>
      </c>
      <c r="H179" s="290">
        <v>0.14291960000000001</v>
      </c>
      <c r="I179" s="290">
        <v>7.3974279999999997</v>
      </c>
      <c r="J179" s="290">
        <v>26.903241999999999</v>
      </c>
      <c r="K179" s="290">
        <v>-300</v>
      </c>
      <c r="L179" s="290">
        <v>0.1167202</v>
      </c>
      <c r="M179" s="290">
        <v>32.672640999999999</v>
      </c>
      <c r="N179" s="287">
        <v>1.04E-2</v>
      </c>
      <c r="O179" s="288">
        <v>7.0000000000000007E-2</v>
      </c>
      <c r="P179" s="287">
        <v>3.2000000000000002E-3</v>
      </c>
    </row>
    <row r="180" spans="1:16">
      <c r="A180" s="285" t="s">
        <v>361</v>
      </c>
      <c r="B180" s="285" t="s">
        <v>486</v>
      </c>
      <c r="C180" s="290">
        <v>300</v>
      </c>
      <c r="D180" s="290">
        <v>0.63005339999999999</v>
      </c>
      <c r="E180" s="290">
        <v>21.134658000000002</v>
      </c>
      <c r="F180" s="290">
        <v>3.6342020000000002</v>
      </c>
      <c r="G180" s="290">
        <v>6.054697</v>
      </c>
      <c r="H180" s="290">
        <v>18.362921</v>
      </c>
      <c r="I180" s="290">
        <v>3.6348449999999999</v>
      </c>
      <c r="J180" s="290">
        <v>34.822904000000001</v>
      </c>
      <c r="K180" s="290">
        <v>-284.21252199999998</v>
      </c>
      <c r="L180" s="290">
        <v>0.65170019999999995</v>
      </c>
      <c r="M180" s="290">
        <v>5.3871440000000002</v>
      </c>
      <c r="N180" s="287">
        <v>1.2999999999999999E-3</v>
      </c>
      <c r="O180" s="288">
        <v>0.1</v>
      </c>
      <c r="P180" s="287">
        <v>5.9999999999999995E-4</v>
      </c>
    </row>
    <row r="181" spans="1:16">
      <c r="A181" s="285" t="s">
        <v>362</v>
      </c>
      <c r="B181" s="285" t="s">
        <v>486</v>
      </c>
      <c r="C181" s="290">
        <v>300</v>
      </c>
      <c r="D181" s="290">
        <v>0.63192990000000004</v>
      </c>
      <c r="E181" s="290">
        <v>3.6021800000000002</v>
      </c>
      <c r="F181" s="290">
        <v>25.043427000000001</v>
      </c>
      <c r="G181" s="290">
        <v>4.3658570000000001</v>
      </c>
      <c r="H181" s="290">
        <v>13.503788999999999</v>
      </c>
      <c r="I181" s="290">
        <v>20.825806</v>
      </c>
      <c r="J181" s="290">
        <v>3.6349130000000001</v>
      </c>
      <c r="K181" s="290">
        <v>-284.19734199999999</v>
      </c>
      <c r="L181" s="290">
        <v>0.65364770000000005</v>
      </c>
      <c r="M181" s="290">
        <v>5.402774</v>
      </c>
      <c r="N181" s="287">
        <v>8.0000000000000004E-4</v>
      </c>
      <c r="O181" s="288">
        <v>0.11</v>
      </c>
      <c r="P181" s="287">
        <v>4.0000000000000002E-4</v>
      </c>
    </row>
    <row r="182" spans="1:16">
      <c r="A182" s="285" t="s">
        <v>363</v>
      </c>
      <c r="B182" s="285" t="s">
        <v>486</v>
      </c>
      <c r="C182" s="290">
        <v>20.075666999999999</v>
      </c>
      <c r="D182" s="290">
        <v>3.5438510000000001</v>
      </c>
      <c r="E182" s="290">
        <v>25.510912999999999</v>
      </c>
      <c r="F182" s="290">
        <v>0.4979307</v>
      </c>
      <c r="G182" s="290">
        <v>4.4882030000000004</v>
      </c>
      <c r="H182" s="290">
        <v>8.8363219999999991</v>
      </c>
      <c r="I182" s="290">
        <v>-9.9786929999999998</v>
      </c>
      <c r="J182" s="290">
        <v>0.97819319999999998</v>
      </c>
      <c r="K182" s="290">
        <v>2.635786</v>
      </c>
      <c r="L182" s="290">
        <v>17.638157</v>
      </c>
      <c r="M182" s="290">
        <v>5.267862</v>
      </c>
      <c r="N182" s="287">
        <v>5.0000000000000001E-4</v>
      </c>
      <c r="O182" s="288">
        <v>2</v>
      </c>
      <c r="P182" s="287">
        <v>2.0000000000000001E-4</v>
      </c>
    </row>
    <row r="183" spans="1:16">
      <c r="A183" s="285" t="s">
        <v>364</v>
      </c>
      <c r="B183" s="285" t="s">
        <v>486</v>
      </c>
      <c r="C183" s="290">
        <v>20.941319</v>
      </c>
      <c r="D183" s="290">
        <v>0.44902189999999997</v>
      </c>
      <c r="E183" s="290">
        <v>11.936184000000001</v>
      </c>
      <c r="F183" s="290">
        <v>5.0487029999999997</v>
      </c>
      <c r="G183" s="290">
        <v>1.489697</v>
      </c>
      <c r="H183" s="290">
        <v>8.9060430000000004</v>
      </c>
      <c r="I183" s="290">
        <v>-13.022373</v>
      </c>
      <c r="J183" s="290">
        <v>1.7543089999999999</v>
      </c>
      <c r="K183" s="290">
        <v>19.574566999999998</v>
      </c>
      <c r="L183" s="290">
        <v>2.6986539999999999</v>
      </c>
      <c r="M183" s="290">
        <v>5.0805860000000003</v>
      </c>
      <c r="N183" s="287">
        <v>1E-4</v>
      </c>
      <c r="O183" s="288">
        <v>2</v>
      </c>
      <c r="P183" s="287">
        <v>0</v>
      </c>
    </row>
    <row r="184" spans="1:16">
      <c r="A184" s="285" t="s">
        <v>140</v>
      </c>
      <c r="B184" s="285" t="s">
        <v>486</v>
      </c>
      <c r="C184" s="290">
        <v>-40.190351999999997</v>
      </c>
      <c r="D184" s="290">
        <v>0.70744130000000005</v>
      </c>
      <c r="E184" s="290">
        <v>55.141613999999997</v>
      </c>
      <c r="F184" s="290">
        <v>0.56112669999999998</v>
      </c>
      <c r="G184" s="290">
        <v>3.1593830000000001</v>
      </c>
      <c r="H184" s="290">
        <v>40.624374000000003</v>
      </c>
      <c r="I184" s="290">
        <v>8.6248319999999996</v>
      </c>
      <c r="J184" s="290">
        <v>20.268794</v>
      </c>
      <c r="K184" s="290">
        <v>21.854704999999999</v>
      </c>
      <c r="L184" s="290">
        <v>3.2606190000000002</v>
      </c>
      <c r="M184" s="290">
        <v>5.4089340000000004</v>
      </c>
      <c r="N184" s="287">
        <v>1E-3</v>
      </c>
      <c r="O184" s="288">
        <v>0.09</v>
      </c>
      <c r="P184" s="287">
        <v>2.9999999999999997E-4</v>
      </c>
    </row>
    <row r="185" spans="1:16">
      <c r="A185" s="285" t="s">
        <v>365</v>
      </c>
      <c r="B185" s="285" t="s">
        <v>486</v>
      </c>
      <c r="C185" s="290">
        <v>24.493274</v>
      </c>
      <c r="D185" s="290">
        <v>2.821126</v>
      </c>
      <c r="E185" s="290">
        <v>21.465053999999999</v>
      </c>
      <c r="F185" s="290">
        <v>0.40135949999999998</v>
      </c>
      <c r="G185" s="290">
        <v>2.5400010000000002</v>
      </c>
      <c r="H185" s="290">
        <v>33.888095999999997</v>
      </c>
      <c r="I185" s="290">
        <v>9.6302489999999992</v>
      </c>
      <c r="J185" s="290">
        <v>18.080000999999999</v>
      </c>
      <c r="K185" s="290">
        <v>-9.0873469999999994</v>
      </c>
      <c r="L185" s="290">
        <v>1.2650680000000001</v>
      </c>
      <c r="M185" s="290">
        <v>4.9586079999999999</v>
      </c>
      <c r="N185" s="287">
        <v>4.0000000000000002E-4</v>
      </c>
      <c r="O185" s="288">
        <v>0.67</v>
      </c>
      <c r="P185" s="287">
        <v>2.0000000000000001E-4</v>
      </c>
    </row>
    <row r="186" spans="1:16">
      <c r="A186" s="285" t="s">
        <v>366</v>
      </c>
      <c r="B186" s="285" t="s">
        <v>486</v>
      </c>
      <c r="C186" s="290">
        <v>21.613385000000001</v>
      </c>
      <c r="D186" s="290">
        <v>0.38295560000000001</v>
      </c>
      <c r="E186" s="290">
        <v>26.020693999999999</v>
      </c>
      <c r="F186" s="290">
        <v>2.5544709999999999</v>
      </c>
      <c r="G186" s="290">
        <v>11.162099</v>
      </c>
      <c r="H186" s="290">
        <v>17.574043</v>
      </c>
      <c r="I186" s="290">
        <v>2.0452569999999999</v>
      </c>
      <c r="J186" s="290">
        <v>45.934443999999999</v>
      </c>
      <c r="K186" s="290">
        <v>-10.797237000000001</v>
      </c>
      <c r="L186" s="290">
        <v>1.2298009999999999</v>
      </c>
      <c r="M186" s="290">
        <v>4.953398</v>
      </c>
      <c r="N186" s="287">
        <v>2.5999999999999999E-3</v>
      </c>
      <c r="O186" s="288">
        <v>0.09</v>
      </c>
      <c r="P186" s="287">
        <v>5.9999999999999995E-4</v>
      </c>
    </row>
    <row r="187" spans="1:16">
      <c r="A187" s="285" t="s">
        <v>141</v>
      </c>
      <c r="B187" s="285" t="s">
        <v>486</v>
      </c>
      <c r="C187" s="290">
        <v>10.600986000000001</v>
      </c>
      <c r="D187" s="290">
        <v>16.113838999999999</v>
      </c>
      <c r="E187" s="290">
        <v>1.977582</v>
      </c>
      <c r="F187" s="290">
        <v>29.273523000000001</v>
      </c>
      <c r="G187" s="290">
        <v>19.915393000000002</v>
      </c>
      <c r="H187" s="290">
        <v>0.34676479999999998</v>
      </c>
      <c r="I187" s="290">
        <v>205.320762</v>
      </c>
      <c r="J187" s="290">
        <v>2.1003539999999998</v>
      </c>
      <c r="K187" s="290">
        <v>-188.399766</v>
      </c>
      <c r="L187" s="290">
        <v>2.0101990000000001</v>
      </c>
      <c r="M187" s="290">
        <v>4.5851389999999999</v>
      </c>
      <c r="N187" s="287">
        <v>8.9999999999999998E-4</v>
      </c>
      <c r="O187" s="288">
        <v>2</v>
      </c>
      <c r="P187" s="287">
        <v>2.9999999999999997E-4</v>
      </c>
    </row>
    <row r="188" spans="1:16">
      <c r="A188" s="285" t="s">
        <v>367</v>
      </c>
      <c r="B188" s="285" t="s">
        <v>486</v>
      </c>
      <c r="C188" s="290">
        <v>300</v>
      </c>
      <c r="D188" s="290">
        <v>0.53794679999999995</v>
      </c>
      <c r="E188" s="290">
        <v>10.165535999999999</v>
      </c>
      <c r="F188" s="290">
        <v>15.595115</v>
      </c>
      <c r="G188" s="290">
        <v>3.168428</v>
      </c>
      <c r="H188" s="290">
        <v>30.482633</v>
      </c>
      <c r="I188" s="290">
        <v>23.282786999999999</v>
      </c>
      <c r="J188" s="290">
        <v>2.6540509999999999</v>
      </c>
      <c r="K188" s="290">
        <v>-286.03507500000001</v>
      </c>
      <c r="L188" s="290">
        <v>0.56000349999999999</v>
      </c>
      <c r="M188" s="290">
        <v>5.4175329999999997</v>
      </c>
      <c r="N188" s="287">
        <v>8.0000000000000004E-4</v>
      </c>
      <c r="O188" s="288">
        <v>0.1</v>
      </c>
      <c r="P188" s="287">
        <v>2.0000000000000001E-4</v>
      </c>
    </row>
    <row r="189" spans="1:16">
      <c r="A189" s="285" t="s">
        <v>142</v>
      </c>
      <c r="B189" s="285" t="s">
        <v>486</v>
      </c>
      <c r="C189" s="290">
        <v>20.220133000000001</v>
      </c>
      <c r="D189" s="290">
        <v>0.33596920000000002</v>
      </c>
      <c r="E189" s="290">
        <v>31.946536999999999</v>
      </c>
      <c r="F189" s="290">
        <v>2.3141729999999998</v>
      </c>
      <c r="G189" s="290">
        <v>2.4625880000000002</v>
      </c>
      <c r="H189" s="290">
        <v>27.069471</v>
      </c>
      <c r="I189" s="290">
        <v>10.613944999999999</v>
      </c>
      <c r="J189" s="290">
        <v>14.964267</v>
      </c>
      <c r="K189" s="290">
        <v>-14.867537</v>
      </c>
      <c r="L189" s="290">
        <v>1.489689</v>
      </c>
      <c r="M189" s="290">
        <v>4.6242770000000002</v>
      </c>
      <c r="N189" s="287">
        <v>5.0000000000000001E-4</v>
      </c>
      <c r="O189" s="288">
        <v>2</v>
      </c>
      <c r="P189" s="287">
        <v>2.0000000000000001E-4</v>
      </c>
    </row>
    <row r="190" spans="1:16">
      <c r="A190" s="285" t="s">
        <v>143</v>
      </c>
      <c r="B190" s="285" t="s">
        <v>486</v>
      </c>
      <c r="C190" s="290">
        <v>300</v>
      </c>
      <c r="D190" s="290">
        <v>1.8659840000000001</v>
      </c>
      <c r="E190" s="290">
        <v>20.421925999999999</v>
      </c>
      <c r="F190" s="290">
        <v>0.3449026</v>
      </c>
      <c r="G190" s="290">
        <v>-284.06099599999999</v>
      </c>
      <c r="H190" s="290">
        <v>1.8044210000000001</v>
      </c>
      <c r="I190" s="290">
        <v>11.836041</v>
      </c>
      <c r="J190" s="290">
        <v>14.743589</v>
      </c>
      <c r="K190" s="290">
        <v>1.025299</v>
      </c>
      <c r="L190" s="290">
        <v>28.439809</v>
      </c>
      <c r="M190" s="290">
        <v>4.7781950000000002</v>
      </c>
      <c r="N190" s="287">
        <v>1.1999999999999999E-3</v>
      </c>
      <c r="O190" s="288">
        <v>0.71</v>
      </c>
      <c r="P190" s="287">
        <v>5.0000000000000001E-4</v>
      </c>
    </row>
    <row r="191" spans="1:16">
      <c r="A191" s="285" t="s">
        <v>368</v>
      </c>
      <c r="B191" s="285" t="s">
        <v>486</v>
      </c>
      <c r="C191" s="290">
        <v>300</v>
      </c>
      <c r="D191" s="290">
        <v>0.5024807</v>
      </c>
      <c r="E191" s="290">
        <v>23.615248999999999</v>
      </c>
      <c r="F191" s="290">
        <v>2.553798</v>
      </c>
      <c r="G191" s="290">
        <v>10.230211000000001</v>
      </c>
      <c r="H191" s="290">
        <v>14.439444999999999</v>
      </c>
      <c r="I191" s="290">
        <v>3.6257389999999998</v>
      </c>
      <c r="J191" s="290">
        <v>28.503111000000001</v>
      </c>
      <c r="K191" s="290">
        <v>-285.77914299999998</v>
      </c>
      <c r="L191" s="290">
        <v>0.52252010000000004</v>
      </c>
      <c r="M191" s="290">
        <v>5.306813</v>
      </c>
      <c r="N191" s="287">
        <v>1.1999999999999999E-3</v>
      </c>
      <c r="O191" s="288">
        <v>0.11</v>
      </c>
      <c r="P191" s="287">
        <v>4.0000000000000002E-4</v>
      </c>
    </row>
    <row r="192" spans="1:16">
      <c r="A192" s="285" t="s">
        <v>144</v>
      </c>
      <c r="B192" s="285" t="s">
        <v>486</v>
      </c>
      <c r="C192" s="290">
        <v>26.538965000000001</v>
      </c>
      <c r="D192" s="290">
        <v>2.3398349999999999</v>
      </c>
      <c r="E192" s="290">
        <v>2.8921869999999998</v>
      </c>
      <c r="F192" s="290">
        <v>25.352256000000001</v>
      </c>
      <c r="G192" s="290">
        <v>10.633532000000001</v>
      </c>
      <c r="H192" s="290">
        <v>13.96651</v>
      </c>
      <c r="I192" s="290">
        <v>21.163557000000001</v>
      </c>
      <c r="J192" s="290">
        <v>0.33664179999999999</v>
      </c>
      <c r="K192" s="290">
        <v>-10.00705</v>
      </c>
      <c r="L192" s="290">
        <v>1.1266849999999999</v>
      </c>
      <c r="M192" s="290">
        <v>4.7786059999999999</v>
      </c>
      <c r="N192" s="287">
        <v>2.0000000000000001E-4</v>
      </c>
      <c r="O192" s="288">
        <v>0.11</v>
      </c>
      <c r="P192" s="287">
        <v>1E-4</v>
      </c>
    </row>
    <row r="193" spans="1:16">
      <c r="A193" s="285" t="s">
        <v>145</v>
      </c>
      <c r="B193" s="285" t="s">
        <v>486</v>
      </c>
      <c r="C193" s="290">
        <v>11.627264</v>
      </c>
      <c r="D193" s="290">
        <v>13.641778</v>
      </c>
      <c r="E193" s="290">
        <v>20.052883000000001</v>
      </c>
      <c r="F193" s="290">
        <v>0.31657689999999999</v>
      </c>
      <c r="G193" s="290">
        <v>1.702955</v>
      </c>
      <c r="H193" s="290">
        <v>24.626303</v>
      </c>
      <c r="I193" s="290">
        <v>-282.96110399999998</v>
      </c>
      <c r="J193" s="290">
        <v>1.766383</v>
      </c>
      <c r="K193" s="290">
        <v>300</v>
      </c>
      <c r="L193" s="290">
        <v>1.8237110000000001</v>
      </c>
      <c r="M193" s="290">
        <v>4.578214</v>
      </c>
      <c r="N193" s="287">
        <v>5.9999999999999995E-4</v>
      </c>
      <c r="O193" s="288">
        <v>0.74</v>
      </c>
      <c r="P193" s="287">
        <v>2.9999999999999997E-4</v>
      </c>
    </row>
    <row r="194" spans="1:16">
      <c r="A194" s="285" t="s">
        <v>369</v>
      </c>
      <c r="B194" s="285" t="s">
        <v>486</v>
      </c>
      <c r="C194" s="290">
        <v>115.172347</v>
      </c>
      <c r="D194" s="290">
        <v>-8.6939160000000001E-2</v>
      </c>
      <c r="E194" s="290">
        <v>3.6272169999999999</v>
      </c>
      <c r="F194" s="290">
        <v>27.633220999999999</v>
      </c>
      <c r="G194" s="290">
        <v>10.582008</v>
      </c>
      <c r="H194" s="290">
        <v>13.782332</v>
      </c>
      <c r="I194" s="290">
        <v>22.949997</v>
      </c>
      <c r="J194" s="290">
        <v>2.5338630000000002</v>
      </c>
      <c r="K194" s="290">
        <v>-300</v>
      </c>
      <c r="L194" s="290">
        <v>-4.4373929999999999E-2</v>
      </c>
      <c r="M194" s="290">
        <v>205.66739100000001</v>
      </c>
      <c r="N194" s="287">
        <v>1.8E-3</v>
      </c>
      <c r="O194" s="288">
        <v>2</v>
      </c>
      <c r="P194" s="287">
        <v>5.0000000000000001E-4</v>
      </c>
    </row>
    <row r="195" spans="1:16">
      <c r="A195" s="285" t="s">
        <v>146</v>
      </c>
      <c r="B195" s="285" t="s">
        <v>486</v>
      </c>
      <c r="C195" s="290">
        <v>24.739922</v>
      </c>
      <c r="D195" s="290">
        <v>2.3274409999999999</v>
      </c>
      <c r="E195" s="290">
        <v>28.126605999999999</v>
      </c>
      <c r="F195" s="290">
        <v>0.38113180000000002</v>
      </c>
      <c r="G195" s="290">
        <v>3.2652209999999999</v>
      </c>
      <c r="H195" s="290">
        <v>23.955922000000001</v>
      </c>
      <c r="I195" s="290">
        <v>10.673416</v>
      </c>
      <c r="J195" s="290">
        <v>13.093583000000001</v>
      </c>
      <c r="K195" s="290">
        <v>-14.992744</v>
      </c>
      <c r="L195" s="290">
        <v>0.72323930000000003</v>
      </c>
      <c r="M195" s="290">
        <v>5.1872439999999997</v>
      </c>
      <c r="N195" s="287">
        <v>4.0000000000000002E-4</v>
      </c>
      <c r="O195" s="288">
        <v>0.11</v>
      </c>
      <c r="P195" s="287">
        <v>1E-4</v>
      </c>
    </row>
    <row r="196" spans="1:16">
      <c r="A196" s="285" t="s">
        <v>370</v>
      </c>
      <c r="B196" s="285" t="s">
        <v>486</v>
      </c>
      <c r="C196" s="290">
        <v>250.963392</v>
      </c>
      <c r="D196" s="290">
        <v>0.45986260000000001</v>
      </c>
      <c r="E196" s="290">
        <v>24.667669</v>
      </c>
      <c r="F196" s="290">
        <v>2.2706650000000002</v>
      </c>
      <c r="G196" s="290">
        <v>10.647373999999999</v>
      </c>
      <c r="H196" s="290">
        <v>12.239393</v>
      </c>
      <c r="I196" s="290">
        <v>3.712637</v>
      </c>
      <c r="J196" s="290">
        <v>22.597559</v>
      </c>
      <c r="K196" s="290">
        <v>-237.28448900000001</v>
      </c>
      <c r="L196" s="290">
        <v>0.48284880000000002</v>
      </c>
      <c r="M196" s="290">
        <v>5.2928790000000001</v>
      </c>
      <c r="N196" s="287">
        <v>5.9999999999999995E-4</v>
      </c>
      <c r="O196" s="288">
        <v>0.12</v>
      </c>
      <c r="P196" s="287">
        <v>2.0000000000000001E-4</v>
      </c>
    </row>
    <row r="197" spans="1:16">
      <c r="A197" s="285" t="s">
        <v>371</v>
      </c>
      <c r="B197" s="285" t="s">
        <v>486</v>
      </c>
      <c r="C197" s="290">
        <v>23.746874999999999</v>
      </c>
      <c r="D197" s="290">
        <v>0.13871420000000001</v>
      </c>
      <c r="E197" s="290">
        <v>23.901698</v>
      </c>
      <c r="F197" s="290">
        <v>2.360849</v>
      </c>
      <c r="G197" s="290">
        <v>10.758208</v>
      </c>
      <c r="H197" s="290">
        <v>12.076104000000001</v>
      </c>
      <c r="I197" s="290">
        <v>4.3222940000000003</v>
      </c>
      <c r="J197" s="290">
        <v>24.805620000000001</v>
      </c>
      <c r="K197" s="290">
        <v>1.9416489999999999E-3</v>
      </c>
      <c r="L197" s="290">
        <v>-1.1032439999999999</v>
      </c>
      <c r="M197" s="290">
        <v>-2.7326869999999999</v>
      </c>
      <c r="N197" s="287">
        <v>1.8E-3</v>
      </c>
      <c r="O197" s="288">
        <v>0.11</v>
      </c>
      <c r="P197" s="287">
        <v>6.9999999999999999E-4</v>
      </c>
    </row>
    <row r="198" spans="1:16">
      <c r="A198" s="285" t="s">
        <v>147</v>
      </c>
      <c r="B198" s="285" t="s">
        <v>486</v>
      </c>
      <c r="C198" s="290">
        <v>10.925578</v>
      </c>
      <c r="D198" s="290">
        <v>11.723922</v>
      </c>
      <c r="E198" s="290">
        <v>222.615824</v>
      </c>
      <c r="F198" s="290">
        <v>-0.10161389999999999</v>
      </c>
      <c r="G198" s="290">
        <v>23.875457000000001</v>
      </c>
      <c r="H198" s="290">
        <v>2.265355</v>
      </c>
      <c r="I198" s="290">
        <v>-300</v>
      </c>
      <c r="J198" s="290">
        <v>-8.4736420000000007E-2</v>
      </c>
      <c r="K198" s="290">
        <v>3.7258849999999999</v>
      </c>
      <c r="L198" s="290">
        <v>21.964742999999999</v>
      </c>
      <c r="M198" s="290">
        <v>97.856763000000001</v>
      </c>
      <c r="N198" s="287">
        <v>1.1000000000000001E-3</v>
      </c>
      <c r="O198" s="288">
        <v>2</v>
      </c>
      <c r="P198" s="287">
        <v>2.9999999999999997E-4</v>
      </c>
    </row>
    <row r="199" spans="1:16">
      <c r="A199" s="285" t="s">
        <v>372</v>
      </c>
      <c r="B199" s="285" t="s">
        <v>486</v>
      </c>
      <c r="C199" s="290">
        <v>24.431401999999999</v>
      </c>
      <c r="D199" s="290">
        <v>2.2811170000000001</v>
      </c>
      <c r="E199" s="290">
        <v>10.891774</v>
      </c>
      <c r="F199" s="290">
        <v>11.374253</v>
      </c>
      <c r="G199" s="290">
        <v>21.673725999999998</v>
      </c>
      <c r="H199" s="290">
        <v>0.14997550000000001</v>
      </c>
      <c r="I199" s="290">
        <v>4.5930140000000002</v>
      </c>
      <c r="J199" s="290">
        <v>23.696128000000002</v>
      </c>
      <c r="K199" s="290">
        <v>7.6242239999999996E-6</v>
      </c>
      <c r="L199" s="290">
        <v>-2.142363</v>
      </c>
      <c r="M199" s="290">
        <v>-0.59188439999999998</v>
      </c>
      <c r="N199" s="287">
        <v>2.0999999999999999E-3</v>
      </c>
      <c r="O199" s="288">
        <v>0.12</v>
      </c>
      <c r="P199" s="287">
        <v>8.0000000000000004E-4</v>
      </c>
    </row>
    <row r="200" spans="1:16">
      <c r="A200" s="285" t="s">
        <v>148</v>
      </c>
      <c r="B200" s="285" t="s">
        <v>486</v>
      </c>
      <c r="C200" s="290">
        <v>46.416570999999998</v>
      </c>
      <c r="D200" s="290">
        <v>6.2570719999999996E-2</v>
      </c>
      <c r="E200" s="290">
        <v>10.894368999999999</v>
      </c>
      <c r="F200" s="290">
        <v>10.983485999999999</v>
      </c>
      <c r="G200" s="290">
        <v>4.164377</v>
      </c>
      <c r="H200" s="290">
        <v>20.807247</v>
      </c>
      <c r="I200" s="290">
        <v>24.381737000000001</v>
      </c>
      <c r="J200" s="290">
        <v>2.1917650000000002</v>
      </c>
      <c r="K200" s="290">
        <v>0.23479839999999999</v>
      </c>
      <c r="L200" s="290">
        <v>-0.42889480000000002</v>
      </c>
      <c r="M200" s="290">
        <v>-26.092593999999998</v>
      </c>
      <c r="N200" s="287">
        <v>8.0000000000000004E-4</v>
      </c>
      <c r="O200" s="288">
        <v>0.12</v>
      </c>
      <c r="P200" s="287">
        <v>2.9999999999999997E-4</v>
      </c>
    </row>
    <row r="201" spans="1:16">
      <c r="A201" s="285" t="s">
        <v>149</v>
      </c>
      <c r="B201" s="285" t="s">
        <v>486</v>
      </c>
      <c r="C201" s="290">
        <v>3.526653</v>
      </c>
      <c r="D201" s="290">
        <v>25.077881999999999</v>
      </c>
      <c r="E201" s="290">
        <v>11.863426</v>
      </c>
      <c r="F201" s="290">
        <v>10.960844</v>
      </c>
      <c r="G201" s="290">
        <v>20.960840000000001</v>
      </c>
      <c r="H201" s="290">
        <v>0.148337</v>
      </c>
      <c r="I201" s="290">
        <v>1.793396</v>
      </c>
      <c r="J201" s="290">
        <v>93.181162</v>
      </c>
      <c r="K201" s="290">
        <v>24.814311</v>
      </c>
      <c r="L201" s="290">
        <v>2.1622110000000001</v>
      </c>
      <c r="M201" s="290">
        <v>3.9629600000000001E-2</v>
      </c>
      <c r="N201" s="287">
        <v>5.1000000000000004E-3</v>
      </c>
      <c r="O201" s="288">
        <v>2</v>
      </c>
      <c r="P201" s="287">
        <v>1.1000000000000001E-3</v>
      </c>
    </row>
    <row r="202" spans="1:16">
      <c r="A202" s="285" t="s">
        <v>150</v>
      </c>
      <c r="B202" s="285" t="s">
        <v>486</v>
      </c>
      <c r="C202" s="290">
        <v>24.875152</v>
      </c>
      <c r="D202" s="290">
        <v>2.163907</v>
      </c>
      <c r="E202" s="290">
        <v>21.033823000000002</v>
      </c>
      <c r="F202" s="290">
        <v>0.14741209999999999</v>
      </c>
      <c r="G202" s="290">
        <v>11.096228999999999</v>
      </c>
      <c r="H202" s="290">
        <v>10.860010000000001</v>
      </c>
      <c r="I202" s="290">
        <v>0.53031220000000001</v>
      </c>
      <c r="J202" s="290">
        <v>61.316676999999999</v>
      </c>
      <c r="K202" s="290">
        <v>4.5083209999999996</v>
      </c>
      <c r="L202" s="290">
        <v>22.929669000000001</v>
      </c>
      <c r="M202" s="290">
        <v>-4.386499E-2</v>
      </c>
      <c r="N202" s="287">
        <v>5.4999999999999997E-3</v>
      </c>
      <c r="O202" s="288">
        <v>2</v>
      </c>
      <c r="P202" s="287">
        <v>8.9999999999999998E-4</v>
      </c>
    </row>
    <row r="203" spans="1:16">
      <c r="A203" s="285" t="s">
        <v>151</v>
      </c>
      <c r="B203" s="285" t="s">
        <v>486</v>
      </c>
      <c r="C203" s="290">
        <v>4.4448939999999997</v>
      </c>
      <c r="D203" s="290">
        <v>19.937764000000001</v>
      </c>
      <c r="E203" s="290">
        <v>24.280311999999999</v>
      </c>
      <c r="F203" s="290">
        <v>0.1190446</v>
      </c>
      <c r="G203" s="290">
        <v>24.840167999999998</v>
      </c>
      <c r="H203" s="290">
        <v>2.1290290000000001</v>
      </c>
      <c r="I203" s="290">
        <v>10.978949999999999</v>
      </c>
      <c r="J203" s="290">
        <v>10.383671</v>
      </c>
      <c r="K203" s="290">
        <v>4.335276E-4</v>
      </c>
      <c r="L203" s="290">
        <v>-1.326846</v>
      </c>
      <c r="M203" s="290">
        <v>-3.5456660000000002</v>
      </c>
      <c r="N203" s="287">
        <v>1E-3</v>
      </c>
      <c r="O203" s="288">
        <v>0.13</v>
      </c>
      <c r="P203" s="287">
        <v>4.0000000000000002E-4</v>
      </c>
    </row>
    <row r="204" spans="1:16">
      <c r="A204" s="285" t="s">
        <v>152</v>
      </c>
      <c r="B204" s="285" t="s">
        <v>486</v>
      </c>
      <c r="C204" s="290">
        <v>10.415634000000001</v>
      </c>
      <c r="D204" s="290">
        <v>9.649775</v>
      </c>
      <c r="E204" s="290">
        <v>5.59056</v>
      </c>
      <c r="F204" s="290">
        <v>19.547363000000001</v>
      </c>
      <c r="G204" s="290">
        <v>20.664073999999999</v>
      </c>
      <c r="H204" s="290">
        <v>0.1470052</v>
      </c>
      <c r="I204" s="290">
        <v>1.448469</v>
      </c>
      <c r="J204" s="290">
        <v>101.457994</v>
      </c>
      <c r="K204" s="290">
        <v>25.481051000000001</v>
      </c>
      <c r="L204" s="290">
        <v>2.1126450000000001</v>
      </c>
      <c r="M204" s="290">
        <v>0.39825300000000002</v>
      </c>
      <c r="N204" s="287">
        <v>2.8999999999999998E-3</v>
      </c>
      <c r="O204" s="288">
        <v>2</v>
      </c>
      <c r="P204" s="287">
        <v>8.0000000000000004E-4</v>
      </c>
    </row>
    <row r="205" spans="1:16">
      <c r="A205" s="285" t="s">
        <v>373</v>
      </c>
      <c r="B205" s="285" t="s">
        <v>486</v>
      </c>
      <c r="C205" s="290">
        <v>25.391300999999999</v>
      </c>
      <c r="D205" s="290">
        <v>2.0624120000000001</v>
      </c>
      <c r="E205" s="290">
        <v>11.059372</v>
      </c>
      <c r="F205" s="290">
        <v>9.8127910000000007</v>
      </c>
      <c r="G205" s="290">
        <v>4.7390140000000001</v>
      </c>
      <c r="H205" s="290">
        <v>19.113631000000002</v>
      </c>
      <c r="I205" s="290">
        <v>22.15737</v>
      </c>
      <c r="J205" s="290">
        <v>0.1292498</v>
      </c>
      <c r="K205" s="290">
        <v>5.5658790000000004E-7</v>
      </c>
      <c r="L205" s="290">
        <v>-2.6303589999999999</v>
      </c>
      <c r="M205" s="290">
        <v>-1.3481669999999999</v>
      </c>
      <c r="N205" s="287">
        <v>1.1999999999999999E-3</v>
      </c>
      <c r="O205" s="288">
        <v>0.13</v>
      </c>
      <c r="P205" s="287">
        <v>5.0000000000000001E-4</v>
      </c>
    </row>
    <row r="206" spans="1:16">
      <c r="A206" s="285" t="s">
        <v>153</v>
      </c>
      <c r="B206" s="285" t="s">
        <v>486</v>
      </c>
      <c r="C206" s="290">
        <v>11.347814</v>
      </c>
      <c r="D206" s="290">
        <v>9.5912489999999995</v>
      </c>
      <c r="E206" s="290">
        <v>4.0729389999999999</v>
      </c>
      <c r="F206" s="290">
        <v>17.446446999999999</v>
      </c>
      <c r="G206" s="290">
        <v>40.690919999999998</v>
      </c>
      <c r="H206" s="290">
        <v>6.1269730000000001E-2</v>
      </c>
      <c r="I206" s="290">
        <v>25.294103</v>
      </c>
      <c r="J206" s="290">
        <v>1.980497</v>
      </c>
      <c r="K206" s="290">
        <v>4.3656130000000001E-2</v>
      </c>
      <c r="L206" s="290">
        <v>-0.60725560000000001</v>
      </c>
      <c r="M206" s="290">
        <v>-20.449902999999999</v>
      </c>
      <c r="N206" s="287">
        <v>5.0000000000000001E-4</v>
      </c>
      <c r="O206" s="288">
        <v>0.13</v>
      </c>
      <c r="P206" s="287">
        <v>2.0000000000000001E-4</v>
      </c>
    </row>
    <row r="207" spans="1:16">
      <c r="A207" s="285" t="s">
        <v>374</v>
      </c>
      <c r="B207" s="285" t="s">
        <v>486</v>
      </c>
      <c r="C207" s="290">
        <v>8.4424869999999999</v>
      </c>
      <c r="D207" s="290">
        <v>8.3647779999999994</v>
      </c>
      <c r="E207" s="290">
        <v>20.863685</v>
      </c>
      <c r="F207" s="290">
        <v>0.1376674</v>
      </c>
      <c r="G207" s="290">
        <v>7.6176779999999997</v>
      </c>
      <c r="H207" s="290">
        <v>16.083390999999999</v>
      </c>
      <c r="I207" s="290">
        <v>0.9325002</v>
      </c>
      <c r="J207" s="290">
        <v>31.388853999999998</v>
      </c>
      <c r="K207" s="290">
        <v>26.044685999999999</v>
      </c>
      <c r="L207" s="290">
        <v>2.0259420000000001</v>
      </c>
      <c r="M207" s="290">
        <v>9.8946149999999997E-2</v>
      </c>
      <c r="N207" s="287">
        <v>2.2000000000000001E-3</v>
      </c>
      <c r="O207" s="288">
        <v>2</v>
      </c>
      <c r="P207" s="287">
        <v>2.9999999999999997E-4</v>
      </c>
    </row>
    <row r="208" spans="1:16">
      <c r="A208" s="285" t="s">
        <v>154</v>
      </c>
      <c r="B208" s="285" t="s">
        <v>486</v>
      </c>
      <c r="C208" s="290">
        <v>25.925232999999999</v>
      </c>
      <c r="D208" s="290">
        <v>1.992181</v>
      </c>
      <c r="E208" s="290">
        <v>0.1883744</v>
      </c>
      <c r="F208" s="290">
        <v>34.730808000000003</v>
      </c>
      <c r="G208" s="290">
        <v>21.255858</v>
      </c>
      <c r="H208" s="290">
        <v>0.13164509999999999</v>
      </c>
      <c r="I208" s="290">
        <v>10.054734</v>
      </c>
      <c r="J208" s="290">
        <v>8.9232879999999994</v>
      </c>
      <c r="K208" s="290">
        <v>5.9971290000000002</v>
      </c>
      <c r="L208" s="290">
        <v>16.690760999999998</v>
      </c>
      <c r="M208" s="290">
        <v>-0.4212323</v>
      </c>
      <c r="N208" s="287">
        <v>2.7000000000000001E-3</v>
      </c>
      <c r="O208" s="288">
        <v>2</v>
      </c>
      <c r="P208" s="287">
        <v>4.0000000000000002E-4</v>
      </c>
    </row>
    <row r="209" spans="1:16">
      <c r="A209" s="285" t="s">
        <v>375</v>
      </c>
      <c r="B209" s="285" t="s">
        <v>486</v>
      </c>
      <c r="C209" s="290">
        <v>21.331092000000002</v>
      </c>
      <c r="D209" s="290">
        <v>0.1249519</v>
      </c>
      <c r="E209" s="290">
        <v>9.0765899999999995</v>
      </c>
      <c r="F209" s="290">
        <v>8.0466639999999998</v>
      </c>
      <c r="G209" s="290">
        <v>26.488776999999999</v>
      </c>
      <c r="H209" s="290">
        <v>1.915759</v>
      </c>
      <c r="I209" s="290">
        <v>7.0915020000000002</v>
      </c>
      <c r="J209" s="290">
        <v>14.769147999999999</v>
      </c>
      <c r="K209" s="290">
        <v>0.5784707</v>
      </c>
      <c r="L209" s="290">
        <v>27.280659</v>
      </c>
      <c r="M209" s="290">
        <v>-0.56637769999999998</v>
      </c>
      <c r="N209" s="287">
        <v>1.8E-3</v>
      </c>
      <c r="O209" s="288">
        <v>2</v>
      </c>
      <c r="P209" s="287">
        <v>2.0000000000000001E-4</v>
      </c>
    </row>
    <row r="210" spans="1:16">
      <c r="A210" s="285" t="s">
        <v>376</v>
      </c>
      <c r="B210" s="285" t="s">
        <v>486</v>
      </c>
      <c r="C210" s="290">
        <v>21.392523000000001</v>
      </c>
      <c r="D210" s="290">
        <v>0.11880019999999999</v>
      </c>
      <c r="E210" s="290">
        <v>8.1363649999999996</v>
      </c>
      <c r="F210" s="290">
        <v>7.2261540000000002</v>
      </c>
      <c r="G210" s="290">
        <v>1.0685309999999999</v>
      </c>
      <c r="H210" s="290">
        <v>23.886934</v>
      </c>
      <c r="I210" s="290">
        <v>8.0679839999999992</v>
      </c>
      <c r="J210" s="290">
        <v>13.207449</v>
      </c>
      <c r="K210" s="290">
        <v>27.031196000000001</v>
      </c>
      <c r="L210" s="290">
        <v>1.8426419999999999</v>
      </c>
      <c r="M210" s="290">
        <v>-0.69659680000000002</v>
      </c>
      <c r="N210" s="287">
        <v>1.1999999999999999E-3</v>
      </c>
      <c r="O210" s="288">
        <v>2</v>
      </c>
      <c r="P210" s="287">
        <v>2.0000000000000001E-4</v>
      </c>
    </row>
    <row r="211" spans="1:16">
      <c r="A211" s="285" t="s">
        <v>377</v>
      </c>
      <c r="B211" s="285" t="s">
        <v>486</v>
      </c>
      <c r="C211" s="290">
        <v>27.611279</v>
      </c>
      <c r="D211" s="290">
        <v>1.797075</v>
      </c>
      <c r="E211" s="290">
        <v>7.4598120000000003</v>
      </c>
      <c r="F211" s="290">
        <v>6.3226979999999999</v>
      </c>
      <c r="G211" s="290">
        <v>1.771774</v>
      </c>
      <c r="H211" s="290">
        <v>25.633662999999999</v>
      </c>
      <c r="I211" s="290">
        <v>9.4105889999999999</v>
      </c>
      <c r="J211" s="290">
        <v>12.770403</v>
      </c>
      <c r="K211" s="290">
        <v>20.994896000000001</v>
      </c>
      <c r="L211" s="290">
        <v>0.11846039999999999</v>
      </c>
      <c r="M211" s="290">
        <v>-0.24861179999999999</v>
      </c>
      <c r="N211" s="287">
        <v>5.0000000000000001E-4</v>
      </c>
      <c r="O211" s="288">
        <v>2</v>
      </c>
      <c r="P211" s="287">
        <v>1E-4</v>
      </c>
    </row>
    <row r="212" spans="1:16">
      <c r="A212" s="285" t="s">
        <v>155</v>
      </c>
      <c r="B212" s="285" t="s">
        <v>486</v>
      </c>
      <c r="C212" s="290">
        <v>27.555648999999999</v>
      </c>
      <c r="D212" s="290">
        <v>1.7729729999999999</v>
      </c>
      <c r="E212" s="290">
        <v>21.431650000000001</v>
      </c>
      <c r="F212" s="290">
        <v>0.11321829999999999</v>
      </c>
      <c r="G212" s="290">
        <v>7.48001</v>
      </c>
      <c r="H212" s="290">
        <v>6.518478</v>
      </c>
      <c r="I212" s="290">
        <v>1.4772460000000001</v>
      </c>
      <c r="J212" s="290">
        <v>22.037659999999999</v>
      </c>
      <c r="K212" s="290">
        <v>8.8574149999999996</v>
      </c>
      <c r="L212" s="290">
        <v>12.080095999999999</v>
      </c>
      <c r="M212" s="290">
        <v>-0.8020178</v>
      </c>
      <c r="N212" s="287">
        <v>6.9999999999999999E-4</v>
      </c>
      <c r="O212" s="288">
        <v>2</v>
      </c>
      <c r="P212" s="287">
        <v>1E-4</v>
      </c>
    </row>
    <row r="213" spans="1:16">
      <c r="A213" s="285" t="s">
        <v>378</v>
      </c>
      <c r="B213" s="285" t="s">
        <v>486</v>
      </c>
      <c r="C213" s="290">
        <v>28.127856999999999</v>
      </c>
      <c r="D213" s="290">
        <v>1.7300519999999999</v>
      </c>
      <c r="E213" s="290">
        <v>20.934031999999998</v>
      </c>
      <c r="F213" s="290">
        <v>0.1138149</v>
      </c>
      <c r="G213" s="290">
        <v>7.5489670000000002</v>
      </c>
      <c r="H213" s="290">
        <v>5.8877730000000001</v>
      </c>
      <c r="I213" s="290">
        <v>9.7250650000000007</v>
      </c>
      <c r="J213" s="290">
        <v>12.151764999999999</v>
      </c>
      <c r="K213" s="290">
        <v>1.9080839999999999</v>
      </c>
      <c r="L213" s="290">
        <v>24.682691999999999</v>
      </c>
      <c r="M213" s="290">
        <v>-0.24433009999999999</v>
      </c>
      <c r="N213" s="287">
        <v>2.9999999999999997E-4</v>
      </c>
      <c r="O213" s="288">
        <v>0.11</v>
      </c>
      <c r="P213" s="287">
        <v>2.0000000000000001E-4</v>
      </c>
    </row>
    <row r="214" spans="1:16">
      <c r="A214" s="285" t="s">
        <v>156</v>
      </c>
      <c r="B214" s="285" t="s">
        <v>486</v>
      </c>
      <c r="C214" s="290">
        <v>21.433744000000001</v>
      </c>
      <c r="D214" s="290">
        <v>0.10827639999999999</v>
      </c>
      <c r="E214" s="290">
        <v>28.068156999999999</v>
      </c>
      <c r="F214" s="290">
        <v>1.706952</v>
      </c>
      <c r="G214" s="290">
        <v>1.768505</v>
      </c>
      <c r="H214" s="290">
        <v>20.855098000000002</v>
      </c>
      <c r="I214" s="290">
        <v>7.1606230000000002</v>
      </c>
      <c r="J214" s="290">
        <v>5.9441439999999997</v>
      </c>
      <c r="K214" s="290">
        <v>9.4348189999999992</v>
      </c>
      <c r="L214" s="290">
        <v>11.276037000000001</v>
      </c>
      <c r="M214" s="290">
        <v>-0.86594170000000004</v>
      </c>
      <c r="N214" s="287">
        <v>4.0000000000000002E-4</v>
      </c>
      <c r="O214" s="288">
        <v>2</v>
      </c>
      <c r="P214" s="287">
        <v>1E-4</v>
      </c>
    </row>
    <row r="215" spans="1:16">
      <c r="A215" s="285" t="s">
        <v>379</v>
      </c>
      <c r="B215" s="285" t="s">
        <v>486</v>
      </c>
      <c r="C215" s="290">
        <v>7.1085219999999998</v>
      </c>
      <c r="D215" s="290">
        <v>5.4903529999999998</v>
      </c>
      <c r="E215" s="290">
        <v>9.837631</v>
      </c>
      <c r="F215" s="290">
        <v>10.679517000000001</v>
      </c>
      <c r="G215" s="290">
        <v>28.575308</v>
      </c>
      <c r="H215" s="290">
        <v>1.64472</v>
      </c>
      <c r="I215" s="290">
        <v>1.9657070000000001</v>
      </c>
      <c r="J215" s="290">
        <v>20.005942999999998</v>
      </c>
      <c r="K215" s="290">
        <v>21.379688000000002</v>
      </c>
      <c r="L215" s="290">
        <v>0.1040625</v>
      </c>
      <c r="M215" s="290">
        <v>-0.8669869</v>
      </c>
      <c r="N215" s="287">
        <v>2.0000000000000001E-4</v>
      </c>
      <c r="O215" s="288">
        <v>2</v>
      </c>
      <c r="P215" s="287">
        <v>1E-4</v>
      </c>
    </row>
    <row r="216" spans="1:16">
      <c r="A216" s="285" t="s">
        <v>380</v>
      </c>
      <c r="B216" s="285" t="s">
        <v>486</v>
      </c>
      <c r="C216" s="290">
        <v>29.551062999999999</v>
      </c>
      <c r="D216" s="290">
        <v>1.59938</v>
      </c>
      <c r="E216" s="290">
        <v>7.6841429999999997</v>
      </c>
      <c r="F216" s="290">
        <v>14.267623</v>
      </c>
      <c r="G216" s="290">
        <v>10.658516000000001</v>
      </c>
      <c r="H216" s="290">
        <v>6.4859400000000003</v>
      </c>
      <c r="I216" s="290">
        <v>1.522986</v>
      </c>
      <c r="J216" s="290">
        <v>43.279528999999997</v>
      </c>
      <c r="K216" s="290">
        <v>20.033265</v>
      </c>
      <c r="L216" s="290">
        <v>0.1103692</v>
      </c>
      <c r="M216" s="290">
        <v>0.54852129999999999</v>
      </c>
      <c r="N216" s="287">
        <v>1.6000000000000001E-3</v>
      </c>
      <c r="O216" s="288">
        <v>0.09</v>
      </c>
      <c r="P216" s="287">
        <v>6.9999999999999999E-4</v>
      </c>
    </row>
    <row r="217" spans="1:16">
      <c r="A217" s="285" t="s">
        <v>157</v>
      </c>
      <c r="B217" s="285" t="s">
        <v>486</v>
      </c>
      <c r="C217" s="290">
        <v>20.934820999999999</v>
      </c>
      <c r="D217" s="290">
        <v>0.1022459</v>
      </c>
      <c r="E217" s="290">
        <v>29.350505999999999</v>
      </c>
      <c r="F217" s="290">
        <v>1.5827420000000001</v>
      </c>
      <c r="G217" s="290">
        <v>9.4649330000000003</v>
      </c>
      <c r="H217" s="290">
        <v>6.013649</v>
      </c>
      <c r="I217" s="290">
        <v>1.134091</v>
      </c>
      <c r="J217" s="290">
        <v>31.556393</v>
      </c>
      <c r="K217" s="290">
        <v>8.5958909999999999</v>
      </c>
      <c r="L217" s="290">
        <v>12.215897</v>
      </c>
      <c r="M217" s="290">
        <v>-0.48087079999999999</v>
      </c>
      <c r="N217" s="287">
        <v>6.9999999999999999E-4</v>
      </c>
      <c r="O217" s="288">
        <v>0.1</v>
      </c>
      <c r="P217" s="287">
        <v>2.9999999999999997E-4</v>
      </c>
    </row>
    <row r="218" spans="1:16">
      <c r="A218" s="285" t="s">
        <v>158</v>
      </c>
      <c r="B218" s="285" t="s">
        <v>486</v>
      </c>
      <c r="C218" s="290">
        <v>29.037272999999999</v>
      </c>
      <c r="D218" s="290">
        <v>1.564206</v>
      </c>
      <c r="E218" s="290">
        <v>1.816252</v>
      </c>
      <c r="F218" s="290">
        <v>17.250298999999998</v>
      </c>
      <c r="G218" s="290">
        <v>7.0173079999999999</v>
      </c>
      <c r="H218" s="290">
        <v>5.2611309999999998</v>
      </c>
      <c r="I218" s="290">
        <v>21.893912</v>
      </c>
      <c r="J218" s="290">
        <v>9.4858570000000003E-2</v>
      </c>
      <c r="K218" s="290">
        <v>9.795102</v>
      </c>
      <c r="L218" s="290">
        <v>9.6798190000000002</v>
      </c>
      <c r="M218" s="290">
        <v>-1.5599099999999999</v>
      </c>
      <c r="N218" s="287">
        <v>2.0000000000000001E-4</v>
      </c>
      <c r="O218" s="288">
        <v>2</v>
      </c>
      <c r="P218" s="287">
        <v>0</v>
      </c>
    </row>
    <row r="219" spans="1:16">
      <c r="A219" s="285" t="s">
        <v>381</v>
      </c>
      <c r="B219" s="285" t="s">
        <v>486</v>
      </c>
      <c r="C219" s="290">
        <v>30.123418000000001</v>
      </c>
      <c r="D219" s="290">
        <v>1.5273920000000001</v>
      </c>
      <c r="E219" s="290">
        <v>10.992138000000001</v>
      </c>
      <c r="F219" s="290">
        <v>6.3896280000000001</v>
      </c>
      <c r="G219" s="290">
        <v>20.004332999999999</v>
      </c>
      <c r="H219" s="290">
        <v>0.1044773</v>
      </c>
      <c r="I219" s="290">
        <v>1.8823719999999999</v>
      </c>
      <c r="J219" s="290">
        <v>40.271284999999999</v>
      </c>
      <c r="K219" s="290">
        <v>7.5554800000000002</v>
      </c>
      <c r="L219" s="290">
        <v>14.277348</v>
      </c>
      <c r="M219" s="290">
        <v>0.44081979999999998</v>
      </c>
      <c r="N219" s="287">
        <v>1.6000000000000001E-3</v>
      </c>
      <c r="O219" s="288">
        <v>0.09</v>
      </c>
      <c r="P219" s="287">
        <v>6.9999999999999999E-4</v>
      </c>
    </row>
    <row r="220" spans="1:16">
      <c r="A220" s="285" t="s">
        <v>159</v>
      </c>
      <c r="B220" s="285" t="s">
        <v>486</v>
      </c>
      <c r="C220" s="290">
        <v>29.961931</v>
      </c>
      <c r="D220" s="290">
        <v>1.5127109999999999</v>
      </c>
      <c r="E220" s="290">
        <v>21.015599000000002</v>
      </c>
      <c r="F220" s="290">
        <v>9.6132750000000003E-2</v>
      </c>
      <c r="G220" s="290">
        <v>10.042332</v>
      </c>
      <c r="H220" s="290">
        <v>6.0009269999999999</v>
      </c>
      <c r="I220" s="290">
        <v>1.5405340000000001</v>
      </c>
      <c r="J220" s="290">
        <v>31.223317000000002</v>
      </c>
      <c r="K220" s="290">
        <v>8.1389910000000008</v>
      </c>
      <c r="L220" s="290">
        <v>12.346921999999999</v>
      </c>
      <c r="M220" s="290">
        <v>-0.7000615</v>
      </c>
      <c r="N220" s="287">
        <v>6.9999999999999999E-4</v>
      </c>
      <c r="O220" s="288">
        <v>0.1</v>
      </c>
      <c r="P220" s="287">
        <v>2.9999999999999997E-4</v>
      </c>
    </row>
    <row r="221" spans="1:16">
      <c r="A221" s="285" t="s">
        <v>160</v>
      </c>
      <c r="B221" s="285" t="s">
        <v>486</v>
      </c>
      <c r="C221" s="290">
        <v>29.763114000000002</v>
      </c>
      <c r="D221" s="290">
        <v>1.500675</v>
      </c>
      <c r="E221" s="290">
        <v>8.6922429999999995</v>
      </c>
      <c r="F221" s="290">
        <v>10.837339999999999</v>
      </c>
      <c r="G221" s="290">
        <v>9.1624210000000001</v>
      </c>
      <c r="H221" s="290">
        <v>5.6576880000000003</v>
      </c>
      <c r="I221" s="290">
        <v>21.781217000000002</v>
      </c>
      <c r="J221" s="290">
        <v>9.0693300000000004E-2</v>
      </c>
      <c r="K221" s="290">
        <v>1.153009</v>
      </c>
      <c r="L221" s="290">
        <v>24.644539999999999</v>
      </c>
      <c r="M221" s="290">
        <v>-1.5523020000000001</v>
      </c>
      <c r="N221" s="287">
        <v>2.9999999999999997E-4</v>
      </c>
      <c r="O221" s="288">
        <v>0.11</v>
      </c>
      <c r="P221" s="287">
        <v>1E-4</v>
      </c>
    </row>
    <row r="222" spans="1:16">
      <c r="A222" s="285" t="s">
        <v>161</v>
      </c>
      <c r="B222" s="285" t="s">
        <v>486</v>
      </c>
      <c r="C222" s="290">
        <v>29.486594</v>
      </c>
      <c r="D222" s="290">
        <v>1.487493</v>
      </c>
      <c r="E222" s="290">
        <v>7.2320010000000003</v>
      </c>
      <c r="F222" s="290">
        <v>5.1254780000000002</v>
      </c>
      <c r="G222" s="290">
        <v>9.5509989999999991</v>
      </c>
      <c r="H222" s="290">
        <v>8.9332910000000005</v>
      </c>
      <c r="I222" s="290">
        <v>1.5818369999999999</v>
      </c>
      <c r="J222" s="290">
        <v>15.321334999999999</v>
      </c>
      <c r="K222" s="290">
        <v>22.555743</v>
      </c>
      <c r="L222" s="290">
        <v>8.5794029999999993E-2</v>
      </c>
      <c r="M222" s="290">
        <v>-2.4072040000000001</v>
      </c>
      <c r="N222" s="287">
        <v>1E-4</v>
      </c>
      <c r="O222" s="288">
        <v>2</v>
      </c>
      <c r="P222" s="287">
        <v>0</v>
      </c>
    </row>
    <row r="223" spans="1:16">
      <c r="A223" s="285" t="s">
        <v>162</v>
      </c>
      <c r="B223" s="285" t="s">
        <v>486</v>
      </c>
      <c r="C223" s="290">
        <v>18.101686999999998</v>
      </c>
      <c r="D223" s="290">
        <v>0.1175614</v>
      </c>
      <c r="E223" s="290">
        <v>30.587592999999998</v>
      </c>
      <c r="F223" s="290">
        <v>1.4761489999999999</v>
      </c>
      <c r="G223" s="290">
        <v>13.077119</v>
      </c>
      <c r="H223" s="290">
        <v>6.7685279999999999</v>
      </c>
      <c r="I223" s="290">
        <v>2.6519879999999998</v>
      </c>
      <c r="J223" s="290">
        <v>57.447811000000002</v>
      </c>
      <c r="K223" s="290">
        <v>6.1004990000000001</v>
      </c>
      <c r="L223" s="290">
        <v>17.649895000000001</v>
      </c>
      <c r="M223" s="290">
        <v>2.4775429999999998</v>
      </c>
      <c r="N223" s="287">
        <v>3.8999999999999998E-3</v>
      </c>
      <c r="O223" s="288">
        <v>0.08</v>
      </c>
      <c r="P223" s="287">
        <v>1.5E-3</v>
      </c>
    </row>
    <row r="224" spans="1:16">
      <c r="A224" s="285" t="s">
        <v>163</v>
      </c>
      <c r="B224" s="285" t="s">
        <v>486</v>
      </c>
      <c r="C224" s="290">
        <v>20.113616</v>
      </c>
      <c r="D224" s="290">
        <v>9.7644229999999999E-2</v>
      </c>
      <c r="E224" s="290">
        <v>30.672910000000002</v>
      </c>
      <c r="F224" s="290">
        <v>1.456734</v>
      </c>
      <c r="G224" s="290">
        <v>11.218655</v>
      </c>
      <c r="H224" s="290">
        <v>6.2949120000000001</v>
      </c>
      <c r="I224" s="290">
        <v>2.1317940000000002</v>
      </c>
      <c r="J224" s="290">
        <v>37.575414000000002</v>
      </c>
      <c r="K224" s="290">
        <v>7.6916099999999998</v>
      </c>
      <c r="L224" s="290">
        <v>14.213687999999999</v>
      </c>
      <c r="M224" s="290">
        <v>0.17010330000000001</v>
      </c>
      <c r="N224" s="287">
        <v>1.4E-3</v>
      </c>
      <c r="O224" s="288">
        <v>0.09</v>
      </c>
      <c r="P224" s="287">
        <v>5.9999999999999995E-4</v>
      </c>
    </row>
    <row r="225" spans="1:16">
      <c r="A225" s="285" t="s">
        <v>164</v>
      </c>
      <c r="B225" s="285" t="s">
        <v>486</v>
      </c>
      <c r="C225" s="290">
        <v>30.543284</v>
      </c>
      <c r="D225" s="290">
        <v>1.4437070000000001</v>
      </c>
      <c r="E225" s="290">
        <v>10.427524</v>
      </c>
      <c r="F225" s="290">
        <v>5.9614830000000003</v>
      </c>
      <c r="G225" s="290">
        <v>8.0240340000000003</v>
      </c>
      <c r="H225" s="290">
        <v>12.413968000000001</v>
      </c>
      <c r="I225" s="290">
        <v>1.852069</v>
      </c>
      <c r="J225" s="290">
        <v>29.942229000000001</v>
      </c>
      <c r="K225" s="290">
        <v>21.280457999999999</v>
      </c>
      <c r="L225" s="290">
        <v>8.9066989999999999E-2</v>
      </c>
      <c r="M225" s="290">
        <v>-1.12802</v>
      </c>
      <c r="N225" s="287">
        <v>6.9999999999999999E-4</v>
      </c>
      <c r="O225" s="288">
        <v>0.1</v>
      </c>
      <c r="P225" s="287">
        <v>2.9999999999999997E-4</v>
      </c>
    </row>
    <row r="226" spans="1:16">
      <c r="A226" s="285" t="s">
        <v>165</v>
      </c>
      <c r="B226" s="285" t="s">
        <v>486</v>
      </c>
      <c r="C226" s="290">
        <v>22.166706000000001</v>
      </c>
      <c r="D226" s="290">
        <v>8.354317E-2</v>
      </c>
      <c r="E226" s="290">
        <v>9.7815700000000003</v>
      </c>
      <c r="F226" s="290">
        <v>5.6775900000000004</v>
      </c>
      <c r="G226" s="290">
        <v>8.2772959999999998</v>
      </c>
      <c r="H226" s="290">
        <v>11.024315</v>
      </c>
      <c r="I226" s="290">
        <v>1.4991300000000001</v>
      </c>
      <c r="J226" s="290">
        <v>24.716895999999998</v>
      </c>
      <c r="K226" s="290">
        <v>30.37557</v>
      </c>
      <c r="L226" s="290">
        <v>1.4332050000000001</v>
      </c>
      <c r="M226" s="290">
        <v>-2.1005959999999999</v>
      </c>
      <c r="N226" s="287">
        <v>2.9999999999999997E-4</v>
      </c>
      <c r="O226" s="288">
        <v>0.11</v>
      </c>
      <c r="P226" s="287">
        <v>2.0000000000000001E-4</v>
      </c>
    </row>
    <row r="227" spans="1:16">
      <c r="A227" s="285" t="s">
        <v>166</v>
      </c>
      <c r="B227" s="285" t="s">
        <v>486</v>
      </c>
      <c r="C227" s="290">
        <v>22.836507000000001</v>
      </c>
      <c r="D227" s="290">
        <v>7.9821100000000006E-2</v>
      </c>
      <c r="E227" s="290">
        <v>30.170947000000002</v>
      </c>
      <c r="F227" s="290">
        <v>1.4239489999999999</v>
      </c>
      <c r="G227" s="290">
        <v>9.1971170000000004</v>
      </c>
      <c r="H227" s="290">
        <v>5.4184400000000004</v>
      </c>
      <c r="I227" s="290">
        <v>8.5196729999999992</v>
      </c>
      <c r="J227" s="290">
        <v>9.8465469999999993</v>
      </c>
      <c r="K227" s="290">
        <v>1.1058190000000001</v>
      </c>
      <c r="L227" s="290">
        <v>20.472664999999999</v>
      </c>
      <c r="M227" s="290">
        <v>-2.8302070000000001</v>
      </c>
      <c r="N227" s="287">
        <v>2.0000000000000001E-4</v>
      </c>
      <c r="O227" s="288">
        <v>0.12</v>
      </c>
      <c r="P227" s="287">
        <v>1E-4</v>
      </c>
    </row>
    <row r="228" spans="1:16">
      <c r="A228" s="285" t="s">
        <v>167</v>
      </c>
      <c r="B228" s="285" t="s">
        <v>486</v>
      </c>
      <c r="C228" s="290">
        <v>23.454944000000001</v>
      </c>
      <c r="D228" s="290">
        <v>7.6674309999999996E-2</v>
      </c>
      <c r="E228" s="290">
        <v>29.909775</v>
      </c>
      <c r="F228" s="290">
        <v>1.4141779999999999</v>
      </c>
      <c r="G228" s="290">
        <v>9.0077490000000004</v>
      </c>
      <c r="H228" s="290">
        <v>8.3861489999999996</v>
      </c>
      <c r="I228" s="290">
        <v>1.2809820000000001</v>
      </c>
      <c r="J228" s="290">
        <v>13.920619</v>
      </c>
      <c r="K228" s="290">
        <v>7.8472350000000004</v>
      </c>
      <c r="L228" s="290">
        <v>5.0524459999999998</v>
      </c>
      <c r="M228" s="290">
        <v>-3.5006970000000002</v>
      </c>
      <c r="N228" s="287">
        <v>1E-4</v>
      </c>
      <c r="O228" s="288">
        <v>2</v>
      </c>
      <c r="P228" s="287">
        <v>0</v>
      </c>
    </row>
    <row r="229" spans="1:16">
      <c r="A229" s="285" t="s">
        <v>168</v>
      </c>
      <c r="B229" s="285" t="s">
        <v>486</v>
      </c>
      <c r="C229" s="290">
        <v>31.058814000000002</v>
      </c>
      <c r="D229" s="290">
        <v>1.4065540000000001</v>
      </c>
      <c r="E229" s="290">
        <v>13.233074</v>
      </c>
      <c r="F229" s="290">
        <v>6.6355510000000004</v>
      </c>
      <c r="G229" s="290">
        <v>2.6598489999999999</v>
      </c>
      <c r="H229" s="290">
        <v>53.941467000000003</v>
      </c>
      <c r="I229" s="290">
        <v>17.91714</v>
      </c>
      <c r="J229" s="290">
        <v>0.11221109999999999</v>
      </c>
      <c r="K229" s="290">
        <v>6.6194540000000002</v>
      </c>
      <c r="L229" s="290">
        <v>17.483270000000001</v>
      </c>
      <c r="M229" s="290">
        <v>2.5083479999999998</v>
      </c>
      <c r="N229" s="287">
        <v>3.5999999999999999E-3</v>
      </c>
      <c r="O229" s="288">
        <v>0.08</v>
      </c>
      <c r="P229" s="287">
        <v>1.4E-3</v>
      </c>
    </row>
    <row r="230" spans="1:16">
      <c r="A230" s="285" t="s">
        <v>169</v>
      </c>
      <c r="B230" s="285" t="s">
        <v>486</v>
      </c>
      <c r="C230" s="290">
        <v>7.98752</v>
      </c>
      <c r="D230" s="290">
        <v>14.064444</v>
      </c>
      <c r="E230" s="290">
        <v>11.429209999999999</v>
      </c>
      <c r="F230" s="290">
        <v>6.2148599999999998</v>
      </c>
      <c r="G230" s="290">
        <v>31.201751999999999</v>
      </c>
      <c r="H230" s="290">
        <v>1.3873679999999999</v>
      </c>
      <c r="I230" s="290">
        <v>2.289364</v>
      </c>
      <c r="J230" s="290">
        <v>35.261957000000002</v>
      </c>
      <c r="K230" s="290">
        <v>20.472373000000001</v>
      </c>
      <c r="L230" s="290">
        <v>8.9409840000000004E-2</v>
      </c>
      <c r="M230" s="290">
        <v>-0.38137949999999998</v>
      </c>
      <c r="N230" s="287">
        <v>1.2999999999999999E-3</v>
      </c>
      <c r="O230" s="288">
        <v>0.1</v>
      </c>
      <c r="P230" s="287">
        <v>5.0000000000000001E-4</v>
      </c>
    </row>
    <row r="231" spans="1:16">
      <c r="A231" s="285" t="s">
        <v>170</v>
      </c>
      <c r="B231" s="285" t="s">
        <v>486</v>
      </c>
      <c r="C231" s="290">
        <v>31.099806000000001</v>
      </c>
      <c r="D231" s="290">
        <v>1.375928</v>
      </c>
      <c r="E231" s="290">
        <v>10.747169</v>
      </c>
      <c r="F231" s="290">
        <v>5.92394</v>
      </c>
      <c r="G231" s="290">
        <v>2.0581689999999999</v>
      </c>
      <c r="H231" s="290">
        <v>28.607493000000002</v>
      </c>
      <c r="I231" s="290">
        <v>21.858992000000001</v>
      </c>
      <c r="J231" s="290">
        <v>8.0714759999999997E-2</v>
      </c>
      <c r="K231" s="290">
        <v>8.1339520000000007</v>
      </c>
      <c r="L231" s="290">
        <v>12.41794</v>
      </c>
      <c r="M231" s="290">
        <v>-1.8986799999999999</v>
      </c>
      <c r="N231" s="287">
        <v>5.9999999999999995E-4</v>
      </c>
      <c r="O231" s="288">
        <v>0.11</v>
      </c>
      <c r="P231" s="287">
        <v>2.9999999999999997E-4</v>
      </c>
    </row>
    <row r="232" spans="1:16">
      <c r="A232" s="285" t="s">
        <v>171</v>
      </c>
      <c r="B232" s="285" t="s">
        <v>486</v>
      </c>
      <c r="C232" s="290">
        <v>22.92398</v>
      </c>
      <c r="D232" s="290">
        <v>7.5151780000000001E-2</v>
      </c>
      <c r="E232" s="290">
        <v>10.235935</v>
      </c>
      <c r="F232" s="290">
        <v>5.6764190000000001</v>
      </c>
      <c r="G232" s="290">
        <v>1.752947</v>
      </c>
      <c r="H232" s="290">
        <v>24.068652</v>
      </c>
      <c r="I232" s="290">
        <v>8.1784250000000007</v>
      </c>
      <c r="J232" s="290">
        <v>11.137599</v>
      </c>
      <c r="K232" s="290">
        <v>30.957205999999999</v>
      </c>
      <c r="L232" s="290">
        <v>1.3667659999999999</v>
      </c>
      <c r="M232" s="290">
        <v>-3.0488010000000001</v>
      </c>
      <c r="N232" s="287">
        <v>2.9999999999999997E-4</v>
      </c>
      <c r="O232" s="288">
        <v>0.11</v>
      </c>
      <c r="P232" s="287">
        <v>2.0000000000000001E-4</v>
      </c>
    </row>
    <row r="233" spans="1:16">
      <c r="A233" s="285" t="s">
        <v>172</v>
      </c>
      <c r="B233" s="285" t="s">
        <v>486</v>
      </c>
      <c r="C233" s="290">
        <v>30.777809000000001</v>
      </c>
      <c r="D233" s="290">
        <v>1.3588119999999999</v>
      </c>
      <c r="E233" s="290">
        <v>23.718564000000001</v>
      </c>
      <c r="F233" s="290">
        <v>7.1494849999999999E-2</v>
      </c>
      <c r="G233" s="290">
        <v>1.3906620000000001</v>
      </c>
      <c r="H233" s="290">
        <v>20.658124999999998</v>
      </c>
      <c r="I233" s="290">
        <v>9.8686360000000004</v>
      </c>
      <c r="J233" s="290">
        <v>5.4570460000000001</v>
      </c>
      <c r="K233" s="290">
        <v>8.1449750000000005</v>
      </c>
      <c r="L233" s="290">
        <v>10.072756999999999</v>
      </c>
      <c r="M233" s="290">
        <v>-3.900801</v>
      </c>
      <c r="N233" s="287">
        <v>2.0000000000000001E-4</v>
      </c>
      <c r="O233" s="288">
        <v>0.12</v>
      </c>
      <c r="P233" s="287">
        <v>1E-4</v>
      </c>
    </row>
    <row r="234" spans="1:16">
      <c r="A234" s="285" t="s">
        <v>173</v>
      </c>
      <c r="B234" s="285" t="s">
        <v>486</v>
      </c>
      <c r="C234" s="290">
        <v>24.292705000000002</v>
      </c>
      <c r="D234" s="290">
        <v>6.9078790000000001E-2</v>
      </c>
      <c r="E234" s="290">
        <v>30.561153999999998</v>
      </c>
      <c r="F234" s="290">
        <v>1.3514600000000001</v>
      </c>
      <c r="G234" s="290">
        <v>0.9921297</v>
      </c>
      <c r="H234" s="290">
        <v>17.713805000000001</v>
      </c>
      <c r="I234" s="290">
        <v>9.5977569999999996</v>
      </c>
      <c r="J234" s="290">
        <v>5.2536990000000001</v>
      </c>
      <c r="K234" s="290">
        <v>8.0702680000000004</v>
      </c>
      <c r="L234" s="290">
        <v>9.1286670000000001</v>
      </c>
      <c r="M234" s="290">
        <v>-4.514081</v>
      </c>
      <c r="N234" s="287">
        <v>1E-4</v>
      </c>
      <c r="O234" s="288">
        <v>0.13</v>
      </c>
      <c r="P234" s="287">
        <v>0</v>
      </c>
    </row>
    <row r="235" spans="1:16">
      <c r="A235" s="285" t="s">
        <v>174</v>
      </c>
      <c r="B235" s="285" t="s">
        <v>486</v>
      </c>
      <c r="C235" s="290">
        <v>8.9601489999999995</v>
      </c>
      <c r="D235" s="290">
        <v>5.0100170000000004</v>
      </c>
      <c r="E235" s="290">
        <v>8.0841130000000003</v>
      </c>
      <c r="F235" s="290">
        <v>8.0288039999999992</v>
      </c>
      <c r="G235" s="290">
        <v>24.743888999999999</v>
      </c>
      <c r="H235" s="290">
        <v>6.730216E-2</v>
      </c>
      <c r="I235" s="290">
        <v>0.90784770000000004</v>
      </c>
      <c r="J235" s="290">
        <v>12.978012</v>
      </c>
      <c r="K235" s="290">
        <v>30.299001000000001</v>
      </c>
      <c r="L235" s="290">
        <v>1.343969</v>
      </c>
      <c r="M235" s="290">
        <v>-4.9950000000000001</v>
      </c>
      <c r="N235" s="287">
        <v>1E-4</v>
      </c>
      <c r="O235" s="288">
        <v>2</v>
      </c>
      <c r="P235" s="287">
        <v>0</v>
      </c>
    </row>
    <row r="236" spans="1:16">
      <c r="A236" s="285" t="s">
        <v>175</v>
      </c>
      <c r="B236" s="285" t="s">
        <v>486</v>
      </c>
      <c r="C236" s="290">
        <v>31.512440999999999</v>
      </c>
      <c r="D236" s="290">
        <v>1.338055</v>
      </c>
      <c r="E236" s="290">
        <v>13.457917999999999</v>
      </c>
      <c r="F236" s="290">
        <v>6.5238639999999997</v>
      </c>
      <c r="G236" s="290">
        <v>7.1699989999999998</v>
      </c>
      <c r="H236" s="290">
        <v>17.140646</v>
      </c>
      <c r="I236" s="290">
        <v>2.6234479999999998</v>
      </c>
      <c r="J236" s="290">
        <v>51.066701000000002</v>
      </c>
      <c r="K236" s="290">
        <v>17.892575000000001</v>
      </c>
      <c r="L236" s="290">
        <v>0.1051373</v>
      </c>
      <c r="M236" s="290">
        <v>2.3405300000000002</v>
      </c>
      <c r="N236" s="287">
        <v>3.3999999999999998E-3</v>
      </c>
      <c r="O236" s="288">
        <v>0.08</v>
      </c>
      <c r="P236" s="287">
        <v>1.2999999999999999E-3</v>
      </c>
    </row>
    <row r="237" spans="1:16">
      <c r="A237" s="285" t="s">
        <v>176</v>
      </c>
      <c r="B237" s="285" t="s">
        <v>486</v>
      </c>
      <c r="C237" s="290">
        <v>21.317934999999999</v>
      </c>
      <c r="D237" s="290">
        <v>7.9083109999999998E-2</v>
      </c>
      <c r="E237" s="290">
        <v>11.703265</v>
      </c>
      <c r="F237" s="290">
        <v>6.1541499999999996</v>
      </c>
      <c r="G237" s="290">
        <v>2.371712</v>
      </c>
      <c r="H237" s="290">
        <v>33.284301999999997</v>
      </c>
      <c r="I237" s="290">
        <v>8.3524200000000004</v>
      </c>
      <c r="J237" s="290">
        <v>13.855888999999999</v>
      </c>
      <c r="K237" s="290">
        <v>31.714117000000002</v>
      </c>
      <c r="L237" s="290">
        <v>1.3191329999999999</v>
      </c>
      <c r="M237" s="290">
        <v>-1.4604539999999999</v>
      </c>
      <c r="N237" s="287">
        <v>1.1000000000000001E-3</v>
      </c>
      <c r="O237" s="288">
        <v>0.1</v>
      </c>
      <c r="P237" s="287">
        <v>5.0000000000000001E-4</v>
      </c>
    </row>
    <row r="238" spans="1:16">
      <c r="A238" s="285" t="s">
        <v>177</v>
      </c>
      <c r="B238" s="285" t="s">
        <v>486</v>
      </c>
      <c r="C238" s="290">
        <v>31.635611000000001</v>
      </c>
      <c r="D238" s="290">
        <v>1.309223</v>
      </c>
      <c r="E238" s="290">
        <v>23.064575000000001</v>
      </c>
      <c r="F238" s="290">
        <v>7.0405850000000006E-2</v>
      </c>
      <c r="G238" s="290">
        <v>2.170363</v>
      </c>
      <c r="H238" s="290">
        <v>27.381782999999999</v>
      </c>
      <c r="I238" s="290">
        <v>11.099829</v>
      </c>
      <c r="J238" s="290">
        <v>5.8988480000000001</v>
      </c>
      <c r="K238" s="290">
        <v>8.3634780000000006</v>
      </c>
      <c r="L238" s="290">
        <v>12.367723</v>
      </c>
      <c r="M238" s="290">
        <v>-3.3343720000000001</v>
      </c>
      <c r="N238" s="287">
        <v>5.9999999999999995E-4</v>
      </c>
      <c r="O238" s="288">
        <v>0.11</v>
      </c>
      <c r="P238" s="287">
        <v>2.0000000000000001E-4</v>
      </c>
    </row>
    <row r="239" spans="1:16">
      <c r="A239" s="285" t="s">
        <v>178</v>
      </c>
      <c r="B239" s="285" t="s">
        <v>486</v>
      </c>
      <c r="C239" s="290">
        <v>1.8990800000000001</v>
      </c>
      <c r="D239" s="290">
        <v>23.328700999999999</v>
      </c>
      <c r="E239" s="290">
        <v>8.2588620000000006</v>
      </c>
      <c r="F239" s="290">
        <v>11.201359</v>
      </c>
      <c r="G239" s="290">
        <v>31.51418</v>
      </c>
      <c r="H239" s="290">
        <v>1.301377</v>
      </c>
      <c r="I239" s="290">
        <v>10.678537</v>
      </c>
      <c r="J239" s="290">
        <v>5.679621</v>
      </c>
      <c r="K239" s="290">
        <v>24.407530000000001</v>
      </c>
      <c r="L239" s="290">
        <v>6.4968650000000003E-2</v>
      </c>
      <c r="M239" s="290">
        <v>-4.7584619999999997</v>
      </c>
      <c r="N239" s="287">
        <v>2.9999999999999997E-4</v>
      </c>
      <c r="O239" s="288">
        <v>0.11</v>
      </c>
      <c r="P239" s="287">
        <v>1E-4</v>
      </c>
    </row>
    <row r="240" spans="1:16">
      <c r="A240" s="285" t="s">
        <v>179</v>
      </c>
      <c r="B240" s="285" t="s">
        <v>486</v>
      </c>
      <c r="C240" s="290">
        <v>10.424903</v>
      </c>
      <c r="D240" s="290">
        <v>5.4830889999999997</v>
      </c>
      <c r="E240" s="290">
        <v>8.0482779999999998</v>
      </c>
      <c r="F240" s="290">
        <v>10.232649</v>
      </c>
      <c r="G240" s="290">
        <v>31.355295999999999</v>
      </c>
      <c r="H240" s="290">
        <v>1.294632</v>
      </c>
      <c r="I240" s="290">
        <v>1.5753790000000001</v>
      </c>
      <c r="J240" s="290">
        <v>20.324833999999999</v>
      </c>
      <c r="K240" s="290">
        <v>25.391912000000001</v>
      </c>
      <c r="L240" s="290">
        <v>6.150332E-2</v>
      </c>
      <c r="M240" s="290">
        <v>-5.7959110000000003</v>
      </c>
      <c r="N240" s="287">
        <v>2.0000000000000001E-4</v>
      </c>
      <c r="O240" s="288">
        <v>0.12</v>
      </c>
      <c r="P240" s="287">
        <v>1E-4</v>
      </c>
    </row>
    <row r="241" spans="1:16">
      <c r="A241" s="285" t="s">
        <v>180</v>
      </c>
      <c r="B241" s="285" t="s">
        <v>486</v>
      </c>
      <c r="C241" s="290">
        <v>26.069617000000001</v>
      </c>
      <c r="D241" s="290">
        <v>5.9335470000000001E-2</v>
      </c>
      <c r="E241" s="290">
        <v>31.159849999999999</v>
      </c>
      <c r="F241" s="290">
        <v>1.2884679999999999</v>
      </c>
      <c r="G241" s="290">
        <v>7.738003</v>
      </c>
      <c r="H241" s="290">
        <v>9.3916310000000003</v>
      </c>
      <c r="I241" s="290">
        <v>10.330721</v>
      </c>
      <c r="J241" s="290">
        <v>5.3014720000000004</v>
      </c>
      <c r="K241" s="290">
        <v>1.2096739999999999</v>
      </c>
      <c r="L241" s="290">
        <v>17.943631</v>
      </c>
      <c r="M241" s="290">
        <v>-6.5079330000000004</v>
      </c>
      <c r="N241" s="287">
        <v>1E-4</v>
      </c>
      <c r="O241" s="288">
        <v>0.12</v>
      </c>
      <c r="P241" s="287">
        <v>0</v>
      </c>
    </row>
    <row r="242" spans="1:16">
      <c r="A242" s="285" t="s">
        <v>181</v>
      </c>
      <c r="B242" s="285" t="s">
        <v>486</v>
      </c>
      <c r="C242" s="290">
        <v>26.493389000000001</v>
      </c>
      <c r="D242" s="290">
        <v>5.8068969999999998E-2</v>
      </c>
      <c r="E242" s="290">
        <v>30.926392</v>
      </c>
      <c r="F242" s="290">
        <v>1.2825569999999999</v>
      </c>
      <c r="G242" s="290">
        <v>10.383468000000001</v>
      </c>
      <c r="H242" s="290">
        <v>5.1292819999999999</v>
      </c>
      <c r="I242" s="290">
        <v>0.81135900000000005</v>
      </c>
      <c r="J242" s="290">
        <v>15.843636999999999</v>
      </c>
      <c r="K242" s="290">
        <v>7.3379909999999997</v>
      </c>
      <c r="L242" s="290">
        <v>8.6291239999999991</v>
      </c>
      <c r="M242" s="290">
        <v>-6.9526250000000003</v>
      </c>
      <c r="N242" s="287">
        <v>1E-4</v>
      </c>
      <c r="O242" s="288">
        <v>2</v>
      </c>
      <c r="P242" s="287">
        <v>0</v>
      </c>
    </row>
    <row r="243" spans="1:16">
      <c r="A243" s="285" t="s">
        <v>182</v>
      </c>
      <c r="B243" s="285" t="s">
        <v>486</v>
      </c>
      <c r="C243" s="290">
        <v>26.71679</v>
      </c>
      <c r="D243" s="290">
        <v>5.7441930000000002E-2</v>
      </c>
      <c r="E243" s="290">
        <v>10.465643</v>
      </c>
      <c r="F243" s="290">
        <v>4.9542900000000003</v>
      </c>
      <c r="G243" s="290">
        <v>0.49215179999999997</v>
      </c>
      <c r="H243" s="290">
        <v>12.586834</v>
      </c>
      <c r="I243" s="290">
        <v>6.8612169999999999</v>
      </c>
      <c r="J243" s="290">
        <v>7.8406070000000003</v>
      </c>
      <c r="K243" s="290">
        <v>30.651306000000002</v>
      </c>
      <c r="L243" s="290">
        <v>1.2766360000000001</v>
      </c>
      <c r="M243" s="290">
        <v>-7.1871029999999996</v>
      </c>
      <c r="N243" s="287">
        <v>1E-4</v>
      </c>
      <c r="O243" s="288">
        <v>2</v>
      </c>
      <c r="P243" s="287">
        <v>0</v>
      </c>
    </row>
    <row r="244" spans="1:16">
      <c r="A244" s="285" t="s">
        <v>183</v>
      </c>
      <c r="B244" s="285" t="s">
        <v>486</v>
      </c>
      <c r="C244" s="290">
        <v>13.797731000000001</v>
      </c>
      <c r="D244" s="290">
        <v>6.4295010000000001</v>
      </c>
      <c r="E244" s="290">
        <v>7.6948020000000001</v>
      </c>
      <c r="F244" s="290">
        <v>16.718492999999999</v>
      </c>
      <c r="G244" s="290">
        <v>18.163191999999999</v>
      </c>
      <c r="H244" s="290">
        <v>9.5571840000000005E-2</v>
      </c>
      <c r="I244" s="290">
        <v>2.5578509999999999</v>
      </c>
      <c r="J244" s="290">
        <v>48.657389000000002</v>
      </c>
      <c r="K244" s="290">
        <v>31.956461000000001</v>
      </c>
      <c r="L244" s="290">
        <v>1.2705010000000001</v>
      </c>
      <c r="M244" s="290">
        <v>1.8270900000000001</v>
      </c>
      <c r="N244" s="287">
        <v>3.0999999999999999E-3</v>
      </c>
      <c r="O244" s="288">
        <v>0.09</v>
      </c>
      <c r="P244" s="287">
        <v>1.1999999999999999E-3</v>
      </c>
    </row>
    <row r="245" spans="1:16">
      <c r="A245" s="285" t="s">
        <v>184</v>
      </c>
      <c r="B245" s="285" t="s">
        <v>486</v>
      </c>
      <c r="C245" s="290">
        <v>23.243669000000001</v>
      </c>
      <c r="D245" s="290">
        <v>6.5665689999999999E-2</v>
      </c>
      <c r="E245" s="290">
        <v>32.217424999999999</v>
      </c>
      <c r="F245" s="290">
        <v>1.2518149999999999</v>
      </c>
      <c r="G245" s="290">
        <v>2.39168</v>
      </c>
      <c r="H245" s="290">
        <v>31.591341</v>
      </c>
      <c r="I245" s="290">
        <v>12.097823</v>
      </c>
      <c r="J245" s="290">
        <v>6.1097900000000003</v>
      </c>
      <c r="K245" s="290">
        <v>8.7215279999999993</v>
      </c>
      <c r="L245" s="290">
        <v>13.619847</v>
      </c>
      <c r="M245" s="290">
        <v>-3.6729790000000002</v>
      </c>
      <c r="N245" s="287">
        <v>8.9999999999999998E-4</v>
      </c>
      <c r="O245" s="288">
        <v>0.1</v>
      </c>
      <c r="P245" s="287">
        <v>4.0000000000000002E-4</v>
      </c>
    </row>
    <row r="246" spans="1:16">
      <c r="A246" s="285" t="s">
        <v>185</v>
      </c>
      <c r="B246" s="285" t="s">
        <v>486</v>
      </c>
      <c r="C246" s="290">
        <v>32.157417000000002</v>
      </c>
      <c r="D246" s="290">
        <v>1.2433730000000001</v>
      </c>
      <c r="E246" s="290">
        <v>11.561244</v>
      </c>
      <c r="F246" s="290">
        <v>5.8869910000000001</v>
      </c>
      <c r="G246" s="290">
        <v>2.2010369999999999</v>
      </c>
      <c r="H246" s="290">
        <v>26.301306</v>
      </c>
      <c r="I246" s="290">
        <v>25.719062000000001</v>
      </c>
      <c r="J246" s="290">
        <v>5.7159189999999999E-2</v>
      </c>
      <c r="K246" s="290">
        <v>8.6297929999999994</v>
      </c>
      <c r="L246" s="290">
        <v>12.285556</v>
      </c>
      <c r="M246" s="290">
        <v>-6.2689859999999999</v>
      </c>
      <c r="N246" s="287">
        <v>5.0000000000000001E-4</v>
      </c>
      <c r="O246" s="288">
        <v>0.11</v>
      </c>
      <c r="P246" s="287">
        <v>2.0000000000000001E-4</v>
      </c>
    </row>
    <row r="247" spans="1:16">
      <c r="A247" s="285" t="s">
        <v>186</v>
      </c>
      <c r="B247" s="285" t="s">
        <v>486</v>
      </c>
      <c r="C247" s="290">
        <v>27.603459999999998</v>
      </c>
      <c r="D247" s="290">
        <v>5.2056779999999997E-2</v>
      </c>
      <c r="E247" s="290">
        <v>11.211169</v>
      </c>
      <c r="F247" s="290">
        <v>5.6930990000000001</v>
      </c>
      <c r="G247" s="290">
        <v>8.414695</v>
      </c>
      <c r="H247" s="290">
        <v>11.234078</v>
      </c>
      <c r="I247" s="290">
        <v>1.944858</v>
      </c>
      <c r="J247" s="290">
        <v>22.640941999999999</v>
      </c>
      <c r="K247" s="290">
        <v>32.052712</v>
      </c>
      <c r="L247" s="290">
        <v>1.2368189999999999</v>
      </c>
      <c r="M247" s="290">
        <v>-8.2271210000000004</v>
      </c>
      <c r="N247" s="287">
        <v>2.0000000000000001E-4</v>
      </c>
      <c r="O247" s="288">
        <v>0.11</v>
      </c>
      <c r="P247" s="287">
        <v>1E-4</v>
      </c>
    </row>
    <row r="248" spans="1:16">
      <c r="A248" s="285" t="s">
        <v>187</v>
      </c>
      <c r="B248" s="285" t="s">
        <v>486</v>
      </c>
      <c r="C248" s="290">
        <v>31.910333999999999</v>
      </c>
      <c r="D248" s="290">
        <v>1.2312810000000001</v>
      </c>
      <c r="E248" s="290">
        <v>11.031798</v>
      </c>
      <c r="F248" s="290">
        <v>5.5148650000000004</v>
      </c>
      <c r="G248" s="290">
        <v>8.0829450000000005</v>
      </c>
      <c r="H248" s="290">
        <v>10.359866999999999</v>
      </c>
      <c r="I248" s="290">
        <v>1.643775</v>
      </c>
      <c r="J248" s="290">
        <v>19.93103</v>
      </c>
      <c r="K248" s="290">
        <v>28.916170999999999</v>
      </c>
      <c r="L248" s="290">
        <v>4.9018520000000003E-2</v>
      </c>
      <c r="M248" s="290">
        <v>-9.5851410000000001</v>
      </c>
      <c r="N248" s="287">
        <v>1E-4</v>
      </c>
      <c r="O248" s="288">
        <v>0.12</v>
      </c>
      <c r="P248" s="287">
        <v>1E-4</v>
      </c>
    </row>
    <row r="249" spans="1:16">
      <c r="A249" s="285" t="s">
        <v>188</v>
      </c>
      <c r="B249" s="285" t="s">
        <v>486</v>
      </c>
      <c r="C249" s="290">
        <v>31.732123999999999</v>
      </c>
      <c r="D249" s="290">
        <v>1.226286</v>
      </c>
      <c r="E249" s="290">
        <v>11.01619</v>
      </c>
      <c r="F249" s="290">
        <v>5.3445119999999999</v>
      </c>
      <c r="G249" s="290">
        <v>1.3106930000000001</v>
      </c>
      <c r="H249" s="290">
        <v>17.823537999999999</v>
      </c>
      <c r="I249" s="290">
        <v>7.6363219999999998</v>
      </c>
      <c r="J249" s="290">
        <v>9.6038879999999995</v>
      </c>
      <c r="K249" s="290">
        <v>29.723880000000001</v>
      </c>
      <c r="L249" s="290">
        <v>4.732637E-2</v>
      </c>
      <c r="M249" s="290">
        <v>-10.419266</v>
      </c>
      <c r="N249" s="287">
        <v>1E-4</v>
      </c>
      <c r="O249" s="288">
        <v>2</v>
      </c>
      <c r="P249" s="287">
        <v>0</v>
      </c>
    </row>
    <row r="250" spans="1:16">
      <c r="A250" s="285" t="s">
        <v>382</v>
      </c>
      <c r="B250" s="285" t="s">
        <v>486</v>
      </c>
      <c r="C250" s="290">
        <v>12.645785999999999</v>
      </c>
      <c r="D250" s="290">
        <v>6.0739460000000003</v>
      </c>
      <c r="E250" s="290">
        <v>28.218264999999999</v>
      </c>
      <c r="F250" s="290">
        <v>4.77712E-2</v>
      </c>
      <c r="G250" s="290">
        <v>32.723241999999999</v>
      </c>
      <c r="H250" s="290">
        <v>1.1852469999999999</v>
      </c>
      <c r="I250" s="290">
        <v>2.3595609999999998</v>
      </c>
      <c r="J250" s="290">
        <v>30.139711999999999</v>
      </c>
      <c r="K250" s="290">
        <v>9.0546310000000005</v>
      </c>
      <c r="L250" s="290">
        <v>13.37918</v>
      </c>
      <c r="M250" s="290">
        <v>-9.0021959999999996</v>
      </c>
      <c r="N250" s="287">
        <v>8.0000000000000004E-4</v>
      </c>
      <c r="O250" s="288">
        <v>0.1</v>
      </c>
      <c r="P250" s="287">
        <v>2.9999999999999997E-4</v>
      </c>
    </row>
    <row r="251" spans="1:16">
      <c r="A251" s="285" t="s">
        <v>383</v>
      </c>
      <c r="B251" s="285" t="s">
        <v>486</v>
      </c>
      <c r="C251" s="290">
        <v>32.582816000000001</v>
      </c>
      <c r="D251" s="290">
        <v>1.1728749999999999</v>
      </c>
      <c r="E251" s="290">
        <v>11.899144</v>
      </c>
      <c r="F251" s="290">
        <v>5.7129979999999998</v>
      </c>
      <c r="G251" s="290">
        <v>36.289012999999997</v>
      </c>
      <c r="H251" s="290">
        <v>3.506811E-2</v>
      </c>
      <c r="I251" s="290">
        <v>1.9000980000000001</v>
      </c>
      <c r="J251" s="290">
        <v>22.055465999999999</v>
      </c>
      <c r="K251" s="290">
        <v>8.5749589999999998</v>
      </c>
      <c r="L251" s="290">
        <v>11.255243</v>
      </c>
      <c r="M251" s="290">
        <v>-17.246203999999999</v>
      </c>
      <c r="N251" s="287">
        <v>2.0000000000000001E-4</v>
      </c>
      <c r="O251" s="288">
        <v>0.11</v>
      </c>
      <c r="P251" s="287">
        <v>1E-4</v>
      </c>
    </row>
    <row r="252" spans="1:16">
      <c r="A252" s="285" t="s">
        <v>189</v>
      </c>
      <c r="B252" s="285" t="s">
        <v>486</v>
      </c>
      <c r="C252" s="290">
        <v>32.452140999999997</v>
      </c>
      <c r="D252" s="290">
        <v>1.168517</v>
      </c>
      <c r="E252" s="290">
        <v>11.782233</v>
      </c>
      <c r="F252" s="290">
        <v>5.5523189999999998</v>
      </c>
      <c r="G252" s="290">
        <v>1.6012409999999999</v>
      </c>
      <c r="H252" s="290">
        <v>19.601552000000002</v>
      </c>
      <c r="I252" s="290">
        <v>38.446486</v>
      </c>
      <c r="J252" s="290">
        <v>3.2747650000000003E-2</v>
      </c>
      <c r="K252" s="290">
        <v>8.1553500000000003</v>
      </c>
      <c r="L252" s="290">
        <v>10.4757</v>
      </c>
      <c r="M252" s="290">
        <v>-19.437536000000001</v>
      </c>
      <c r="N252" s="287">
        <v>1E-4</v>
      </c>
      <c r="O252" s="288">
        <v>2</v>
      </c>
      <c r="P252" s="287">
        <v>0</v>
      </c>
    </row>
    <row r="253" spans="1:16">
      <c r="A253" s="285" t="s">
        <v>190</v>
      </c>
      <c r="B253" s="285" t="s">
        <v>486</v>
      </c>
      <c r="C253" s="290">
        <v>11.810366999999999</v>
      </c>
      <c r="D253" s="290">
        <v>5.3917140000000003</v>
      </c>
      <c r="E253" s="290">
        <v>7.6254600000000003</v>
      </c>
      <c r="F253" s="290">
        <v>9.8003359999999997</v>
      </c>
      <c r="G253" s="290">
        <v>39.356752</v>
      </c>
      <c r="H253" s="290">
        <v>3.1861170000000001E-2</v>
      </c>
      <c r="I253" s="290">
        <v>1.2829809999999999</v>
      </c>
      <c r="J253" s="290">
        <v>17.707331</v>
      </c>
      <c r="K253" s="290">
        <v>32.286777000000001</v>
      </c>
      <c r="L253" s="290">
        <v>1.1646920000000001</v>
      </c>
      <c r="M253" s="290">
        <v>-20.362373999999999</v>
      </c>
      <c r="N253" s="287">
        <v>1E-4</v>
      </c>
      <c r="O253" s="288">
        <v>2</v>
      </c>
      <c r="P253" s="287">
        <v>0</v>
      </c>
    </row>
    <row r="254" spans="1:16">
      <c r="A254" s="285" t="s">
        <v>191</v>
      </c>
      <c r="B254" s="285" t="s">
        <v>486</v>
      </c>
      <c r="C254" s="290">
        <v>33.21369</v>
      </c>
      <c r="D254" s="290">
        <v>1.128344</v>
      </c>
      <c r="E254" s="290">
        <v>31.930643</v>
      </c>
      <c r="F254" s="290">
        <v>3.8533209999999998E-2</v>
      </c>
      <c r="G254" s="290">
        <v>2.4055680000000002</v>
      </c>
      <c r="H254" s="290">
        <v>35.673582000000003</v>
      </c>
      <c r="I254" s="290">
        <v>13.978675000000001</v>
      </c>
      <c r="J254" s="290">
        <v>6.2384649999999997</v>
      </c>
      <c r="K254" s="290">
        <v>9.4334009999999999</v>
      </c>
      <c r="L254" s="290">
        <v>14.576444</v>
      </c>
      <c r="M254" s="290">
        <v>-12.963274</v>
      </c>
      <c r="N254" s="287">
        <v>1.4E-3</v>
      </c>
      <c r="O254" s="288">
        <v>0.1</v>
      </c>
      <c r="P254" s="287">
        <v>5.0000000000000001E-4</v>
      </c>
    </row>
    <row r="255" spans="1:16">
      <c r="A255" s="285" t="s">
        <v>192</v>
      </c>
      <c r="B255" s="285" t="s">
        <v>486</v>
      </c>
      <c r="C255" s="290">
        <v>2.2849729999999999</v>
      </c>
      <c r="D255" s="290">
        <v>28.892118</v>
      </c>
      <c r="E255" s="290">
        <v>33.245337999999997</v>
      </c>
      <c r="F255" s="290">
        <v>1.1194010000000001</v>
      </c>
      <c r="G255" s="290">
        <v>13.356560999999999</v>
      </c>
      <c r="H255" s="290">
        <v>6.036835</v>
      </c>
      <c r="I255" s="290">
        <v>48.796790999999999</v>
      </c>
      <c r="J255" s="290">
        <v>2.3556219999999999E-2</v>
      </c>
      <c r="K255" s="290">
        <v>9.3326209999999996</v>
      </c>
      <c r="L255" s="290">
        <v>13.144824</v>
      </c>
      <c r="M255" s="290">
        <v>-30.016864999999999</v>
      </c>
      <c r="N255" s="287">
        <v>5.9999999999999995E-4</v>
      </c>
      <c r="O255" s="288">
        <v>0.1</v>
      </c>
      <c r="P255" s="287">
        <v>2.0000000000000001E-4</v>
      </c>
    </row>
    <row r="256" spans="1:16">
      <c r="A256" s="285" t="s">
        <v>193</v>
      </c>
      <c r="B256" s="285" t="s">
        <v>486</v>
      </c>
      <c r="C256" s="290">
        <v>33.204808</v>
      </c>
      <c r="D256" s="290">
        <v>1.113615</v>
      </c>
      <c r="E256" s="290">
        <v>69.910589999999999</v>
      </c>
      <c r="F256" s="290">
        <v>1.5868989999999999E-2</v>
      </c>
      <c r="G256" s="290">
        <v>12.969635</v>
      </c>
      <c r="H256" s="290">
        <v>5.8750220000000004</v>
      </c>
      <c r="I256" s="290">
        <v>9.0802479999999992</v>
      </c>
      <c r="J256" s="290">
        <v>12.098998999999999</v>
      </c>
      <c r="K256" s="290">
        <v>2.0621179999999999</v>
      </c>
      <c r="L256" s="290">
        <v>24.587757</v>
      </c>
      <c r="M256" s="290">
        <v>-51.227668999999999</v>
      </c>
      <c r="N256" s="287">
        <v>2.9999999999999997E-4</v>
      </c>
      <c r="O256" s="288">
        <v>0.11</v>
      </c>
      <c r="P256" s="287">
        <v>1E-4</v>
      </c>
    </row>
    <row r="257" spans="1:16">
      <c r="A257" s="285" t="s">
        <v>384</v>
      </c>
      <c r="B257" s="285" t="s">
        <v>486</v>
      </c>
      <c r="C257" s="290">
        <v>32.993414000000001</v>
      </c>
      <c r="D257" s="290">
        <v>1.106185</v>
      </c>
      <c r="E257" s="290">
        <v>12.713889999999999</v>
      </c>
      <c r="F257" s="290">
        <v>5.586481</v>
      </c>
      <c r="G257" s="290">
        <v>99.558036000000001</v>
      </c>
      <c r="H257" s="290">
        <v>1.088389E-2</v>
      </c>
      <c r="I257" s="290">
        <v>1.460601</v>
      </c>
      <c r="J257" s="290">
        <v>19.395295000000001</v>
      </c>
      <c r="K257" s="290">
        <v>8.2173079999999992</v>
      </c>
      <c r="L257" s="290">
        <v>10.591862000000001</v>
      </c>
      <c r="M257" s="290">
        <v>-80.943298999999996</v>
      </c>
      <c r="N257" s="287">
        <v>2.0000000000000001E-4</v>
      </c>
      <c r="O257" s="288">
        <v>2</v>
      </c>
      <c r="P257" s="287">
        <v>0</v>
      </c>
    </row>
    <row r="258" spans="1:16">
      <c r="A258" s="285" t="s">
        <v>194</v>
      </c>
      <c r="B258" s="285" t="s">
        <v>486</v>
      </c>
      <c r="C258" s="290">
        <v>33.374000000000002</v>
      </c>
      <c r="D258" s="290">
        <v>1.0722780000000001</v>
      </c>
      <c r="E258" s="290">
        <v>8.9161269999999995</v>
      </c>
      <c r="F258" s="290">
        <v>15.367889</v>
      </c>
      <c r="G258" s="290">
        <v>15.626257000000001</v>
      </c>
      <c r="H258" s="290">
        <v>6.1667160000000001</v>
      </c>
      <c r="I258" s="290">
        <v>2.2776740000000002</v>
      </c>
      <c r="J258" s="290">
        <v>43.254480999999998</v>
      </c>
      <c r="K258" s="290">
        <v>30.086939000000001</v>
      </c>
      <c r="L258" s="290">
        <v>3.8678329999999997E-2</v>
      </c>
      <c r="M258" s="290">
        <v>-11.283313</v>
      </c>
      <c r="N258" s="287">
        <v>2.5000000000000001E-3</v>
      </c>
      <c r="O258" s="288">
        <v>0.09</v>
      </c>
      <c r="P258" s="287">
        <v>8.9999999999999998E-4</v>
      </c>
    </row>
    <row r="259" spans="1:16">
      <c r="A259" s="285" t="s">
        <v>195</v>
      </c>
      <c r="B259" s="285" t="s">
        <v>486</v>
      </c>
      <c r="C259" s="290">
        <v>14.219759</v>
      </c>
      <c r="D259" s="290">
        <v>5.9897130000000001</v>
      </c>
      <c r="E259" s="290">
        <v>9.5527219999999993</v>
      </c>
      <c r="F259" s="290">
        <v>12.918448</v>
      </c>
      <c r="G259" s="290">
        <v>2.1777120000000001</v>
      </c>
      <c r="H259" s="290">
        <v>27.815728</v>
      </c>
      <c r="I259" s="290">
        <v>33.795752</v>
      </c>
      <c r="J259" s="290">
        <v>1.0544480000000001</v>
      </c>
      <c r="K259" s="290">
        <v>-99.009775000000005</v>
      </c>
      <c r="L259" s="290">
        <v>-9.4262979999999996E-3</v>
      </c>
      <c r="M259" s="290">
        <v>117.263366</v>
      </c>
      <c r="N259" s="287">
        <v>5.0000000000000001E-4</v>
      </c>
      <c r="O259" s="288">
        <v>0.1</v>
      </c>
      <c r="P259" s="287">
        <v>2.0000000000000001E-4</v>
      </c>
    </row>
    <row r="260" spans="1:16">
      <c r="A260" s="285" t="s">
        <v>196</v>
      </c>
      <c r="B260" s="285" t="s">
        <v>486</v>
      </c>
      <c r="C260" s="290">
        <v>33.533454999999996</v>
      </c>
      <c r="D260" s="290">
        <v>1.0147170000000001</v>
      </c>
      <c r="E260" s="290">
        <v>16.603247</v>
      </c>
      <c r="F260" s="290">
        <v>5.9073370000000001</v>
      </c>
      <c r="G260" s="290">
        <v>8.5295719999999999</v>
      </c>
      <c r="H260" s="290">
        <v>15.310556</v>
      </c>
      <c r="I260" s="290">
        <v>2.8034629999999998</v>
      </c>
      <c r="J260" s="290">
        <v>43.149880000000003</v>
      </c>
      <c r="K260" s="290">
        <v>34.159837000000003</v>
      </c>
      <c r="L260" s="290">
        <v>3.093854E-2</v>
      </c>
      <c r="M260" s="290">
        <v>-15.632137</v>
      </c>
      <c r="N260" s="287">
        <v>2.8E-3</v>
      </c>
      <c r="O260" s="288">
        <v>0.09</v>
      </c>
      <c r="P260" s="287">
        <v>1E-3</v>
      </c>
    </row>
    <row r="261" spans="1:16">
      <c r="A261" s="285" t="s">
        <v>385</v>
      </c>
      <c r="B261" s="285" t="s">
        <v>486</v>
      </c>
      <c r="C261" s="290">
        <v>15.010475</v>
      </c>
      <c r="D261" s="290">
        <v>5.8163530000000003</v>
      </c>
      <c r="E261" s="290">
        <v>34.335588999999999</v>
      </c>
      <c r="F261" s="290">
        <v>0.98708770000000001</v>
      </c>
      <c r="G261" s="290">
        <v>1.739681</v>
      </c>
      <c r="H261" s="290">
        <v>23.415849999999999</v>
      </c>
      <c r="I261" s="290">
        <v>9.3388030000000004</v>
      </c>
      <c r="J261" s="290">
        <v>11.911981000000001</v>
      </c>
      <c r="K261" s="290">
        <v>-11.291503000000001</v>
      </c>
      <c r="L261" s="290">
        <v>-6.0832600000000001E-2</v>
      </c>
      <c r="M261" s="290">
        <v>28.866827000000001</v>
      </c>
      <c r="N261" s="287">
        <v>5.0000000000000001E-4</v>
      </c>
      <c r="O261" s="288">
        <v>2</v>
      </c>
      <c r="P261" s="287">
        <v>1E-4</v>
      </c>
    </row>
    <row r="262" spans="1:16">
      <c r="A262" s="285" t="s">
        <v>386</v>
      </c>
      <c r="B262" s="285" t="s">
        <v>486</v>
      </c>
      <c r="C262" s="290">
        <v>16.883597999999999</v>
      </c>
      <c r="D262" s="290">
        <v>5.5464690000000001</v>
      </c>
      <c r="E262" s="290">
        <v>34.137041000000004</v>
      </c>
      <c r="F262" s="290">
        <v>0.94406159999999995</v>
      </c>
      <c r="G262" s="290">
        <v>8.4737270000000002</v>
      </c>
      <c r="H262" s="290">
        <v>13.579632</v>
      </c>
      <c r="I262" s="290">
        <v>2.852725</v>
      </c>
      <c r="J262" s="290">
        <v>33.992497999999998</v>
      </c>
      <c r="K262" s="290">
        <v>-22.464780999999999</v>
      </c>
      <c r="L262" s="290">
        <v>-3.2492460000000001E-2</v>
      </c>
      <c r="M262" s="290">
        <v>40.116357000000001</v>
      </c>
      <c r="N262" s="287">
        <v>1.4E-3</v>
      </c>
      <c r="O262" s="288">
        <v>0.1</v>
      </c>
      <c r="P262" s="287">
        <v>5.0000000000000001E-4</v>
      </c>
    </row>
    <row r="263" spans="1:16">
      <c r="A263" s="285" t="s">
        <v>387</v>
      </c>
      <c r="B263" s="285" t="s">
        <v>486</v>
      </c>
      <c r="C263" s="290">
        <v>16.236211000000001</v>
      </c>
      <c r="D263" s="290">
        <v>5.666461</v>
      </c>
      <c r="E263" s="290">
        <v>34.843300999999997</v>
      </c>
      <c r="F263" s="290">
        <v>0.92438379999999998</v>
      </c>
      <c r="G263" s="290">
        <v>8.8812390000000008</v>
      </c>
      <c r="H263" s="290">
        <v>11.291086</v>
      </c>
      <c r="I263" s="290">
        <v>1.1354839999999999</v>
      </c>
      <c r="J263" s="290">
        <v>21.045020999999998</v>
      </c>
      <c r="K263" s="290">
        <v>-3.9227799999999999</v>
      </c>
      <c r="L263" s="290">
        <v>-0.1215393</v>
      </c>
      <c r="M263" s="290">
        <v>20.826561000000002</v>
      </c>
      <c r="N263" s="287">
        <v>6.9999999999999999E-4</v>
      </c>
      <c r="O263" s="288">
        <v>2</v>
      </c>
      <c r="P263" s="287">
        <v>1E-4</v>
      </c>
    </row>
    <row r="264" spans="1:16">
      <c r="A264" s="285" t="s">
        <v>388</v>
      </c>
      <c r="B264" s="285" t="s">
        <v>486</v>
      </c>
      <c r="C264" s="290">
        <v>34.647083000000002</v>
      </c>
      <c r="D264" s="290">
        <v>0.88157379999999996</v>
      </c>
      <c r="E264" s="290">
        <v>17.320087999999998</v>
      </c>
      <c r="F264" s="290">
        <v>5.2392209999999997</v>
      </c>
      <c r="G264" s="290">
        <v>8.3207350000000009</v>
      </c>
      <c r="H264" s="290">
        <v>12.347386999999999</v>
      </c>
      <c r="I264" s="290">
        <v>2.8234880000000002</v>
      </c>
      <c r="J264" s="290">
        <v>28.172127</v>
      </c>
      <c r="K264" s="290">
        <v>-4.9783099999999996</v>
      </c>
      <c r="L264" s="290">
        <v>-9.8339880000000005E-2</v>
      </c>
      <c r="M264" s="290">
        <v>21.866185999999999</v>
      </c>
      <c r="N264" s="287">
        <v>8.0000000000000004E-4</v>
      </c>
      <c r="O264" s="288">
        <v>0.11</v>
      </c>
      <c r="P264" s="287">
        <v>2.9999999999999997E-4</v>
      </c>
    </row>
    <row r="265" spans="1:16">
      <c r="A265" s="285" t="s">
        <v>389</v>
      </c>
      <c r="B265" s="285" t="s">
        <v>486</v>
      </c>
      <c r="C265" s="290">
        <v>35.310896</v>
      </c>
      <c r="D265" s="290">
        <v>0.86573920000000004</v>
      </c>
      <c r="E265" s="290">
        <v>8.2397100000000005</v>
      </c>
      <c r="F265" s="290">
        <v>10.847412</v>
      </c>
      <c r="G265" s="290">
        <v>-1.534797</v>
      </c>
      <c r="H265" s="290">
        <v>-0.19746179999999999</v>
      </c>
      <c r="I265" s="290">
        <v>0.52887629999999997</v>
      </c>
      <c r="J265" s="290">
        <v>20.440338000000001</v>
      </c>
      <c r="K265" s="290">
        <v>17.678248</v>
      </c>
      <c r="L265" s="290">
        <v>5.505433</v>
      </c>
      <c r="M265" s="290">
        <v>17.777139999999999</v>
      </c>
      <c r="N265" s="287">
        <v>8.9999999999999998E-4</v>
      </c>
      <c r="O265" s="288">
        <v>2</v>
      </c>
      <c r="P265" s="287">
        <v>2.0000000000000001E-4</v>
      </c>
    </row>
    <row r="266" spans="1:16">
      <c r="A266" s="285" t="s">
        <v>390</v>
      </c>
      <c r="B266" s="285" t="s">
        <v>486</v>
      </c>
      <c r="C266" s="290">
        <v>34.316558000000001</v>
      </c>
      <c r="D266" s="290">
        <v>0.84621519999999995</v>
      </c>
      <c r="E266" s="290">
        <v>19.867681999999999</v>
      </c>
      <c r="F266" s="290">
        <v>5.1805459999999997</v>
      </c>
      <c r="G266" s="290">
        <v>3.8098429999999999</v>
      </c>
      <c r="H266" s="290">
        <v>39.631104000000001</v>
      </c>
      <c r="I266" s="290">
        <v>6.876811</v>
      </c>
      <c r="J266" s="290">
        <v>15.120483</v>
      </c>
      <c r="K266" s="290">
        <v>-17.130281</v>
      </c>
      <c r="L266" s="290">
        <v>-3.5063749999999998E-2</v>
      </c>
      <c r="M266" s="290">
        <v>34.256706000000001</v>
      </c>
      <c r="N266" s="287">
        <v>2.8999999999999998E-3</v>
      </c>
      <c r="O266" s="288">
        <v>0.09</v>
      </c>
      <c r="P266" s="287">
        <v>1.1000000000000001E-3</v>
      </c>
    </row>
    <row r="267" spans="1:16">
      <c r="A267" s="285" t="s">
        <v>391</v>
      </c>
      <c r="B267" s="285" t="s">
        <v>486</v>
      </c>
      <c r="C267" s="290">
        <v>17.842922999999999</v>
      </c>
      <c r="D267" s="290">
        <v>4.9625890000000004</v>
      </c>
      <c r="E267" s="290">
        <v>8.1360410000000005</v>
      </c>
      <c r="F267" s="290">
        <v>11.410539999999999</v>
      </c>
      <c r="G267" s="290">
        <v>35.078679000000001</v>
      </c>
      <c r="H267" s="290">
        <v>0.82535930000000002</v>
      </c>
      <c r="I267" s="290">
        <v>2.7335940000000001</v>
      </c>
      <c r="J267" s="290">
        <v>24.109165000000001</v>
      </c>
      <c r="K267" s="290">
        <v>-1.8240460000000001</v>
      </c>
      <c r="L267" s="290">
        <v>-0.17111409999999999</v>
      </c>
      <c r="M267" s="290">
        <v>18.032406000000002</v>
      </c>
      <c r="N267" s="287">
        <v>4.0000000000000002E-4</v>
      </c>
      <c r="O267" s="288">
        <v>0.11</v>
      </c>
      <c r="P267" s="287">
        <v>2.0000000000000001E-4</v>
      </c>
    </row>
    <row r="268" spans="1:16">
      <c r="A268" s="285" t="s">
        <v>392</v>
      </c>
      <c r="B268" s="285" t="s">
        <v>486</v>
      </c>
      <c r="C268" s="290">
        <v>19.099972000000001</v>
      </c>
      <c r="D268" s="290">
        <v>5.3176759999999996</v>
      </c>
      <c r="E268" s="290">
        <v>7.4105549999999996</v>
      </c>
      <c r="F268" s="290">
        <v>10.383331</v>
      </c>
      <c r="G268" s="290">
        <v>0.15784719999999999</v>
      </c>
      <c r="H268" s="290">
        <v>22.087917000000001</v>
      </c>
      <c r="I268" s="290">
        <v>-0.5745036</v>
      </c>
      <c r="J268" s="290">
        <v>-0.29617690000000002</v>
      </c>
      <c r="K268" s="290">
        <v>35.719276000000001</v>
      </c>
      <c r="L268" s="290">
        <v>0.81112079999999998</v>
      </c>
      <c r="M268" s="290">
        <v>16.186941000000001</v>
      </c>
      <c r="N268" s="287">
        <v>1E-3</v>
      </c>
      <c r="O268" s="288">
        <v>2</v>
      </c>
      <c r="P268" s="287">
        <v>2.0000000000000001E-4</v>
      </c>
    </row>
    <row r="269" spans="1:16">
      <c r="A269" s="285" t="s">
        <v>197</v>
      </c>
      <c r="B269" s="285" t="s">
        <v>486</v>
      </c>
      <c r="C269" s="290">
        <v>15.196351</v>
      </c>
      <c r="D269" s="290">
        <v>5.670269E-2</v>
      </c>
      <c r="E269" s="290">
        <v>33.562207000000001</v>
      </c>
      <c r="F269" s="290">
        <v>0.815913</v>
      </c>
      <c r="G269" s="290">
        <v>21.146599999999999</v>
      </c>
      <c r="H269" s="290">
        <v>4.9613829999999997</v>
      </c>
      <c r="I269" s="290">
        <v>4.6347740000000002</v>
      </c>
      <c r="J269" s="290">
        <v>45.732326999999998</v>
      </c>
      <c r="K269" s="290">
        <v>6.9305539999999999</v>
      </c>
      <c r="L269" s="290">
        <v>18.259653</v>
      </c>
      <c r="M269" s="290">
        <v>2.5255190000000001</v>
      </c>
      <c r="N269" s="287">
        <v>4.4000000000000003E-3</v>
      </c>
      <c r="O269" s="288">
        <v>0.09</v>
      </c>
      <c r="P269" s="287">
        <v>1.6999999999999999E-3</v>
      </c>
    </row>
    <row r="270" spans="1:16">
      <c r="A270" s="285" t="s">
        <v>393</v>
      </c>
      <c r="B270" s="285" t="s">
        <v>486</v>
      </c>
      <c r="C270" s="290">
        <v>34.961796</v>
      </c>
      <c r="D270" s="290">
        <v>0.78447719999999999</v>
      </c>
      <c r="E270" s="290">
        <v>6.7290640000000002</v>
      </c>
      <c r="F270" s="290">
        <v>13.836592</v>
      </c>
      <c r="G270" s="290">
        <v>20.255424999999999</v>
      </c>
      <c r="H270" s="290">
        <v>4.8262479999999996</v>
      </c>
      <c r="I270" s="290">
        <v>3.949621</v>
      </c>
      <c r="J270" s="290">
        <v>32.147215000000003</v>
      </c>
      <c r="K270" s="290">
        <v>-2.2017370000000001</v>
      </c>
      <c r="L270" s="290">
        <v>-0.1430255</v>
      </c>
      <c r="M270" s="290">
        <v>18.304279999999999</v>
      </c>
      <c r="N270" s="287">
        <v>1.6999999999999999E-3</v>
      </c>
      <c r="O270" s="288">
        <v>0.1</v>
      </c>
      <c r="P270" s="287">
        <v>6.9999999999999999E-4</v>
      </c>
    </row>
    <row r="271" spans="1:16">
      <c r="A271" s="285" t="s">
        <v>394</v>
      </c>
      <c r="B271" s="285" t="s">
        <v>486</v>
      </c>
      <c r="C271" s="290">
        <v>35.431412999999999</v>
      </c>
      <c r="D271" s="290">
        <v>0.77454179999999995</v>
      </c>
      <c r="E271" s="290">
        <v>7.9692020000000001</v>
      </c>
      <c r="F271" s="290">
        <v>10.660881</v>
      </c>
      <c r="G271" s="290">
        <v>18.398088000000001</v>
      </c>
      <c r="H271" s="290">
        <v>4.7059730000000002</v>
      </c>
      <c r="I271" s="290">
        <v>2.5912099999999998</v>
      </c>
      <c r="J271" s="290">
        <v>21.106725000000001</v>
      </c>
      <c r="K271" s="290">
        <v>-0.73170080000000004</v>
      </c>
      <c r="L271" s="290">
        <v>-0.25428529999999999</v>
      </c>
      <c r="M271" s="290">
        <v>16.341570000000001</v>
      </c>
      <c r="N271" s="287">
        <v>4.0000000000000002E-4</v>
      </c>
      <c r="O271" s="288">
        <v>2</v>
      </c>
      <c r="P271" s="287">
        <v>1E-4</v>
      </c>
    </row>
    <row r="272" spans="1:16">
      <c r="A272" s="285" t="s">
        <v>395</v>
      </c>
      <c r="B272" s="285" t="s">
        <v>486</v>
      </c>
      <c r="C272" s="290">
        <v>36.045175999999998</v>
      </c>
      <c r="D272" s="290">
        <v>0.76075349999999997</v>
      </c>
      <c r="E272" s="290">
        <v>6.5095939999999999</v>
      </c>
      <c r="F272" s="290">
        <v>9.8239509999999992</v>
      </c>
      <c r="G272" s="290">
        <v>20.370266000000001</v>
      </c>
      <c r="H272" s="290">
        <v>5.1053179999999996</v>
      </c>
      <c r="I272" s="290">
        <v>3.134704E-2</v>
      </c>
      <c r="J272" s="290">
        <v>27.697333</v>
      </c>
      <c r="K272" s="290">
        <v>-0.18753239999999999</v>
      </c>
      <c r="L272" s="290">
        <v>-0.42859069999999999</v>
      </c>
      <c r="M272" s="290">
        <v>15.231227000000001</v>
      </c>
      <c r="N272" s="287">
        <v>1.1000000000000001E-3</v>
      </c>
      <c r="O272" s="288">
        <v>2</v>
      </c>
      <c r="P272" s="287">
        <v>2.0000000000000001E-4</v>
      </c>
    </row>
    <row r="273" spans="1:16">
      <c r="A273" s="285" t="s">
        <v>396</v>
      </c>
      <c r="B273" s="285" t="s">
        <v>486</v>
      </c>
      <c r="C273" s="290">
        <v>19.980134</v>
      </c>
      <c r="D273" s="290">
        <v>0.4782341</v>
      </c>
      <c r="E273" s="290">
        <v>21.306314</v>
      </c>
      <c r="F273" s="290">
        <v>5.3085779999999998</v>
      </c>
      <c r="G273" s="290">
        <v>3.9228429999999999</v>
      </c>
      <c r="H273" s="290">
        <v>83.289607000000004</v>
      </c>
      <c r="I273" s="290">
        <v>8.4345350000000003</v>
      </c>
      <c r="J273" s="290">
        <v>25.853106</v>
      </c>
      <c r="K273" s="290">
        <v>19.622765000000001</v>
      </c>
      <c r="L273" s="290">
        <v>1.079922</v>
      </c>
      <c r="M273" s="290">
        <v>12.71875</v>
      </c>
      <c r="N273" s="287">
        <v>1.5599999999999999E-2</v>
      </c>
      <c r="O273" s="288">
        <v>7.0000000000000007E-2</v>
      </c>
      <c r="P273" s="287">
        <v>5.0000000000000001E-3</v>
      </c>
    </row>
    <row r="274" spans="1:16">
      <c r="A274" s="285" t="s">
        <v>198</v>
      </c>
      <c r="B274" s="285" t="s">
        <v>486</v>
      </c>
      <c r="C274" s="290">
        <v>22.116313999999999</v>
      </c>
      <c r="D274" s="290">
        <v>4.2455299999999996</v>
      </c>
      <c r="E274" s="290">
        <v>34.910223000000002</v>
      </c>
      <c r="F274" s="290">
        <v>0.69630259999999999</v>
      </c>
      <c r="G274" s="290">
        <v>4.815563</v>
      </c>
      <c r="H274" s="290">
        <v>41.103718000000001</v>
      </c>
      <c r="I274" s="290">
        <v>8.7376880000000003</v>
      </c>
      <c r="J274" s="290">
        <v>18.970139</v>
      </c>
      <c r="K274" s="290">
        <v>-1.4615450000000001</v>
      </c>
      <c r="L274" s="290">
        <v>-0.14959700000000001</v>
      </c>
      <c r="M274" s="290">
        <v>16.87913</v>
      </c>
      <c r="N274" s="287">
        <v>2.8999999999999998E-3</v>
      </c>
      <c r="O274" s="288">
        <v>0.09</v>
      </c>
      <c r="P274" s="287">
        <v>1.1000000000000001E-3</v>
      </c>
    </row>
    <row r="275" spans="1:16">
      <c r="A275" s="285" t="s">
        <v>397</v>
      </c>
      <c r="B275" s="285" t="s">
        <v>486</v>
      </c>
      <c r="C275" s="290">
        <v>35.568778999999999</v>
      </c>
      <c r="D275" s="290">
        <v>0.63575630000000005</v>
      </c>
      <c r="E275" s="290">
        <v>22.394749999999998</v>
      </c>
      <c r="F275" s="290">
        <v>3.8919809999999999</v>
      </c>
      <c r="G275" s="290">
        <v>4.5146769999999998</v>
      </c>
      <c r="H275" s="290">
        <v>33.959932999999999</v>
      </c>
      <c r="I275" s="290">
        <v>9.3843940000000003</v>
      </c>
      <c r="J275" s="290">
        <v>17.497159</v>
      </c>
      <c r="K275" s="290">
        <v>-2.698267E-2</v>
      </c>
      <c r="L275" s="290">
        <v>-0.6345267</v>
      </c>
      <c r="M275" s="290">
        <v>14.163186</v>
      </c>
      <c r="N275" s="287">
        <v>1.2999999999999999E-3</v>
      </c>
      <c r="O275" s="288">
        <v>0.1</v>
      </c>
      <c r="P275" s="287">
        <v>5.0000000000000001E-4</v>
      </c>
    </row>
    <row r="276" spans="1:16">
      <c r="A276" s="285" t="s">
        <v>398</v>
      </c>
      <c r="B276" s="285" t="s">
        <v>486</v>
      </c>
      <c r="C276" s="290">
        <v>35.536465</v>
      </c>
      <c r="D276" s="290">
        <v>0.59314940000000005</v>
      </c>
      <c r="E276" s="290">
        <v>22.618303999999998</v>
      </c>
      <c r="F276" s="290">
        <v>3.5940029999999998</v>
      </c>
      <c r="G276" s="290">
        <v>10.502312</v>
      </c>
      <c r="H276" s="290">
        <v>16.465903999999998</v>
      </c>
      <c r="I276" s="290">
        <v>3.6919719999999998</v>
      </c>
      <c r="J276" s="290">
        <v>29.752106000000001</v>
      </c>
      <c r="K276" s="290">
        <v>-2.943302E-4</v>
      </c>
      <c r="L276" s="290">
        <v>-1.4287000000000001</v>
      </c>
      <c r="M276" s="290">
        <v>13.650874</v>
      </c>
      <c r="N276" s="287">
        <v>8.0000000000000004E-4</v>
      </c>
      <c r="O276" s="288">
        <v>2</v>
      </c>
      <c r="P276" s="287">
        <v>2.9999999999999997E-4</v>
      </c>
    </row>
    <row r="277" spans="1:16">
      <c r="A277" s="285" t="s">
        <v>399</v>
      </c>
      <c r="B277" s="285" t="s">
        <v>486</v>
      </c>
      <c r="C277" s="290">
        <v>10.072984999999999</v>
      </c>
      <c r="D277" s="290">
        <v>21.442874</v>
      </c>
      <c r="E277" s="290">
        <v>1.6989559999999999</v>
      </c>
      <c r="F277" s="290">
        <v>59.200726000000003</v>
      </c>
      <c r="G277" s="290">
        <v>22.530892000000001</v>
      </c>
      <c r="H277" s="290">
        <v>3.376223</v>
      </c>
      <c r="I277" s="290">
        <v>35.501336000000002</v>
      </c>
      <c r="J277" s="290">
        <v>0.55971950000000004</v>
      </c>
      <c r="K277" s="290">
        <v>4.8254659999999996</v>
      </c>
      <c r="L277" s="290">
        <v>11.043219000000001</v>
      </c>
      <c r="M277" s="290">
        <v>13.368861000000001</v>
      </c>
      <c r="N277" s="287">
        <v>1.14E-2</v>
      </c>
      <c r="O277" s="288">
        <v>2</v>
      </c>
      <c r="P277" s="287">
        <v>1.6999999999999999E-3</v>
      </c>
    </row>
    <row r="278" spans="1:16">
      <c r="A278" s="285" t="s">
        <v>199</v>
      </c>
      <c r="B278" s="285" t="s">
        <v>486</v>
      </c>
      <c r="C278" s="290">
        <v>3.8486199999999999</v>
      </c>
      <c r="D278" s="290">
        <v>29.168574</v>
      </c>
      <c r="E278" s="290">
        <v>35.598824</v>
      </c>
      <c r="F278" s="290">
        <v>0.56730570000000002</v>
      </c>
      <c r="G278" s="290">
        <v>22.667096000000001</v>
      </c>
      <c r="H278" s="290">
        <v>3.4353579999999999</v>
      </c>
      <c r="I278" s="290">
        <v>11.37312</v>
      </c>
      <c r="J278" s="290">
        <v>15.497475</v>
      </c>
      <c r="K278" s="290">
        <v>-4.1602620000000002E-5</v>
      </c>
      <c r="L278" s="290">
        <v>-1.7799039999999999</v>
      </c>
      <c r="M278" s="290">
        <v>13.511656</v>
      </c>
      <c r="N278" s="287">
        <v>8.0000000000000004E-4</v>
      </c>
      <c r="O278" s="288">
        <v>0.1</v>
      </c>
      <c r="P278" s="287">
        <v>2.9999999999999997E-4</v>
      </c>
    </row>
    <row r="279" spans="1:16">
      <c r="A279" s="285" t="s">
        <v>200</v>
      </c>
      <c r="B279" s="285" t="s">
        <v>486</v>
      </c>
      <c r="C279" s="290">
        <v>2.3845749999999999</v>
      </c>
      <c r="D279" s="290">
        <v>27.852917999999999</v>
      </c>
      <c r="E279" s="290">
        <v>12.069276</v>
      </c>
      <c r="F279" s="290">
        <v>15.648446</v>
      </c>
      <c r="G279" s="290">
        <v>35.358901000000003</v>
      </c>
      <c r="H279" s="290">
        <v>0.55996000000000001</v>
      </c>
      <c r="I279" s="290">
        <v>22.779702</v>
      </c>
      <c r="J279" s="290">
        <v>3.3401700000000001</v>
      </c>
      <c r="K279" s="290">
        <v>-1.934954E-7</v>
      </c>
      <c r="L279" s="290">
        <v>-2.9725069999999998</v>
      </c>
      <c r="M279" s="290">
        <v>13.407750999999999</v>
      </c>
      <c r="N279" s="287">
        <v>1.1999999999999999E-3</v>
      </c>
      <c r="O279" s="288">
        <v>2</v>
      </c>
      <c r="P279" s="287">
        <v>5.0000000000000001E-4</v>
      </c>
    </row>
    <row r="280" spans="1:16">
      <c r="A280" s="285" t="s">
        <v>400</v>
      </c>
      <c r="B280" s="285" t="s">
        <v>486</v>
      </c>
      <c r="C280" s="290">
        <v>35.683114000000003</v>
      </c>
      <c r="D280" s="290">
        <v>0.54422879999999996</v>
      </c>
      <c r="E280" s="290">
        <v>22.691137000000001</v>
      </c>
      <c r="F280" s="290">
        <v>3.3012830000000002</v>
      </c>
      <c r="G280" s="290">
        <v>11.985308</v>
      </c>
      <c r="H280" s="290">
        <v>14.473852000000001</v>
      </c>
      <c r="I280" s="290">
        <v>4.2372519999999998</v>
      </c>
      <c r="J280" s="290">
        <v>27.799887999999999</v>
      </c>
      <c r="K280" s="290">
        <v>-5.6685320000000001E-6</v>
      </c>
      <c r="L280" s="290">
        <v>-2.1446100000000001</v>
      </c>
      <c r="M280" s="290">
        <v>13.402229999999999</v>
      </c>
      <c r="N280" s="287">
        <v>1E-3</v>
      </c>
      <c r="O280" s="288">
        <v>0.11</v>
      </c>
      <c r="P280" s="287">
        <v>4.0000000000000002E-4</v>
      </c>
    </row>
    <row r="281" spans="1:16">
      <c r="A281" s="285" t="s">
        <v>201</v>
      </c>
      <c r="B281" s="285" t="s">
        <v>486</v>
      </c>
      <c r="C281" s="290">
        <v>35.451276</v>
      </c>
      <c r="D281" s="290">
        <v>0.53799269999999999</v>
      </c>
      <c r="E281" s="290">
        <v>22.766079000000001</v>
      </c>
      <c r="F281" s="290">
        <v>3.2129310000000002</v>
      </c>
      <c r="G281" s="290">
        <v>12.471465999999999</v>
      </c>
      <c r="H281" s="290">
        <v>14.52059</v>
      </c>
      <c r="I281" s="290">
        <v>2.9951569999999998</v>
      </c>
      <c r="J281" s="290">
        <v>25.985993000000001</v>
      </c>
      <c r="K281" s="290">
        <v>-2.254378E-9</v>
      </c>
      <c r="L281" s="290">
        <v>-3.9369000000000001</v>
      </c>
      <c r="M281" s="290">
        <v>13.31606</v>
      </c>
      <c r="N281" s="287">
        <v>8.9999999999999998E-4</v>
      </c>
      <c r="O281" s="288">
        <v>1.27</v>
      </c>
      <c r="P281" s="287">
        <v>4.0000000000000002E-4</v>
      </c>
    </row>
    <row r="282" spans="1:16">
      <c r="A282" s="285" t="s">
        <v>202</v>
      </c>
      <c r="B282" s="285" t="s">
        <v>486</v>
      </c>
      <c r="C282" s="290">
        <v>300</v>
      </c>
      <c r="D282" s="290">
        <v>11.152193</v>
      </c>
      <c r="E282" s="290">
        <v>23.190950000000001</v>
      </c>
      <c r="F282" s="290">
        <v>3.1456900000000001</v>
      </c>
      <c r="G282" s="290">
        <v>4.224958</v>
      </c>
      <c r="H282" s="290">
        <v>21.775666999999999</v>
      </c>
      <c r="I282" s="290">
        <v>35.205123</v>
      </c>
      <c r="J282" s="290">
        <v>0.53231209999999995</v>
      </c>
      <c r="K282" s="290">
        <v>-289.867729</v>
      </c>
      <c r="L282" s="290">
        <v>11.062621999999999</v>
      </c>
      <c r="M282" s="290">
        <v>13.246596</v>
      </c>
      <c r="N282" s="287">
        <v>5.8999999999999999E-3</v>
      </c>
      <c r="O282" s="288">
        <v>2</v>
      </c>
      <c r="P282" s="287">
        <v>5.9999999999999995E-4</v>
      </c>
    </row>
    <row r="283" spans="1:16">
      <c r="A283" s="285" t="s">
        <v>401</v>
      </c>
      <c r="B283" s="285" t="s">
        <v>486</v>
      </c>
      <c r="C283" s="290">
        <v>35.785130000000002</v>
      </c>
      <c r="D283" s="290">
        <v>0.52318960000000003</v>
      </c>
      <c r="E283" s="290">
        <v>22.715091000000001</v>
      </c>
      <c r="F283" s="290">
        <v>3.1867700000000001</v>
      </c>
      <c r="G283" s="290">
        <v>12.525287000000001</v>
      </c>
      <c r="H283" s="290">
        <v>13.515917999999999</v>
      </c>
      <c r="I283" s="290">
        <v>4.6627999999999998</v>
      </c>
      <c r="J283" s="290">
        <v>26.356061</v>
      </c>
      <c r="K283" s="290">
        <v>-8.4447199999999999E-7</v>
      </c>
      <c r="L283" s="290">
        <v>-2.488067</v>
      </c>
      <c r="M283" s="290">
        <v>13.310516</v>
      </c>
      <c r="N283" s="287">
        <v>1.2999999999999999E-3</v>
      </c>
      <c r="O283" s="288">
        <v>0.11</v>
      </c>
      <c r="P283" s="287">
        <v>4.0000000000000002E-4</v>
      </c>
    </row>
    <row r="284" spans="1:16">
      <c r="A284" s="285" t="s">
        <v>203</v>
      </c>
      <c r="B284" s="285" t="s">
        <v>486</v>
      </c>
      <c r="C284" s="290">
        <v>3.612101</v>
      </c>
      <c r="D284" s="290">
        <v>24.321936000000001</v>
      </c>
      <c r="E284" s="290">
        <v>22.755507000000001</v>
      </c>
      <c r="F284" s="290">
        <v>3.1038019999999999</v>
      </c>
      <c r="G284" s="290">
        <v>35.563223999999998</v>
      </c>
      <c r="H284" s="290">
        <v>0.51779160000000002</v>
      </c>
      <c r="I284" s="290">
        <v>12.832735</v>
      </c>
      <c r="J284" s="290">
        <v>13.488251</v>
      </c>
      <c r="K284" s="290">
        <v>-3.7953679999999999E-12</v>
      </c>
      <c r="L284" s="290">
        <v>-5.37256</v>
      </c>
      <c r="M284" s="290">
        <v>13.236295</v>
      </c>
      <c r="N284" s="287">
        <v>8.0000000000000004E-4</v>
      </c>
      <c r="O284" s="288">
        <v>1.31</v>
      </c>
      <c r="P284" s="287">
        <v>4.0000000000000002E-4</v>
      </c>
    </row>
    <row r="285" spans="1:16">
      <c r="A285" s="285" t="s">
        <v>204</v>
      </c>
      <c r="B285" s="285" t="s">
        <v>486</v>
      </c>
      <c r="C285" s="290">
        <v>35.356076000000002</v>
      </c>
      <c r="D285" s="290">
        <v>0.51376029999999995</v>
      </c>
      <c r="E285" s="290">
        <v>23.334755999999999</v>
      </c>
      <c r="F285" s="290">
        <v>3.0586549999999999</v>
      </c>
      <c r="G285" s="290">
        <v>14.487726</v>
      </c>
      <c r="H285" s="290">
        <v>11.621605000000001</v>
      </c>
      <c r="I285" s="290">
        <v>4.7057510000000002</v>
      </c>
      <c r="J285" s="290">
        <v>20.678253000000002</v>
      </c>
      <c r="K285" s="290">
        <v>-4.0753139999999997</v>
      </c>
      <c r="L285" s="290">
        <v>8.0914529999999996</v>
      </c>
      <c r="M285" s="290">
        <v>13.190763</v>
      </c>
      <c r="N285" s="287">
        <v>3.7000000000000002E-3</v>
      </c>
      <c r="O285" s="288">
        <v>2</v>
      </c>
      <c r="P285" s="287">
        <v>4.0000000000000002E-4</v>
      </c>
    </row>
    <row r="286" spans="1:16">
      <c r="A286" s="285" t="s">
        <v>205</v>
      </c>
      <c r="B286" s="285" t="s">
        <v>486</v>
      </c>
      <c r="C286" s="290">
        <v>24.131630999999999</v>
      </c>
      <c r="D286" s="290">
        <v>3.0217369999999999</v>
      </c>
      <c r="E286" s="290">
        <v>35.136667000000003</v>
      </c>
      <c r="F286" s="290">
        <v>0.51027599999999995</v>
      </c>
      <c r="G286" s="290">
        <v>19.339745000000001</v>
      </c>
      <c r="H286" s="290">
        <v>10.077603</v>
      </c>
      <c r="I286" s="290">
        <v>5.5559789999999998</v>
      </c>
      <c r="J286" s="290">
        <v>18.316020000000002</v>
      </c>
      <c r="K286" s="290">
        <v>-11.324719999999999</v>
      </c>
      <c r="L286" s="290">
        <v>7.8588459999999998</v>
      </c>
      <c r="M286" s="290">
        <v>13.160473</v>
      </c>
      <c r="N286" s="287">
        <v>3.2000000000000002E-3</v>
      </c>
      <c r="O286" s="288">
        <v>2</v>
      </c>
      <c r="P286" s="287">
        <v>4.0000000000000002E-4</v>
      </c>
    </row>
    <row r="287" spans="1:16">
      <c r="A287" s="285" t="s">
        <v>402</v>
      </c>
      <c r="B287" s="285" t="s">
        <v>486</v>
      </c>
      <c r="C287" s="290">
        <v>22.602679999999999</v>
      </c>
      <c r="D287" s="290">
        <v>3.0594779999999999</v>
      </c>
      <c r="E287" s="290">
        <v>35.855742999999997</v>
      </c>
      <c r="F287" s="290">
        <v>0.50153700000000001</v>
      </c>
      <c r="G287" s="290">
        <v>7.3539269999999997</v>
      </c>
      <c r="H287" s="290">
        <v>20.210902999999998</v>
      </c>
      <c r="I287" s="290">
        <v>10.271471</v>
      </c>
      <c r="J287" s="290">
        <v>11.524659</v>
      </c>
      <c r="K287" s="290">
        <v>0.72944549999999997</v>
      </c>
      <c r="L287" s="290">
        <v>36.491948999999998</v>
      </c>
      <c r="M287" s="290">
        <v>13.186723000000001</v>
      </c>
      <c r="N287" s="287">
        <v>3.0000000000000001E-3</v>
      </c>
      <c r="O287" s="288">
        <v>2</v>
      </c>
      <c r="P287" s="287">
        <v>2.9999999999999997E-4</v>
      </c>
    </row>
    <row r="288" spans="1:16">
      <c r="A288" s="285" t="s">
        <v>206</v>
      </c>
      <c r="B288" s="285" t="s">
        <v>486</v>
      </c>
      <c r="C288" s="290">
        <v>13.191936999999999</v>
      </c>
      <c r="D288" s="290">
        <v>12.561133999999999</v>
      </c>
      <c r="E288" s="290">
        <v>22.758700000000001</v>
      </c>
      <c r="F288" s="290">
        <v>3.0090029999999999</v>
      </c>
      <c r="G288" s="290">
        <v>35.687764000000001</v>
      </c>
      <c r="H288" s="290">
        <v>0.49896839999999998</v>
      </c>
      <c r="I288" s="290">
        <v>4.1970099999999997</v>
      </c>
      <c r="J288" s="290">
        <v>22.894005</v>
      </c>
      <c r="K288" s="290">
        <v>-6.5710190000000002E-17</v>
      </c>
      <c r="L288" s="290">
        <v>-7.9250340000000001</v>
      </c>
      <c r="M288" s="290">
        <v>13.16427</v>
      </c>
      <c r="N288" s="287">
        <v>6.9999999999999999E-4</v>
      </c>
      <c r="O288" s="288">
        <v>1.35</v>
      </c>
      <c r="P288" s="287">
        <v>4.0000000000000002E-4</v>
      </c>
    </row>
    <row r="289" spans="1:16">
      <c r="A289" s="285" t="s">
        <v>207</v>
      </c>
      <c r="B289" s="285" t="s">
        <v>486</v>
      </c>
      <c r="C289" s="290">
        <v>35.524095000000003</v>
      </c>
      <c r="D289" s="290">
        <v>0.49633850000000002</v>
      </c>
      <c r="E289" s="290">
        <v>24.369802</v>
      </c>
      <c r="F289" s="290">
        <v>3.0097290000000001</v>
      </c>
      <c r="G289" s="290">
        <v>13.029709</v>
      </c>
      <c r="H289" s="290">
        <v>11.71264</v>
      </c>
      <c r="I289" s="290">
        <v>4.4486400000000001</v>
      </c>
      <c r="J289" s="290">
        <v>20.238479000000002</v>
      </c>
      <c r="K289" s="290">
        <v>-2.5112890000000001</v>
      </c>
      <c r="L289" s="290">
        <v>4.9572269999999996</v>
      </c>
      <c r="M289" s="290">
        <v>13.138775000000001</v>
      </c>
      <c r="N289" s="287">
        <v>2.3E-3</v>
      </c>
      <c r="O289" s="288">
        <v>2</v>
      </c>
      <c r="P289" s="287">
        <v>2.9999999999999997E-4</v>
      </c>
    </row>
    <row r="290" spans="1:16">
      <c r="A290" s="285" t="s">
        <v>208</v>
      </c>
      <c r="B290" s="285" t="s">
        <v>486</v>
      </c>
      <c r="C290" s="290">
        <v>35.322020000000002</v>
      </c>
      <c r="D290" s="290">
        <v>0.49332670000000001</v>
      </c>
      <c r="E290" s="290">
        <v>25.556367999999999</v>
      </c>
      <c r="F290" s="290">
        <v>2.9857520000000002</v>
      </c>
      <c r="G290" s="290">
        <v>13.150337</v>
      </c>
      <c r="H290" s="290">
        <v>10.963004</v>
      </c>
      <c r="I290" s="290">
        <v>4.6142909999999997</v>
      </c>
      <c r="J290" s="290">
        <v>18.297792000000001</v>
      </c>
      <c r="K290" s="290">
        <v>-4.7556969999999996</v>
      </c>
      <c r="L290" s="290">
        <v>5.1046959999999997</v>
      </c>
      <c r="M290" s="290">
        <v>13.112482</v>
      </c>
      <c r="N290" s="287">
        <v>2E-3</v>
      </c>
      <c r="O290" s="288">
        <v>2</v>
      </c>
      <c r="P290" s="287">
        <v>2.9999999999999997E-4</v>
      </c>
    </row>
    <row r="291" spans="1:16">
      <c r="A291" s="285" t="s">
        <v>209</v>
      </c>
      <c r="B291" s="285" t="s">
        <v>486</v>
      </c>
      <c r="C291" s="290">
        <v>13.321588999999999</v>
      </c>
      <c r="D291" s="290">
        <v>10.265383</v>
      </c>
      <c r="E291" s="290">
        <v>35.093820000000001</v>
      </c>
      <c r="F291" s="290">
        <v>0.48998700000000001</v>
      </c>
      <c r="G291" s="290">
        <v>27.118592</v>
      </c>
      <c r="H291" s="290">
        <v>2.9629259999999999</v>
      </c>
      <c r="I291" s="290">
        <v>4.8564420000000004</v>
      </c>
      <c r="J291" s="290">
        <v>16.692222999999998</v>
      </c>
      <c r="K291" s="290">
        <v>-7.4742899999999999</v>
      </c>
      <c r="L291" s="290">
        <v>5.0376110000000001</v>
      </c>
      <c r="M291" s="290">
        <v>13.083686</v>
      </c>
      <c r="N291" s="287">
        <v>1.8E-3</v>
      </c>
      <c r="O291" s="288">
        <v>2</v>
      </c>
      <c r="P291" s="287">
        <v>2.0000000000000001E-4</v>
      </c>
    </row>
    <row r="292" spans="1:16">
      <c r="A292" s="285" t="s">
        <v>403</v>
      </c>
      <c r="B292" s="285" t="s">
        <v>486</v>
      </c>
      <c r="C292" s="290">
        <v>11.341122</v>
      </c>
      <c r="D292" s="290">
        <v>11.007534</v>
      </c>
      <c r="E292" s="290">
        <v>22.661124999999998</v>
      </c>
      <c r="F292" s="290">
        <v>2.9773809999999998</v>
      </c>
      <c r="G292" s="290">
        <v>0.51849590000000001</v>
      </c>
      <c r="H292" s="290">
        <v>37.787951</v>
      </c>
      <c r="I292" s="290">
        <v>7.3709119999999997</v>
      </c>
      <c r="J292" s="290">
        <v>20.071321999999999</v>
      </c>
      <c r="K292" s="290">
        <v>35.985120000000002</v>
      </c>
      <c r="L292" s="290">
        <v>0.4838481</v>
      </c>
      <c r="M292" s="290">
        <v>13.123264000000001</v>
      </c>
      <c r="N292" s="287">
        <v>1.5E-3</v>
      </c>
      <c r="O292" s="288">
        <v>2</v>
      </c>
      <c r="P292" s="287">
        <v>2.0000000000000001E-4</v>
      </c>
    </row>
    <row r="293" spans="1:16">
      <c r="A293" s="285" t="s">
        <v>210</v>
      </c>
      <c r="B293" s="285" t="s">
        <v>486</v>
      </c>
      <c r="C293" s="290">
        <v>35.814081999999999</v>
      </c>
      <c r="D293" s="290">
        <v>0.48103509999999999</v>
      </c>
      <c r="E293" s="290">
        <v>1.589836E-2</v>
      </c>
      <c r="F293" s="290">
        <v>68.544257000000002</v>
      </c>
      <c r="G293" s="290">
        <v>22.765153000000002</v>
      </c>
      <c r="H293" s="290">
        <v>2.922628</v>
      </c>
      <c r="I293" s="290">
        <v>5.0899219999999996</v>
      </c>
      <c r="J293" s="290">
        <v>21.114322000000001</v>
      </c>
      <c r="K293" s="290">
        <v>13.222381</v>
      </c>
      <c r="L293" s="290">
        <v>11.615618</v>
      </c>
      <c r="M293" s="290">
        <v>13.092632</v>
      </c>
      <c r="N293" s="287">
        <v>8.0000000000000004E-4</v>
      </c>
      <c r="O293" s="288">
        <v>2</v>
      </c>
      <c r="P293" s="287">
        <v>2.9999999999999997E-4</v>
      </c>
    </row>
    <row r="294" spans="1:16">
      <c r="A294" s="285" t="s">
        <v>211</v>
      </c>
      <c r="B294" s="285" t="s">
        <v>486</v>
      </c>
      <c r="C294" s="290">
        <v>35.699858999999996</v>
      </c>
      <c r="D294" s="290">
        <v>0.47976859999999999</v>
      </c>
      <c r="E294" s="290">
        <v>13.382132</v>
      </c>
      <c r="F294" s="290">
        <v>11.160297999999999</v>
      </c>
      <c r="G294" s="290">
        <v>4.7070160000000003</v>
      </c>
      <c r="H294" s="290">
        <v>19.452594999999999</v>
      </c>
      <c r="I294" s="290">
        <v>300</v>
      </c>
      <c r="J294" s="290">
        <v>3.2089750000000001</v>
      </c>
      <c r="K294" s="290">
        <v>-277.877027</v>
      </c>
      <c r="L294" s="290">
        <v>3.2429239999999999</v>
      </c>
      <c r="M294" s="290">
        <v>13.087681999999999</v>
      </c>
      <c r="N294" s="287">
        <v>1.2999999999999999E-3</v>
      </c>
      <c r="O294" s="288">
        <v>2</v>
      </c>
      <c r="P294" s="287">
        <v>2.9999999999999997E-4</v>
      </c>
    </row>
    <row r="295" spans="1:16">
      <c r="A295" s="285" t="s">
        <v>212</v>
      </c>
      <c r="B295" s="285" t="s">
        <v>486</v>
      </c>
      <c r="C295" s="290">
        <v>4.3993409999999997</v>
      </c>
      <c r="D295" s="290">
        <v>17.921503000000001</v>
      </c>
      <c r="E295" s="290">
        <v>13.466646000000001</v>
      </c>
      <c r="F295" s="290">
        <v>10.745206</v>
      </c>
      <c r="G295" s="290">
        <v>35.521676999999997</v>
      </c>
      <c r="H295" s="290">
        <v>0.47733059999999999</v>
      </c>
      <c r="I295" s="290">
        <v>300</v>
      </c>
      <c r="J295" s="290">
        <v>3.2507470000000001</v>
      </c>
      <c r="K295" s="290">
        <v>-278.45524499999999</v>
      </c>
      <c r="L295" s="290">
        <v>3.298975</v>
      </c>
      <c r="M295" s="290">
        <v>13.067383</v>
      </c>
      <c r="N295" s="287">
        <v>1.2999999999999999E-3</v>
      </c>
      <c r="O295" s="288">
        <v>2</v>
      </c>
      <c r="P295" s="287">
        <v>2.0000000000000001E-4</v>
      </c>
    </row>
    <row r="296" spans="1:16">
      <c r="A296" s="285" t="s">
        <v>213</v>
      </c>
      <c r="B296" s="285" t="s">
        <v>486</v>
      </c>
      <c r="C296" s="290">
        <v>13.586558999999999</v>
      </c>
      <c r="D296" s="290">
        <v>10.271668</v>
      </c>
      <c r="E296" s="290">
        <v>35.305056999999998</v>
      </c>
      <c r="F296" s="290">
        <v>0.47433690000000001</v>
      </c>
      <c r="G296" s="290">
        <v>46.647602999999997</v>
      </c>
      <c r="H296" s="290">
        <v>3.086468</v>
      </c>
      <c r="I296" s="290">
        <v>4.2527889999999999</v>
      </c>
      <c r="J296" s="290">
        <v>16.561581</v>
      </c>
      <c r="K296" s="290">
        <v>-25.833362999999999</v>
      </c>
      <c r="L296" s="290">
        <v>3.6174010000000001</v>
      </c>
      <c r="M296" s="290">
        <v>13.041219999999999</v>
      </c>
      <c r="N296" s="287">
        <v>1.1000000000000001E-3</v>
      </c>
      <c r="O296" s="288">
        <v>2</v>
      </c>
      <c r="P296" s="287">
        <v>2.0000000000000001E-4</v>
      </c>
    </row>
    <row r="297" spans="1:16">
      <c r="A297" s="285" t="s">
        <v>404</v>
      </c>
      <c r="B297" s="285" t="s">
        <v>486</v>
      </c>
      <c r="C297" s="290">
        <v>22.656787999999999</v>
      </c>
      <c r="D297" s="290">
        <v>2.9431379999999998</v>
      </c>
      <c r="E297" s="290">
        <v>11.153359</v>
      </c>
      <c r="F297" s="290">
        <v>10.051926</v>
      </c>
      <c r="G297" s="290">
        <v>1.0745210000000001</v>
      </c>
      <c r="H297" s="290">
        <v>40.519337</v>
      </c>
      <c r="I297" s="290">
        <v>8.7978500000000004</v>
      </c>
      <c r="J297" s="290">
        <v>19.597743000000001</v>
      </c>
      <c r="K297" s="290">
        <v>36.237132000000003</v>
      </c>
      <c r="L297" s="290">
        <v>0.46883599999999997</v>
      </c>
      <c r="M297" s="290">
        <v>13.080207</v>
      </c>
      <c r="N297" s="287">
        <v>6.9999999999999999E-4</v>
      </c>
      <c r="O297" s="288">
        <v>2</v>
      </c>
      <c r="P297" s="287">
        <v>2.0000000000000001E-4</v>
      </c>
    </row>
    <row r="298" spans="1:16">
      <c r="A298" s="285" t="s">
        <v>214</v>
      </c>
      <c r="B298" s="285" t="s">
        <v>486</v>
      </c>
      <c r="C298" s="290">
        <v>22.733667000000001</v>
      </c>
      <c r="D298" s="290">
        <v>2.9019339999999998</v>
      </c>
      <c r="E298" s="290">
        <v>36.112392</v>
      </c>
      <c r="F298" s="290">
        <v>0.46685409999999999</v>
      </c>
      <c r="G298" s="290">
        <v>0.48473329999999998</v>
      </c>
      <c r="H298" s="290">
        <v>37.212975999999998</v>
      </c>
      <c r="I298" s="290">
        <v>7.6171119999999997</v>
      </c>
      <c r="J298" s="290">
        <v>19.392426</v>
      </c>
      <c r="K298" s="290">
        <v>11.994194</v>
      </c>
      <c r="L298" s="290">
        <v>10.408587000000001</v>
      </c>
      <c r="M298" s="290">
        <v>13.057962</v>
      </c>
      <c r="N298" s="287">
        <v>5.0000000000000001E-4</v>
      </c>
      <c r="O298" s="288">
        <v>1.42</v>
      </c>
      <c r="P298" s="287">
        <v>2.0000000000000001E-4</v>
      </c>
    </row>
    <row r="299" spans="1:16">
      <c r="A299" s="285" t="s">
        <v>215</v>
      </c>
      <c r="B299" s="285" t="s">
        <v>486</v>
      </c>
      <c r="C299" s="290">
        <v>35.948332999999998</v>
      </c>
      <c r="D299" s="290">
        <v>0.46425719999999998</v>
      </c>
      <c r="E299" s="290">
        <v>3.1252340000000003E-2</v>
      </c>
      <c r="F299" s="290">
        <v>56.078006000000002</v>
      </c>
      <c r="G299" s="290">
        <v>22.810478</v>
      </c>
      <c r="H299" s="290">
        <v>2.8484389999999999</v>
      </c>
      <c r="I299" s="290">
        <v>5.6940840000000001</v>
      </c>
      <c r="J299" s="290">
        <v>19.908968999999999</v>
      </c>
      <c r="K299" s="290">
        <v>13.487525</v>
      </c>
      <c r="L299" s="290">
        <v>10.854920999999999</v>
      </c>
      <c r="M299" s="290">
        <v>13.028409999999999</v>
      </c>
      <c r="N299" s="287">
        <v>8.0000000000000004E-4</v>
      </c>
      <c r="O299" s="288">
        <v>1.42</v>
      </c>
      <c r="P299" s="287">
        <v>2.9999999999999997E-4</v>
      </c>
    </row>
    <row r="300" spans="1:16">
      <c r="A300" s="285" t="s">
        <v>216</v>
      </c>
      <c r="B300" s="285" t="s">
        <v>486</v>
      </c>
      <c r="C300" s="290">
        <v>36.014882</v>
      </c>
      <c r="D300" s="290">
        <v>0.4658119</v>
      </c>
      <c r="E300" s="290">
        <v>25.959928999999999</v>
      </c>
      <c r="F300" s="290">
        <v>2.6492719999999998</v>
      </c>
      <c r="G300" s="290">
        <v>13.861629000000001</v>
      </c>
      <c r="H300" s="290">
        <v>10.661548</v>
      </c>
      <c r="I300" s="290">
        <v>4.8725589999999999</v>
      </c>
      <c r="J300" s="290">
        <v>18.791170999999999</v>
      </c>
      <c r="K300" s="290">
        <v>-3.7686069999999998</v>
      </c>
      <c r="L300" s="290">
        <v>1.92119</v>
      </c>
      <c r="M300" s="290">
        <v>13.059229</v>
      </c>
      <c r="N300" s="287">
        <v>8.9999999999999998E-4</v>
      </c>
      <c r="O300" s="288">
        <v>2</v>
      </c>
      <c r="P300" s="287">
        <v>2.0000000000000001E-4</v>
      </c>
    </row>
    <row r="301" spans="1:16">
      <c r="A301" s="285" t="s">
        <v>217</v>
      </c>
      <c r="B301" s="285" t="s">
        <v>486</v>
      </c>
      <c r="C301" s="290">
        <v>35.940109999999997</v>
      </c>
      <c r="D301" s="290">
        <v>0.46505780000000002</v>
      </c>
      <c r="E301" s="290">
        <v>300</v>
      </c>
      <c r="F301" s="290">
        <v>2.2873239999999999</v>
      </c>
      <c r="G301" s="290">
        <v>14.176830000000001</v>
      </c>
      <c r="H301" s="290">
        <v>10.520619</v>
      </c>
      <c r="I301" s="290">
        <v>4.0253249999999996</v>
      </c>
      <c r="J301" s="290">
        <v>17.731679</v>
      </c>
      <c r="K301" s="290">
        <v>-278.20138400000002</v>
      </c>
      <c r="L301" s="290">
        <v>2.2560120000000001</v>
      </c>
      <c r="M301" s="290">
        <v>13.058989</v>
      </c>
      <c r="N301" s="287">
        <v>1.1000000000000001E-3</v>
      </c>
      <c r="O301" s="288">
        <v>2</v>
      </c>
      <c r="P301" s="287">
        <v>2.0000000000000001E-4</v>
      </c>
    </row>
    <row r="302" spans="1:16">
      <c r="A302" s="285" t="s">
        <v>405</v>
      </c>
      <c r="B302" s="285" t="s">
        <v>486</v>
      </c>
      <c r="C302" s="290">
        <v>22.830933999999999</v>
      </c>
      <c r="D302" s="290">
        <v>2.8326519999999999</v>
      </c>
      <c r="E302" s="290">
        <v>36.236459000000004</v>
      </c>
      <c r="F302" s="290">
        <v>0.45051099999999999</v>
      </c>
      <c r="G302" s="290">
        <v>7.9216179999999996</v>
      </c>
      <c r="H302" s="290">
        <v>18.582352</v>
      </c>
      <c r="I302" s="290">
        <v>0.50992000000000004</v>
      </c>
      <c r="J302" s="290">
        <v>35.825113000000002</v>
      </c>
      <c r="K302" s="290">
        <v>12.510388000000001</v>
      </c>
      <c r="L302" s="290">
        <v>9.8259460000000001</v>
      </c>
      <c r="M302" s="290">
        <v>12.990753</v>
      </c>
      <c r="N302" s="287">
        <v>5.9999999999999995E-4</v>
      </c>
      <c r="O302" s="288">
        <v>1.46</v>
      </c>
      <c r="P302" s="287">
        <v>2.9999999999999997E-4</v>
      </c>
    </row>
    <row r="303" spans="1:16">
      <c r="A303" s="285" t="s">
        <v>218</v>
      </c>
      <c r="B303" s="285" t="s">
        <v>486</v>
      </c>
      <c r="C303" s="290">
        <v>36.079853999999997</v>
      </c>
      <c r="D303" s="290">
        <v>0.448133</v>
      </c>
      <c r="E303" s="290">
        <v>22.883451999999998</v>
      </c>
      <c r="F303" s="290">
        <v>2.780707</v>
      </c>
      <c r="G303" s="290">
        <v>6.2816390000000002</v>
      </c>
      <c r="H303" s="290">
        <v>18.801138000000002</v>
      </c>
      <c r="I303" s="290">
        <v>5.7066279999999997E-2</v>
      </c>
      <c r="J303" s="290">
        <v>47.296396000000001</v>
      </c>
      <c r="K303" s="290">
        <v>13.735447000000001</v>
      </c>
      <c r="L303" s="290">
        <v>10.163767</v>
      </c>
      <c r="M303" s="290">
        <v>12.962631999999999</v>
      </c>
      <c r="N303" s="287">
        <v>8.0000000000000004E-4</v>
      </c>
      <c r="O303" s="288">
        <v>1.45</v>
      </c>
      <c r="P303" s="287">
        <v>2.9999999999999997E-4</v>
      </c>
    </row>
    <row r="304" spans="1:16">
      <c r="A304" s="285" t="s">
        <v>406</v>
      </c>
      <c r="B304" s="285" t="s">
        <v>486</v>
      </c>
      <c r="C304" s="290">
        <v>8.2268919999999994</v>
      </c>
      <c r="D304" s="290">
        <v>17.766670000000001</v>
      </c>
      <c r="E304" s="290">
        <v>22.959351999999999</v>
      </c>
      <c r="F304" s="290">
        <v>2.7688320000000002</v>
      </c>
      <c r="G304" s="290">
        <v>36.356287999999999</v>
      </c>
      <c r="H304" s="290">
        <v>0.43476769999999998</v>
      </c>
      <c r="I304" s="290">
        <v>0.56253629999999999</v>
      </c>
      <c r="J304" s="290">
        <v>34.184603000000003</v>
      </c>
      <c r="K304" s="290">
        <v>12.973839</v>
      </c>
      <c r="L304" s="290">
        <v>9.285615</v>
      </c>
      <c r="M304" s="290">
        <v>12.921167000000001</v>
      </c>
      <c r="N304" s="287">
        <v>8.9999999999999998E-4</v>
      </c>
      <c r="O304" s="288">
        <v>2</v>
      </c>
      <c r="P304" s="287">
        <v>2.9999999999999997E-4</v>
      </c>
    </row>
    <row r="305" spans="1:16">
      <c r="A305" s="285" t="s">
        <v>219</v>
      </c>
      <c r="B305" s="285" t="s">
        <v>486</v>
      </c>
      <c r="C305" s="290">
        <v>22.988078999999999</v>
      </c>
      <c r="D305" s="290">
        <v>2.7185049999999999</v>
      </c>
      <c r="E305" s="290">
        <v>13.986948999999999</v>
      </c>
      <c r="F305" s="290">
        <v>9.5420890000000007</v>
      </c>
      <c r="G305" s="290">
        <v>36.207234999999997</v>
      </c>
      <c r="H305" s="290">
        <v>0.43260270000000001</v>
      </c>
      <c r="I305" s="290">
        <v>9.5553360000000004E-2</v>
      </c>
      <c r="J305" s="290">
        <v>41.086649999999999</v>
      </c>
      <c r="K305" s="290">
        <v>6.8275790000000001</v>
      </c>
      <c r="L305" s="290">
        <v>17.795349000000002</v>
      </c>
      <c r="M305" s="290">
        <v>12.8947</v>
      </c>
      <c r="N305" s="287">
        <v>1.1000000000000001E-3</v>
      </c>
      <c r="O305" s="288">
        <v>2</v>
      </c>
      <c r="P305" s="287">
        <v>2.9999999999999997E-4</v>
      </c>
    </row>
    <row r="306" spans="1:16">
      <c r="A306" s="285" t="s">
        <v>407</v>
      </c>
      <c r="B306" s="285" t="s">
        <v>486</v>
      </c>
      <c r="C306" s="290">
        <v>23.12171</v>
      </c>
      <c r="D306" s="290">
        <v>2.7499959999999999</v>
      </c>
      <c r="E306" s="290">
        <v>13.038714000000001</v>
      </c>
      <c r="F306" s="290">
        <v>8.6701080000000008</v>
      </c>
      <c r="G306" s="290">
        <v>9.2378549999999997</v>
      </c>
      <c r="H306" s="290">
        <v>17.505951</v>
      </c>
      <c r="I306" s="290">
        <v>1.1486369999999999</v>
      </c>
      <c r="J306" s="290">
        <v>35.688226999999998</v>
      </c>
      <c r="K306" s="290">
        <v>36.584104000000004</v>
      </c>
      <c r="L306" s="290">
        <v>0.42117460000000001</v>
      </c>
      <c r="M306" s="290">
        <v>12.868895999999999</v>
      </c>
      <c r="N306" s="287">
        <v>1.1000000000000001E-3</v>
      </c>
      <c r="O306" s="288">
        <v>2</v>
      </c>
      <c r="P306" s="287">
        <v>2.9999999999999997E-4</v>
      </c>
    </row>
    <row r="307" spans="1:16">
      <c r="A307" s="285" t="s">
        <v>220</v>
      </c>
      <c r="B307" s="285" t="s">
        <v>486</v>
      </c>
      <c r="C307" s="290">
        <v>13.416492999999999</v>
      </c>
      <c r="D307" s="290">
        <v>8.7932210000000008</v>
      </c>
      <c r="E307" s="290">
        <v>36.471063999999998</v>
      </c>
      <c r="F307" s="290">
        <v>0.41958089999999998</v>
      </c>
      <c r="G307" s="290">
        <v>0.63045620000000002</v>
      </c>
      <c r="H307" s="290">
        <v>32.542341</v>
      </c>
      <c r="I307" s="290">
        <v>8.5104009999999999</v>
      </c>
      <c r="J307" s="290">
        <v>16.988116000000002</v>
      </c>
      <c r="K307" s="290">
        <v>23.122855999999999</v>
      </c>
      <c r="L307" s="290">
        <v>2.7097410000000002</v>
      </c>
      <c r="M307" s="290">
        <v>12.848803999999999</v>
      </c>
      <c r="N307" s="287">
        <v>1.1999999999999999E-3</v>
      </c>
      <c r="O307" s="288">
        <v>2</v>
      </c>
      <c r="P307" s="287">
        <v>2.9999999999999997E-4</v>
      </c>
    </row>
    <row r="308" spans="1:16">
      <c r="A308" s="285" t="s">
        <v>221</v>
      </c>
      <c r="B308" s="285" t="s">
        <v>486</v>
      </c>
      <c r="C308" s="290">
        <v>14.253095</v>
      </c>
      <c r="D308" s="290">
        <v>8.9857069999999997</v>
      </c>
      <c r="E308" s="290">
        <v>7.3183490000000004</v>
      </c>
      <c r="F308" s="290">
        <v>16.886040999999999</v>
      </c>
      <c r="G308" s="290">
        <v>36.329483000000003</v>
      </c>
      <c r="H308" s="290">
        <v>0.41761969999999998</v>
      </c>
      <c r="I308" s="290">
        <v>0.1476123</v>
      </c>
      <c r="J308" s="290">
        <v>36.561790999999999</v>
      </c>
      <c r="K308" s="290">
        <v>23.127400999999999</v>
      </c>
      <c r="L308" s="290">
        <v>2.6610309999999999</v>
      </c>
      <c r="M308" s="290">
        <v>12.824158000000001</v>
      </c>
      <c r="N308" s="287">
        <v>1.4E-3</v>
      </c>
      <c r="O308" s="288">
        <v>2</v>
      </c>
      <c r="P308" s="287">
        <v>2.9999999999999997E-4</v>
      </c>
    </row>
    <row r="309" spans="1:16">
      <c r="A309" s="285" t="s">
        <v>408</v>
      </c>
      <c r="B309" s="285" t="s">
        <v>486</v>
      </c>
      <c r="C309" s="290">
        <v>23.348364</v>
      </c>
      <c r="D309" s="290">
        <v>2.6943079999999999</v>
      </c>
      <c r="E309" s="290">
        <v>13.583816000000001</v>
      </c>
      <c r="F309" s="290">
        <v>8.2698370000000008</v>
      </c>
      <c r="G309" s="290">
        <v>1.1995089999999999</v>
      </c>
      <c r="H309" s="290">
        <v>34.221642000000003</v>
      </c>
      <c r="I309" s="290">
        <v>9.3869629999999997</v>
      </c>
      <c r="J309" s="290">
        <v>16.836573999999999</v>
      </c>
      <c r="K309" s="290">
        <v>36.688803999999998</v>
      </c>
      <c r="L309" s="290">
        <v>0.4063814</v>
      </c>
      <c r="M309" s="290">
        <v>12.792460999999999</v>
      </c>
      <c r="N309" s="287">
        <v>1.2999999999999999E-3</v>
      </c>
      <c r="O309" s="288">
        <v>2</v>
      </c>
      <c r="P309" s="287">
        <v>2.9999999999999997E-4</v>
      </c>
    </row>
    <row r="310" spans="1:16">
      <c r="A310" s="285" t="s">
        <v>222</v>
      </c>
      <c r="B310" s="285" t="s">
        <v>486</v>
      </c>
      <c r="C310" s="290">
        <v>13.850728999999999</v>
      </c>
      <c r="D310" s="290">
        <v>8.3469420000000003</v>
      </c>
      <c r="E310" s="290">
        <v>36.580235999999999</v>
      </c>
      <c r="F310" s="290">
        <v>0.40491769999999999</v>
      </c>
      <c r="G310" s="290">
        <v>0.7077464</v>
      </c>
      <c r="H310" s="290">
        <v>30.996448000000001</v>
      </c>
      <c r="I310" s="290">
        <v>8.7645549999999997</v>
      </c>
      <c r="J310" s="290">
        <v>16.259516999999999</v>
      </c>
      <c r="K310" s="290">
        <v>23.323345</v>
      </c>
      <c r="L310" s="290">
        <v>2.6546780000000001</v>
      </c>
      <c r="M310" s="290">
        <v>12.773459000000001</v>
      </c>
      <c r="N310" s="287">
        <v>1.4E-3</v>
      </c>
      <c r="O310" s="288">
        <v>2</v>
      </c>
      <c r="P310" s="287">
        <v>2.9999999999999997E-4</v>
      </c>
    </row>
    <row r="311" spans="1:16">
      <c r="A311" s="285" t="s">
        <v>409</v>
      </c>
      <c r="B311" s="285" t="s">
        <v>486</v>
      </c>
      <c r="C311" s="290">
        <v>36.787652999999999</v>
      </c>
      <c r="D311" s="290">
        <v>0.39208399999999999</v>
      </c>
      <c r="E311" s="290">
        <v>9.5198060000000009</v>
      </c>
      <c r="F311" s="290">
        <v>16.206873000000002</v>
      </c>
      <c r="G311" s="290">
        <v>14.11077</v>
      </c>
      <c r="H311" s="290">
        <v>7.9033720000000001</v>
      </c>
      <c r="I311" s="290">
        <v>1.254121</v>
      </c>
      <c r="J311" s="290">
        <v>32.872903000000001</v>
      </c>
      <c r="K311" s="290">
        <v>23.615061000000001</v>
      </c>
      <c r="L311" s="290">
        <v>2.6419929999999998</v>
      </c>
      <c r="M311" s="290">
        <v>12.712505</v>
      </c>
      <c r="N311" s="287">
        <v>1.5E-3</v>
      </c>
      <c r="O311" s="288">
        <v>2</v>
      </c>
      <c r="P311" s="287">
        <v>2.9999999999999997E-4</v>
      </c>
    </row>
    <row r="312" spans="1:16">
      <c r="A312" s="285" t="s">
        <v>223</v>
      </c>
      <c r="B312" s="285" t="s">
        <v>486</v>
      </c>
      <c r="C312" s="290">
        <v>23.562989999999999</v>
      </c>
      <c r="D312" s="290">
        <v>2.603075</v>
      </c>
      <c r="E312" s="290">
        <v>36.683625999999997</v>
      </c>
      <c r="F312" s="290">
        <v>0.3907465</v>
      </c>
      <c r="G312" s="290">
        <v>14.283149</v>
      </c>
      <c r="H312" s="290">
        <v>7.9437519999999999</v>
      </c>
      <c r="I312" s="290">
        <v>8.9859620000000007</v>
      </c>
      <c r="J312" s="290">
        <v>15.585467</v>
      </c>
      <c r="K312" s="290">
        <v>0.7896147</v>
      </c>
      <c r="L312" s="290">
        <v>29.586738</v>
      </c>
      <c r="M312" s="290">
        <v>12.694722000000001</v>
      </c>
      <c r="N312" s="287">
        <v>1.5E-3</v>
      </c>
      <c r="O312" s="288">
        <v>2</v>
      </c>
      <c r="P312" s="287">
        <v>2.9999999999999997E-4</v>
      </c>
    </row>
    <row r="313" spans="1:16">
      <c r="A313" s="285" t="s">
        <v>410</v>
      </c>
      <c r="B313" s="285" t="s">
        <v>486</v>
      </c>
      <c r="C313" s="290">
        <v>23.922270999999999</v>
      </c>
      <c r="D313" s="290">
        <v>2.5925379999999998</v>
      </c>
      <c r="E313" s="290">
        <v>9.6345550000000006</v>
      </c>
      <c r="F313" s="290">
        <v>15.6187</v>
      </c>
      <c r="G313" s="290">
        <v>1.309774</v>
      </c>
      <c r="H313" s="290">
        <v>31.641106000000001</v>
      </c>
      <c r="I313" s="290">
        <v>14.623666999999999</v>
      </c>
      <c r="J313" s="290">
        <v>7.5682419999999997</v>
      </c>
      <c r="K313" s="290">
        <v>36.880766999999999</v>
      </c>
      <c r="L313" s="290">
        <v>0.37826140000000003</v>
      </c>
      <c r="M313" s="290">
        <v>12.628875000000001</v>
      </c>
      <c r="N313" s="287">
        <v>1.5E-3</v>
      </c>
      <c r="O313" s="288">
        <v>2</v>
      </c>
      <c r="P313" s="287">
        <v>2.9999999999999997E-4</v>
      </c>
    </row>
    <row r="314" spans="1:16">
      <c r="A314" s="285" t="s">
        <v>224</v>
      </c>
      <c r="B314" s="285" t="s">
        <v>486</v>
      </c>
      <c r="C314" s="290">
        <v>0.87317800000000001</v>
      </c>
      <c r="D314" s="290">
        <v>28.315422000000002</v>
      </c>
      <c r="E314" s="290">
        <v>23.842324000000001</v>
      </c>
      <c r="F314" s="290">
        <v>2.5544069999999999</v>
      </c>
      <c r="G314" s="290">
        <v>36.781269000000002</v>
      </c>
      <c r="H314" s="290">
        <v>0.37704490000000002</v>
      </c>
      <c r="I314" s="290">
        <v>14.714983999999999</v>
      </c>
      <c r="J314" s="290">
        <v>7.578989</v>
      </c>
      <c r="K314" s="290">
        <v>9.1758880000000005</v>
      </c>
      <c r="L314" s="290">
        <v>14.963805000000001</v>
      </c>
      <c r="M314" s="290">
        <v>12.612413</v>
      </c>
      <c r="N314" s="287">
        <v>1.5E-3</v>
      </c>
      <c r="O314" s="288">
        <v>2</v>
      </c>
      <c r="P314" s="287">
        <v>2.9999999999999997E-4</v>
      </c>
    </row>
    <row r="315" spans="1:16">
      <c r="A315" s="285" t="s">
        <v>411</v>
      </c>
      <c r="B315" s="285" t="s">
        <v>486</v>
      </c>
      <c r="C315" s="290">
        <v>15.124831</v>
      </c>
      <c r="D315" s="290">
        <v>7.2619249999999997</v>
      </c>
      <c r="E315" s="290">
        <v>24.270683999999999</v>
      </c>
      <c r="F315" s="290">
        <v>2.5455299999999998</v>
      </c>
      <c r="G315" s="290">
        <v>9.7304010000000005</v>
      </c>
      <c r="H315" s="290">
        <v>15.072077999999999</v>
      </c>
      <c r="I315" s="290">
        <v>1.3642240000000001</v>
      </c>
      <c r="J315" s="290">
        <v>30.521117</v>
      </c>
      <c r="K315" s="290">
        <v>36.968502999999998</v>
      </c>
      <c r="L315" s="290">
        <v>0.36489240000000001</v>
      </c>
      <c r="M315" s="290">
        <v>12.541257999999999</v>
      </c>
      <c r="N315" s="287">
        <v>1.5E-3</v>
      </c>
      <c r="O315" s="288">
        <v>2</v>
      </c>
      <c r="P315" s="287">
        <v>2.9999999999999997E-4</v>
      </c>
    </row>
    <row r="316" spans="1:16">
      <c r="A316" s="285" t="s">
        <v>225</v>
      </c>
      <c r="B316" s="285" t="s">
        <v>486</v>
      </c>
      <c r="C316" s="290">
        <v>15.146604</v>
      </c>
      <c r="D316" s="290">
        <v>7.2485929999999996</v>
      </c>
      <c r="E316" s="290">
        <v>36.873449999999998</v>
      </c>
      <c r="F316" s="290">
        <v>0.36379070000000002</v>
      </c>
      <c r="G316" s="290">
        <v>9.3359199999999998</v>
      </c>
      <c r="H316" s="290">
        <v>14.391875000000001</v>
      </c>
      <c r="I316" s="290">
        <v>0.95572599999999996</v>
      </c>
      <c r="J316" s="290">
        <v>27.175971000000001</v>
      </c>
      <c r="K316" s="290">
        <v>24.162151999999999</v>
      </c>
      <c r="L316" s="290">
        <v>2.508248</v>
      </c>
      <c r="M316" s="290">
        <v>12.526191000000001</v>
      </c>
      <c r="N316" s="287">
        <v>1.5E-3</v>
      </c>
      <c r="O316" s="288">
        <v>2</v>
      </c>
      <c r="P316" s="287">
        <v>2.9999999999999997E-4</v>
      </c>
    </row>
    <row r="317" spans="1:16">
      <c r="A317" s="285" t="s">
        <v>412</v>
      </c>
      <c r="B317" s="285" t="s">
        <v>486</v>
      </c>
      <c r="C317" s="290">
        <v>1.0352749999999999</v>
      </c>
      <c r="D317" s="290">
        <v>26.155847999999999</v>
      </c>
      <c r="E317" s="290">
        <v>24.522758</v>
      </c>
      <c r="F317" s="290">
        <v>2.464232</v>
      </c>
      <c r="G317" s="290">
        <v>36.960627000000002</v>
      </c>
      <c r="H317" s="290">
        <v>0.35096500000000003</v>
      </c>
      <c r="I317" s="290">
        <v>15.577168</v>
      </c>
      <c r="J317" s="290">
        <v>6.9486359999999996</v>
      </c>
      <c r="K317" s="290">
        <v>9.4684679999999997</v>
      </c>
      <c r="L317" s="290">
        <v>13.865970000000001</v>
      </c>
      <c r="M317" s="290">
        <v>12.435738000000001</v>
      </c>
      <c r="N317" s="287">
        <v>1.5E-3</v>
      </c>
      <c r="O317" s="288">
        <v>2</v>
      </c>
      <c r="P317" s="287">
        <v>2.0000000000000001E-4</v>
      </c>
    </row>
    <row r="318" spans="1:16">
      <c r="A318" s="285" t="s">
        <v>413</v>
      </c>
      <c r="B318" s="285" t="s">
        <v>486</v>
      </c>
      <c r="C318" s="290">
        <v>16.20411</v>
      </c>
      <c r="D318" s="290">
        <v>6.6716309999999996</v>
      </c>
      <c r="E318" s="290">
        <v>36.941127999999999</v>
      </c>
      <c r="F318" s="290">
        <v>0.33758719999999998</v>
      </c>
      <c r="G318" s="290">
        <v>0.6538813</v>
      </c>
      <c r="H318" s="290">
        <v>24.019278</v>
      </c>
      <c r="I318" s="290">
        <v>24.772939999999998</v>
      </c>
      <c r="J318" s="290">
        <v>2.3828320000000001</v>
      </c>
      <c r="K318" s="290">
        <v>9.0985289999999992</v>
      </c>
      <c r="L318" s="290">
        <v>12.956581999999999</v>
      </c>
      <c r="M318" s="290">
        <v>12.329478</v>
      </c>
      <c r="N318" s="287">
        <v>1.4E-3</v>
      </c>
      <c r="O318" s="288">
        <v>2</v>
      </c>
      <c r="P318" s="287">
        <v>2.0000000000000001E-4</v>
      </c>
    </row>
    <row r="319" spans="1:16">
      <c r="A319" s="285" t="s">
        <v>414</v>
      </c>
      <c r="B319" s="285" t="s">
        <v>486</v>
      </c>
      <c r="C319" s="290">
        <v>25.000243999999999</v>
      </c>
      <c r="D319" s="290">
        <v>2.3017799999999999</v>
      </c>
      <c r="E319" s="290">
        <v>36.913170000000001</v>
      </c>
      <c r="F319" s="290">
        <v>0.32475850000000001</v>
      </c>
      <c r="G319" s="290">
        <v>16.856242000000002</v>
      </c>
      <c r="H319" s="290">
        <v>6.3991040000000003</v>
      </c>
      <c r="I319" s="290">
        <v>0.36488730000000003</v>
      </c>
      <c r="J319" s="290">
        <v>22.993283999999999</v>
      </c>
      <c r="K319" s="290">
        <v>8.6428460000000005</v>
      </c>
      <c r="L319" s="290">
        <v>12.145146</v>
      </c>
      <c r="M319" s="290">
        <v>12.222676999999999</v>
      </c>
      <c r="N319" s="287">
        <v>1.1999999999999999E-3</v>
      </c>
      <c r="O319" s="288">
        <v>2</v>
      </c>
      <c r="P319" s="287">
        <v>2.0000000000000001E-4</v>
      </c>
    </row>
    <row r="320" spans="1:16">
      <c r="A320" s="285" t="s">
        <v>415</v>
      </c>
      <c r="B320" s="285" t="s">
        <v>486</v>
      </c>
      <c r="C320" s="290">
        <v>25.200044999999999</v>
      </c>
      <c r="D320" s="290">
        <v>2.2218610000000001</v>
      </c>
      <c r="E320" s="290">
        <v>0.19008</v>
      </c>
      <c r="F320" s="290">
        <v>22.626642</v>
      </c>
      <c r="G320" s="290">
        <v>17.473337000000001</v>
      </c>
      <c r="H320" s="290">
        <v>6.1256969999999997</v>
      </c>
      <c r="I320" s="290">
        <v>8.1411069999999999</v>
      </c>
      <c r="J320" s="290">
        <v>11.378951000000001</v>
      </c>
      <c r="K320" s="290">
        <v>36.879305000000002</v>
      </c>
      <c r="L320" s="290">
        <v>0.31248769999999998</v>
      </c>
      <c r="M320" s="290">
        <v>12.116187</v>
      </c>
      <c r="N320" s="287">
        <v>1.1000000000000001E-3</v>
      </c>
      <c r="O320" s="288">
        <v>2</v>
      </c>
      <c r="P320" s="287">
        <v>2.0000000000000001E-4</v>
      </c>
    </row>
    <row r="321" spans="1:16">
      <c r="A321" s="285" t="s">
        <v>416</v>
      </c>
      <c r="B321" s="285" t="s">
        <v>486</v>
      </c>
      <c r="C321" s="290">
        <v>25.373217</v>
      </c>
      <c r="D321" s="290">
        <v>2.1437469999999998</v>
      </c>
      <c r="E321" s="290">
        <v>36.841470000000001</v>
      </c>
      <c r="F321" s="290">
        <v>0.3007744</v>
      </c>
      <c r="G321" s="290">
        <v>9.6902639999999998E-2</v>
      </c>
      <c r="H321" s="290">
        <v>22.67109</v>
      </c>
      <c r="I321" s="290">
        <v>18.034561</v>
      </c>
      <c r="J321" s="290">
        <v>5.8535969999999997</v>
      </c>
      <c r="K321" s="290">
        <v>7.643173</v>
      </c>
      <c r="L321" s="290">
        <v>10.65302</v>
      </c>
      <c r="M321" s="290">
        <v>12.010726</v>
      </c>
      <c r="N321" s="287">
        <v>8.9999999999999998E-4</v>
      </c>
      <c r="O321" s="288">
        <v>2</v>
      </c>
      <c r="P321" s="287">
        <v>1E-4</v>
      </c>
    </row>
    <row r="322" spans="1:16">
      <c r="A322" s="285" t="s">
        <v>417</v>
      </c>
      <c r="B322" s="285" t="s">
        <v>486</v>
      </c>
      <c r="C322" s="290">
        <v>36.801164999999997</v>
      </c>
      <c r="D322" s="290">
        <v>0.28961920000000002</v>
      </c>
      <c r="E322" s="290">
        <v>25.521239999999999</v>
      </c>
      <c r="F322" s="290">
        <v>2.067952</v>
      </c>
      <c r="G322" s="290">
        <v>18.536311000000001</v>
      </c>
      <c r="H322" s="290">
        <v>5.5861650000000003</v>
      </c>
      <c r="I322" s="290">
        <v>5.0089880000000003E-2</v>
      </c>
      <c r="J322" s="290">
        <v>22.953108</v>
      </c>
      <c r="K322" s="290">
        <v>7.1838699999999998</v>
      </c>
      <c r="L322" s="290">
        <v>9.9722489999999997</v>
      </c>
      <c r="M322" s="290">
        <v>11.907363999999999</v>
      </c>
      <c r="N322" s="287">
        <v>8.0000000000000004E-4</v>
      </c>
      <c r="O322" s="288">
        <v>2</v>
      </c>
      <c r="P322" s="287">
        <v>1E-4</v>
      </c>
    </row>
    <row r="323" spans="1:16">
      <c r="A323" s="285" t="s">
        <v>418</v>
      </c>
      <c r="B323" s="285" t="s">
        <v>486</v>
      </c>
      <c r="C323" s="290">
        <v>14.489675999999999</v>
      </c>
      <c r="D323" s="290">
        <v>6.0959370000000002</v>
      </c>
      <c r="E323" s="290">
        <v>3.3801399999999999</v>
      </c>
      <c r="F323" s="290">
        <v>30.765058</v>
      </c>
      <c r="G323" s="290">
        <v>12.753137000000001</v>
      </c>
      <c r="H323" s="290">
        <v>14.029754000000001</v>
      </c>
      <c r="I323" s="290">
        <v>36.506754999999998</v>
      </c>
      <c r="J323" s="290">
        <v>0.241983</v>
      </c>
      <c r="K323" s="290">
        <v>31.727383</v>
      </c>
      <c r="L323" s="290">
        <v>1.871291</v>
      </c>
      <c r="M323" s="290">
        <v>11.14204</v>
      </c>
      <c r="N323" s="287">
        <v>8.9999999999999998E-4</v>
      </c>
      <c r="O323" s="288">
        <v>0.1</v>
      </c>
      <c r="P323" s="287">
        <v>4.0000000000000002E-4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FE4F-4FFF-40F5-9B85-C3668B845DC6}">
  <dimension ref="A1:K323"/>
  <sheetViews>
    <sheetView workbookViewId="0">
      <selection activeCell="B11" sqref="B11"/>
    </sheetView>
  </sheetViews>
  <sheetFormatPr defaultRowHeight="15"/>
  <cols>
    <col min="1" max="1" width="9.140625" style="264"/>
    <col min="2" max="2" width="9.5703125" style="285" customWidth="1"/>
    <col min="3" max="3" width="11.7109375" style="285" customWidth="1"/>
    <col min="4" max="4" width="13.140625" style="285" customWidth="1"/>
    <col min="5" max="6" width="13.5703125" style="285" customWidth="1"/>
    <col min="7" max="7" width="13.28515625" style="285" customWidth="1"/>
    <col min="8" max="8" width="12.140625" style="285" customWidth="1"/>
    <col min="9" max="9" width="7.28515625" style="285" customWidth="1"/>
    <col min="10" max="10" width="11.28515625" style="285" customWidth="1"/>
  </cols>
  <sheetData>
    <row r="1" spans="1:11">
      <c r="A1" s="281" t="s">
        <v>500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2" spans="1:11">
      <c r="A2" s="265"/>
      <c r="B2" s="266" t="s">
        <v>501</v>
      </c>
      <c r="C2" s="266"/>
      <c r="D2" s="266"/>
      <c r="E2" s="266"/>
      <c r="F2" s="266"/>
      <c r="G2" s="266"/>
      <c r="H2" s="266"/>
      <c r="I2" s="266"/>
      <c r="J2" s="266"/>
      <c r="K2" s="266"/>
    </row>
    <row r="4" spans="1:11">
      <c r="A4" s="82" t="s">
        <v>0</v>
      </c>
      <c r="B4" s="289" t="s">
        <v>499</v>
      </c>
      <c r="C4" s="82" t="s">
        <v>495</v>
      </c>
      <c r="D4" s="82" t="s">
        <v>475</v>
      </c>
      <c r="E4" s="82" t="s">
        <v>496</v>
      </c>
      <c r="F4" s="82" t="s">
        <v>497</v>
      </c>
      <c r="G4" s="292" t="s">
        <v>498</v>
      </c>
      <c r="H4" s="82" t="s">
        <v>489</v>
      </c>
      <c r="I4" s="82" t="s">
        <v>484</v>
      </c>
      <c r="J4" s="82" t="s">
        <v>490</v>
      </c>
    </row>
    <row r="6" spans="1:11">
      <c r="A6" s="264">
        <v>3</v>
      </c>
      <c r="B6" s="285" t="s">
        <v>2</v>
      </c>
      <c r="C6" s="294">
        <v>1.284435</v>
      </c>
      <c r="D6" s="294">
        <v>-2.8595519999999999</v>
      </c>
      <c r="E6" s="294">
        <v>3.7318750000000001</v>
      </c>
      <c r="F6" s="294">
        <v>-2.2081810000000002</v>
      </c>
      <c r="G6" s="291">
        <v>0.99999800000000005</v>
      </c>
      <c r="H6" s="287">
        <v>0</v>
      </c>
      <c r="I6" s="288">
        <v>2</v>
      </c>
      <c r="J6" s="287">
        <v>0</v>
      </c>
    </row>
    <row r="7" spans="1:11">
      <c r="A7" s="264">
        <v>4</v>
      </c>
      <c r="B7" s="285" t="s">
        <v>298</v>
      </c>
      <c r="C7" s="294">
        <v>1.6306929999999999</v>
      </c>
      <c r="D7" s="294">
        <v>-2.3747769999999999</v>
      </c>
      <c r="E7" s="294">
        <v>2.7072210000000001</v>
      </c>
      <c r="F7" s="294">
        <v>-1.4509620000000001</v>
      </c>
      <c r="G7" s="291">
        <v>1</v>
      </c>
      <c r="H7" s="287">
        <v>1E-4</v>
      </c>
      <c r="I7" s="288">
        <v>6</v>
      </c>
      <c r="J7" s="287">
        <v>0</v>
      </c>
    </row>
    <row r="8" spans="1:11">
      <c r="A8" s="264">
        <v>5</v>
      </c>
      <c r="B8" s="285" t="s">
        <v>3</v>
      </c>
      <c r="C8" s="294">
        <v>1.753511</v>
      </c>
      <c r="D8" s="294">
        <v>-1.92703</v>
      </c>
      <c r="E8" s="294">
        <v>1.8019510000000001</v>
      </c>
      <c r="F8" s="294">
        <v>-0.80363850000000003</v>
      </c>
      <c r="G8" s="291">
        <v>1</v>
      </c>
      <c r="H8" s="287">
        <v>1E-4</v>
      </c>
      <c r="I8" s="288">
        <v>2</v>
      </c>
      <c r="J8" s="287">
        <v>0</v>
      </c>
    </row>
    <row r="9" spans="1:11">
      <c r="A9" s="264">
        <v>5</v>
      </c>
      <c r="B9" s="285" t="s">
        <v>4</v>
      </c>
      <c r="C9" s="294">
        <v>1.732777</v>
      </c>
      <c r="D9" s="294">
        <v>-1.925119</v>
      </c>
      <c r="E9" s="294">
        <v>1.7987550000000001</v>
      </c>
      <c r="F9" s="294">
        <v>-0.8017706</v>
      </c>
      <c r="G9" s="291">
        <v>1</v>
      </c>
      <c r="H9" s="287">
        <v>1E-4</v>
      </c>
      <c r="I9" s="288">
        <v>2</v>
      </c>
      <c r="J9" s="287">
        <v>0</v>
      </c>
    </row>
    <row r="10" spans="1:11">
      <c r="A10" s="264">
        <v>5</v>
      </c>
      <c r="B10" s="285" t="s">
        <v>5</v>
      </c>
      <c r="C10" s="294">
        <v>1.6973130000000001</v>
      </c>
      <c r="D10" s="294">
        <v>-1.922207</v>
      </c>
      <c r="E10" s="294">
        <v>1.7946</v>
      </c>
      <c r="F10" s="294">
        <v>-0.79982699999999995</v>
      </c>
      <c r="G10" s="291">
        <v>1</v>
      </c>
      <c r="H10" s="287">
        <v>1E-4</v>
      </c>
      <c r="I10" s="288">
        <v>2</v>
      </c>
      <c r="J10" s="287">
        <v>0</v>
      </c>
    </row>
    <row r="11" spans="1:11">
      <c r="A11" s="264">
        <v>6</v>
      </c>
      <c r="B11" s="285" t="s">
        <v>6</v>
      </c>
      <c r="C11" s="294">
        <v>1.668609</v>
      </c>
      <c r="D11" s="294">
        <v>-1.5123819999999999</v>
      </c>
      <c r="E11" s="294">
        <v>1.001587</v>
      </c>
      <c r="F11" s="294">
        <v>-0.25141479999999999</v>
      </c>
      <c r="G11" s="291">
        <v>0.99999899999999997</v>
      </c>
      <c r="H11" s="287">
        <v>4.0000000000000002E-4</v>
      </c>
      <c r="I11" s="288">
        <v>2</v>
      </c>
      <c r="J11" s="287">
        <v>1E-4</v>
      </c>
    </row>
    <row r="12" spans="1:11">
      <c r="A12" s="264">
        <v>6</v>
      </c>
      <c r="B12" s="285" t="s">
        <v>7</v>
      </c>
      <c r="C12" s="294">
        <v>1.684793</v>
      </c>
      <c r="D12" s="294">
        <v>-1.5143990000000001</v>
      </c>
      <c r="E12" s="294">
        <v>1.0041169999999999</v>
      </c>
      <c r="F12" s="294">
        <v>-0.25232339999999998</v>
      </c>
      <c r="G12" s="291">
        <v>0.99999899999999997</v>
      </c>
      <c r="H12" s="287">
        <v>4.0000000000000002E-4</v>
      </c>
      <c r="I12" s="288">
        <v>2</v>
      </c>
      <c r="J12" s="287">
        <v>1E-4</v>
      </c>
    </row>
    <row r="13" spans="1:11">
      <c r="A13" s="264">
        <v>6</v>
      </c>
      <c r="B13" s="285" t="s">
        <v>8</v>
      </c>
      <c r="C13" s="294">
        <v>1.6608959999999999</v>
      </c>
      <c r="D13" s="294">
        <v>-1.5160610000000001</v>
      </c>
      <c r="E13" s="294">
        <v>1.0115609999999999</v>
      </c>
      <c r="F13" s="294">
        <v>-0.2598954</v>
      </c>
      <c r="G13" s="291">
        <v>0.99999899999999997</v>
      </c>
      <c r="H13" s="287">
        <v>2.9999999999999997E-4</v>
      </c>
      <c r="I13" s="288">
        <v>2</v>
      </c>
      <c r="J13" s="287">
        <v>1E-4</v>
      </c>
    </row>
    <row r="14" spans="1:11">
      <c r="A14" s="264">
        <v>6</v>
      </c>
      <c r="B14" s="285" t="s">
        <v>9</v>
      </c>
      <c r="C14" s="294">
        <v>1.6267499999999999</v>
      </c>
      <c r="D14" s="294">
        <v>-1.5200610000000001</v>
      </c>
      <c r="E14" s="294">
        <v>1.026907</v>
      </c>
      <c r="F14" s="294">
        <v>-0.27480559999999998</v>
      </c>
      <c r="G14" s="291">
        <v>0.99999899999999997</v>
      </c>
      <c r="H14" s="287">
        <v>2.9999999999999997E-4</v>
      </c>
      <c r="I14" s="288">
        <v>2</v>
      </c>
      <c r="J14" s="287">
        <v>1E-4</v>
      </c>
    </row>
    <row r="15" spans="1:11">
      <c r="A15" s="264">
        <v>6</v>
      </c>
      <c r="B15" s="285" t="s">
        <v>306</v>
      </c>
      <c r="C15" s="294">
        <v>1.631373</v>
      </c>
      <c r="D15" s="294">
        <v>-1.510991</v>
      </c>
      <c r="E15" s="294">
        <v>1.003401</v>
      </c>
      <c r="F15" s="294">
        <v>-0.2553125</v>
      </c>
      <c r="G15" s="291">
        <v>0.99999899999999997</v>
      </c>
      <c r="H15" s="287">
        <v>2.9999999999999997E-4</v>
      </c>
      <c r="I15" s="288">
        <v>2</v>
      </c>
      <c r="J15" s="287">
        <v>1E-4</v>
      </c>
    </row>
    <row r="16" spans="1:11">
      <c r="A16" s="264">
        <v>7</v>
      </c>
      <c r="B16" s="285" t="s">
        <v>10</v>
      </c>
      <c r="C16" s="294">
        <v>1.508958</v>
      </c>
      <c r="D16" s="294">
        <v>-1.147238</v>
      </c>
      <c r="E16" s="294">
        <v>0.33526640000000002</v>
      </c>
      <c r="F16" s="294">
        <v>0.1881737</v>
      </c>
      <c r="G16" s="291">
        <v>0.99999800000000005</v>
      </c>
      <c r="H16" s="287">
        <v>8.0000000000000004E-4</v>
      </c>
      <c r="I16" s="288">
        <v>2</v>
      </c>
      <c r="J16" s="287">
        <v>2.0000000000000001E-4</v>
      </c>
    </row>
    <row r="17" spans="1:10">
      <c r="A17" s="264">
        <v>7</v>
      </c>
      <c r="B17" s="285" t="s">
        <v>11</v>
      </c>
      <c r="C17" s="294">
        <v>1.519072</v>
      </c>
      <c r="D17" s="294">
        <v>-1.146396</v>
      </c>
      <c r="E17" s="294">
        <v>0.33075460000000001</v>
      </c>
      <c r="F17" s="294">
        <v>0.19289139999999999</v>
      </c>
      <c r="G17" s="291">
        <v>0.99999800000000005</v>
      </c>
      <c r="H17" s="287">
        <v>8.9999999999999998E-4</v>
      </c>
      <c r="I17" s="288">
        <v>2</v>
      </c>
      <c r="J17" s="287">
        <v>2.9999999999999997E-4</v>
      </c>
    </row>
    <row r="18" spans="1:10">
      <c r="A18" s="264">
        <v>7</v>
      </c>
      <c r="B18" s="285" t="s">
        <v>12</v>
      </c>
      <c r="C18" s="294">
        <v>1.5344789999999999</v>
      </c>
      <c r="D18" s="294">
        <v>-1.1468830000000001</v>
      </c>
      <c r="E18" s="294">
        <v>0.32839560000000001</v>
      </c>
      <c r="F18" s="294">
        <v>0.19638910000000001</v>
      </c>
      <c r="G18" s="291">
        <v>0.99999800000000005</v>
      </c>
      <c r="H18" s="287">
        <v>8.9999999999999998E-4</v>
      </c>
      <c r="I18" s="288">
        <v>2</v>
      </c>
      <c r="J18" s="287">
        <v>2.9999999999999997E-4</v>
      </c>
    </row>
    <row r="19" spans="1:10">
      <c r="A19" s="264">
        <v>7</v>
      </c>
      <c r="B19" s="285" t="s">
        <v>13</v>
      </c>
      <c r="C19" s="294">
        <v>1.518014</v>
      </c>
      <c r="D19" s="294">
        <v>-1.1590800000000001</v>
      </c>
      <c r="E19" s="294">
        <v>0.36334499999999997</v>
      </c>
      <c r="F19" s="294">
        <v>0.1661135</v>
      </c>
      <c r="G19" s="291">
        <v>0.99999800000000005</v>
      </c>
      <c r="H19" s="287">
        <v>8.0000000000000004E-4</v>
      </c>
      <c r="I19" s="288">
        <v>2</v>
      </c>
      <c r="J19" s="287">
        <v>2.0000000000000001E-4</v>
      </c>
    </row>
    <row r="20" spans="1:10">
      <c r="A20" s="264">
        <v>7</v>
      </c>
      <c r="B20" s="285" t="s">
        <v>14</v>
      </c>
      <c r="C20" s="294">
        <v>1.499107</v>
      </c>
      <c r="D20" s="294">
        <v>-1.179246</v>
      </c>
      <c r="E20" s="294">
        <v>0.42021619999999998</v>
      </c>
      <c r="F20" s="294">
        <v>0.1172594</v>
      </c>
      <c r="G20" s="291">
        <v>0.99999800000000005</v>
      </c>
      <c r="H20" s="287">
        <v>6.9999999999999999E-4</v>
      </c>
      <c r="I20" s="288">
        <v>2</v>
      </c>
      <c r="J20" s="287">
        <v>2.0000000000000001E-4</v>
      </c>
    </row>
    <row r="21" spans="1:10">
      <c r="A21" s="264">
        <v>8</v>
      </c>
      <c r="B21" s="285" t="s">
        <v>15</v>
      </c>
      <c r="C21" s="294">
        <v>1.3193729999999999</v>
      </c>
      <c r="D21" s="294">
        <v>-0.83480889999999996</v>
      </c>
      <c r="E21" s="294">
        <v>-0.1974166</v>
      </c>
      <c r="F21" s="294">
        <v>0.52014839999999996</v>
      </c>
      <c r="G21" s="291">
        <v>0.999996</v>
      </c>
      <c r="H21" s="287">
        <v>1.5E-3</v>
      </c>
      <c r="I21" s="288">
        <v>2</v>
      </c>
      <c r="J21" s="287">
        <v>4.0000000000000002E-4</v>
      </c>
    </row>
    <row r="22" spans="1:10">
      <c r="A22" s="264">
        <v>8</v>
      </c>
      <c r="B22" s="285" t="s">
        <v>16</v>
      </c>
      <c r="C22" s="294">
        <v>1.3239620000000001</v>
      </c>
      <c r="D22" s="294">
        <v>-0.83111710000000005</v>
      </c>
      <c r="E22" s="294">
        <v>-0.2086073</v>
      </c>
      <c r="F22" s="294">
        <v>0.52998979999999996</v>
      </c>
      <c r="G22" s="291">
        <v>0.99999499999999997</v>
      </c>
      <c r="H22" s="287">
        <v>1.5E-3</v>
      </c>
      <c r="I22" s="288">
        <v>2</v>
      </c>
      <c r="J22" s="287">
        <v>4.0000000000000002E-4</v>
      </c>
    </row>
    <row r="23" spans="1:10">
      <c r="A23" s="264">
        <v>8</v>
      </c>
      <c r="B23" s="285" t="s">
        <v>326</v>
      </c>
      <c r="C23" s="294">
        <v>1.3175859999999999</v>
      </c>
      <c r="D23" s="294">
        <v>-0.84110589999999996</v>
      </c>
      <c r="E23" s="294">
        <v>-0.18017169999999999</v>
      </c>
      <c r="F23" s="294">
        <v>0.50563639999999999</v>
      </c>
      <c r="G23" s="291">
        <v>0.999996</v>
      </c>
      <c r="H23" s="287">
        <v>1.4E-3</v>
      </c>
      <c r="I23" s="288">
        <v>2</v>
      </c>
      <c r="J23" s="287">
        <v>4.0000000000000002E-4</v>
      </c>
    </row>
    <row r="24" spans="1:10">
      <c r="A24" s="264">
        <v>9</v>
      </c>
      <c r="B24" s="285" t="s">
        <v>328</v>
      </c>
      <c r="C24" s="294">
        <v>1.130833</v>
      </c>
      <c r="D24" s="294">
        <v>-0.58429889999999995</v>
      </c>
      <c r="E24" s="294">
        <v>-0.57969119999999996</v>
      </c>
      <c r="F24" s="294">
        <v>0.7346589</v>
      </c>
      <c r="G24" s="291">
        <v>0.99999400000000005</v>
      </c>
      <c r="H24" s="287">
        <v>2E-3</v>
      </c>
      <c r="I24" s="288">
        <v>2</v>
      </c>
      <c r="J24" s="287">
        <v>5.9999999999999995E-4</v>
      </c>
    </row>
    <row r="25" spans="1:10">
      <c r="A25" s="264">
        <v>11</v>
      </c>
      <c r="B25" s="285" t="s">
        <v>17</v>
      </c>
      <c r="C25" s="294">
        <v>0.80309450000000004</v>
      </c>
      <c r="D25" s="294">
        <v>-0.2104212</v>
      </c>
      <c r="E25" s="294">
        <v>-1.062128</v>
      </c>
      <c r="F25" s="294">
        <v>0.95782100000000003</v>
      </c>
      <c r="G25" s="291">
        <v>0.99999300000000002</v>
      </c>
      <c r="H25" s="287">
        <v>2.5999999999999999E-3</v>
      </c>
      <c r="I25" s="288">
        <v>2</v>
      </c>
      <c r="J25" s="287">
        <v>8.9999999999999998E-4</v>
      </c>
    </row>
    <row r="26" spans="1:10">
      <c r="A26" s="264">
        <v>12</v>
      </c>
      <c r="B26" s="285" t="s">
        <v>329</v>
      </c>
      <c r="C26" s="294">
        <v>0.69114249999999999</v>
      </c>
      <c r="D26" s="294">
        <v>-9.8895650000000002E-2</v>
      </c>
      <c r="E26" s="294">
        <v>-1.136801</v>
      </c>
      <c r="F26" s="294">
        <v>0.94798119999999997</v>
      </c>
      <c r="G26" s="291">
        <v>0.99999499999999997</v>
      </c>
      <c r="H26" s="287">
        <v>2E-3</v>
      </c>
      <c r="I26" s="288">
        <v>6</v>
      </c>
      <c r="J26" s="287">
        <v>8.0000000000000004E-4</v>
      </c>
    </row>
    <row r="27" spans="1:10">
      <c r="A27" s="264">
        <v>13</v>
      </c>
      <c r="B27" s="285" t="s">
        <v>18</v>
      </c>
      <c r="C27" s="294">
        <v>0.61513669999999998</v>
      </c>
      <c r="D27" s="294">
        <v>-2.8365390000000001E-2</v>
      </c>
      <c r="E27" s="294">
        <v>-1.1231009999999999</v>
      </c>
      <c r="F27" s="294">
        <v>0.87477210000000005</v>
      </c>
      <c r="G27" s="291">
        <v>0.99999800000000005</v>
      </c>
      <c r="H27" s="287">
        <v>1.6000000000000001E-3</v>
      </c>
      <c r="I27" s="288">
        <v>6</v>
      </c>
      <c r="J27" s="287">
        <v>5.9999999999999995E-4</v>
      </c>
    </row>
    <row r="28" spans="1:10">
      <c r="A28" s="264">
        <v>13</v>
      </c>
      <c r="B28" s="285" t="s">
        <v>330</v>
      </c>
      <c r="C28" s="294">
        <v>0.63368959999999996</v>
      </c>
      <c r="D28" s="294">
        <v>-4.4068389999999999E-2</v>
      </c>
      <c r="E28" s="294">
        <v>-1.088042</v>
      </c>
      <c r="F28" s="294">
        <v>0.84906579999999998</v>
      </c>
      <c r="G28" s="291">
        <v>0.99999800000000005</v>
      </c>
      <c r="H28" s="287">
        <v>1.5E-3</v>
      </c>
      <c r="I28" s="288">
        <v>6</v>
      </c>
      <c r="J28" s="287">
        <v>5.9999999999999995E-4</v>
      </c>
    </row>
    <row r="29" spans="1:10">
      <c r="A29" s="264">
        <v>14</v>
      </c>
      <c r="B29" s="285" t="s">
        <v>19</v>
      </c>
      <c r="C29" s="294">
        <v>0.62006470000000002</v>
      </c>
      <c r="D29" s="294">
        <v>-3.2016610000000001E-2</v>
      </c>
      <c r="E29" s="294">
        <v>-0.94650469999999998</v>
      </c>
      <c r="F29" s="294">
        <v>0.68328849999999997</v>
      </c>
      <c r="G29" s="291">
        <v>0.999996</v>
      </c>
      <c r="H29" s="287">
        <v>3.2000000000000002E-3</v>
      </c>
      <c r="I29" s="288">
        <v>2</v>
      </c>
      <c r="J29" s="287">
        <v>5.9999999999999995E-4</v>
      </c>
    </row>
    <row r="30" spans="1:10">
      <c r="A30" s="264">
        <v>14</v>
      </c>
      <c r="B30" s="285" t="s">
        <v>20</v>
      </c>
      <c r="C30" s="294">
        <v>0.61504020000000004</v>
      </c>
      <c r="D30" s="294">
        <v>-2.7778730000000001E-2</v>
      </c>
      <c r="E30" s="294">
        <v>-0.95610740000000005</v>
      </c>
      <c r="F30" s="294">
        <v>0.69039340000000005</v>
      </c>
      <c r="G30" s="291">
        <v>0.999996</v>
      </c>
      <c r="H30" s="287">
        <v>3.0999999999999999E-3</v>
      </c>
      <c r="I30" s="288">
        <v>2</v>
      </c>
      <c r="J30" s="287">
        <v>5.9999999999999995E-4</v>
      </c>
    </row>
    <row r="31" spans="1:10">
      <c r="A31" s="264">
        <v>14</v>
      </c>
      <c r="B31" s="285" t="s">
        <v>21</v>
      </c>
      <c r="C31" s="294">
        <v>0.62731230000000004</v>
      </c>
      <c r="D31" s="294">
        <v>-3.744273E-2</v>
      </c>
      <c r="E31" s="294">
        <v>-0.93534090000000003</v>
      </c>
      <c r="F31" s="294">
        <v>0.67563169999999995</v>
      </c>
      <c r="G31" s="291">
        <v>0.999996</v>
      </c>
      <c r="H31" s="287">
        <v>3.2000000000000002E-3</v>
      </c>
      <c r="I31" s="288">
        <v>2</v>
      </c>
      <c r="J31" s="287">
        <v>5.9999999999999995E-4</v>
      </c>
    </row>
    <row r="32" spans="1:10">
      <c r="A32" s="264">
        <v>14</v>
      </c>
      <c r="B32" s="285" t="s">
        <v>22</v>
      </c>
      <c r="C32" s="294">
        <v>0.64483190000000001</v>
      </c>
      <c r="D32" s="294">
        <v>-5.1191349999999997E-2</v>
      </c>
      <c r="E32" s="294">
        <v>-0.90587150000000005</v>
      </c>
      <c r="F32" s="294">
        <v>0.65472949999999996</v>
      </c>
      <c r="G32" s="291">
        <v>0.999996</v>
      </c>
      <c r="H32" s="287">
        <v>3.2000000000000002E-3</v>
      </c>
      <c r="I32" s="288">
        <v>2</v>
      </c>
      <c r="J32" s="287">
        <v>5.9999999999999995E-4</v>
      </c>
    </row>
    <row r="33" spans="1:10">
      <c r="A33" s="264">
        <v>14</v>
      </c>
      <c r="B33" s="285" t="s">
        <v>331</v>
      </c>
      <c r="C33" s="294">
        <v>0.63590159999999996</v>
      </c>
      <c r="D33" s="294">
        <v>-4.4896409999999998E-2</v>
      </c>
      <c r="E33" s="294">
        <v>-0.91812190000000005</v>
      </c>
      <c r="F33" s="294">
        <v>0.66271469999999999</v>
      </c>
      <c r="G33" s="291">
        <v>0.999996</v>
      </c>
      <c r="H33" s="287">
        <v>3.2000000000000002E-3</v>
      </c>
      <c r="I33" s="288">
        <v>2</v>
      </c>
      <c r="J33" s="287">
        <v>5.9999999999999995E-4</v>
      </c>
    </row>
    <row r="34" spans="1:10">
      <c r="A34" s="264">
        <v>15</v>
      </c>
      <c r="B34" s="285" t="s">
        <v>23</v>
      </c>
      <c r="C34" s="294">
        <v>0.7102482</v>
      </c>
      <c r="D34" s="294">
        <v>-0.1060686</v>
      </c>
      <c r="E34" s="294">
        <v>-0.61844200000000005</v>
      </c>
      <c r="F34" s="294">
        <v>0.38367889999999999</v>
      </c>
      <c r="G34" s="291">
        <v>0.999977</v>
      </c>
      <c r="H34" s="287">
        <v>8.3000000000000001E-3</v>
      </c>
      <c r="I34" s="288">
        <v>2</v>
      </c>
      <c r="J34" s="287">
        <v>1.6000000000000001E-3</v>
      </c>
    </row>
    <row r="35" spans="1:10">
      <c r="A35" s="264">
        <v>15</v>
      </c>
      <c r="B35" s="285" t="s">
        <v>24</v>
      </c>
      <c r="C35" s="294">
        <v>0.70447839999999995</v>
      </c>
      <c r="D35" s="294">
        <v>-0.1014837</v>
      </c>
      <c r="E35" s="294">
        <v>-0.62861710000000004</v>
      </c>
      <c r="F35" s="294">
        <v>0.39108969999999998</v>
      </c>
      <c r="G35" s="291">
        <v>0.999977</v>
      </c>
      <c r="H35" s="287">
        <v>8.3000000000000001E-3</v>
      </c>
      <c r="I35" s="288">
        <v>2</v>
      </c>
      <c r="J35" s="287">
        <v>1.6000000000000001E-3</v>
      </c>
    </row>
    <row r="36" spans="1:10">
      <c r="A36" s="264">
        <v>15</v>
      </c>
      <c r="B36" s="285" t="s">
        <v>25</v>
      </c>
      <c r="C36" s="294">
        <v>0.69683819999999996</v>
      </c>
      <c r="D36" s="294">
        <v>-9.5334569999999993E-2</v>
      </c>
      <c r="E36" s="294">
        <v>-0.64248139999999998</v>
      </c>
      <c r="F36" s="294">
        <v>0.40131060000000002</v>
      </c>
      <c r="G36" s="291">
        <v>0.999977</v>
      </c>
      <c r="H36" s="287">
        <v>8.3000000000000001E-3</v>
      </c>
      <c r="I36" s="288">
        <v>2</v>
      </c>
      <c r="J36" s="287">
        <v>1.5E-3</v>
      </c>
    </row>
    <row r="37" spans="1:10">
      <c r="A37" s="264">
        <v>15</v>
      </c>
      <c r="B37" s="285" t="s">
        <v>26</v>
      </c>
      <c r="C37" s="294">
        <v>0.71363310000000002</v>
      </c>
      <c r="D37" s="294">
        <v>-0.1076672</v>
      </c>
      <c r="E37" s="294">
        <v>-0.6174269</v>
      </c>
      <c r="F37" s="294">
        <v>0.38435150000000001</v>
      </c>
      <c r="G37" s="291">
        <v>0.99997800000000003</v>
      </c>
      <c r="H37" s="287">
        <v>8.2000000000000007E-3</v>
      </c>
      <c r="I37" s="288">
        <v>2</v>
      </c>
      <c r="J37" s="287">
        <v>1.5E-3</v>
      </c>
    </row>
    <row r="38" spans="1:10">
      <c r="A38" s="264">
        <v>15</v>
      </c>
      <c r="B38" s="285" t="s">
        <v>27</v>
      </c>
      <c r="C38" s="294">
        <v>0.73568009999999995</v>
      </c>
      <c r="D38" s="294">
        <v>-0.12378400000000001</v>
      </c>
      <c r="E38" s="294">
        <v>-0.58486970000000005</v>
      </c>
      <c r="F38" s="294">
        <v>0.36243379999999997</v>
      </c>
      <c r="G38" s="291">
        <v>0.99997800000000003</v>
      </c>
      <c r="H38" s="287">
        <v>8.0999999999999996E-3</v>
      </c>
      <c r="I38" s="288">
        <v>2</v>
      </c>
      <c r="J38" s="287">
        <v>1.5E-3</v>
      </c>
    </row>
    <row r="39" spans="1:10">
      <c r="A39" s="264">
        <v>16</v>
      </c>
      <c r="B39" s="285" t="s">
        <v>28</v>
      </c>
      <c r="C39" s="294">
        <v>0.89666690000000004</v>
      </c>
      <c r="D39" s="294">
        <v>-0.25407049999999998</v>
      </c>
      <c r="E39" s="294">
        <v>-0.13414719999999999</v>
      </c>
      <c r="F39" s="294">
        <v>-2.5643019999999999E-2</v>
      </c>
      <c r="G39" s="291">
        <v>0.99991300000000005</v>
      </c>
      <c r="H39" s="287">
        <v>1.5299999999999999E-2</v>
      </c>
      <c r="I39" s="288">
        <v>2</v>
      </c>
      <c r="J39" s="287">
        <v>3.3E-3</v>
      </c>
    </row>
    <row r="40" spans="1:10">
      <c r="A40" s="264">
        <v>16</v>
      </c>
      <c r="B40" s="285" t="s">
        <v>29</v>
      </c>
      <c r="C40" s="294">
        <v>0.89029449999999999</v>
      </c>
      <c r="D40" s="294">
        <v>-0.24925120000000001</v>
      </c>
      <c r="E40" s="294">
        <v>-0.1446134</v>
      </c>
      <c r="F40" s="294">
        <v>-1.814638E-2</v>
      </c>
      <c r="G40" s="291">
        <v>0.99991300000000005</v>
      </c>
      <c r="H40" s="287">
        <v>1.52E-2</v>
      </c>
      <c r="I40" s="288">
        <v>2</v>
      </c>
      <c r="J40" s="287">
        <v>3.3E-3</v>
      </c>
    </row>
    <row r="41" spans="1:10">
      <c r="A41" s="264">
        <v>16</v>
      </c>
      <c r="B41" s="285" t="s">
        <v>30</v>
      </c>
      <c r="C41" s="294">
        <v>0.88159469999999995</v>
      </c>
      <c r="D41" s="294">
        <v>-0.2425813</v>
      </c>
      <c r="E41" s="294">
        <v>-0.1593965</v>
      </c>
      <c r="F41" s="294">
        <v>-7.3852600000000003E-3</v>
      </c>
      <c r="G41" s="291">
        <v>0.99991399999999997</v>
      </c>
      <c r="H41" s="287">
        <v>1.52E-2</v>
      </c>
      <c r="I41" s="288">
        <v>2</v>
      </c>
      <c r="J41" s="287">
        <v>3.3E-3</v>
      </c>
    </row>
    <row r="42" spans="1:10">
      <c r="A42" s="264">
        <v>16</v>
      </c>
      <c r="B42" s="285" t="s">
        <v>31</v>
      </c>
      <c r="C42" s="294">
        <v>0.87020410000000004</v>
      </c>
      <c r="D42" s="294">
        <v>-0.23376530000000001</v>
      </c>
      <c r="E42" s="294">
        <v>-0.17923510000000001</v>
      </c>
      <c r="F42" s="294">
        <v>7.2267310000000001E-3</v>
      </c>
      <c r="G42" s="291">
        <v>0.999915</v>
      </c>
      <c r="H42" s="287">
        <v>1.5100000000000001E-2</v>
      </c>
      <c r="I42" s="288">
        <v>2</v>
      </c>
      <c r="J42" s="287">
        <v>3.2000000000000002E-3</v>
      </c>
    </row>
    <row r="43" spans="1:10">
      <c r="A43" s="264">
        <v>16</v>
      </c>
      <c r="B43" s="285" t="s">
        <v>32</v>
      </c>
      <c r="C43" s="294">
        <v>0.88888140000000004</v>
      </c>
      <c r="D43" s="294">
        <v>-0.24633389999999999</v>
      </c>
      <c r="E43" s="294">
        <v>-0.15628790000000001</v>
      </c>
      <c r="F43" s="294">
        <v>-6.7181289999999998E-3</v>
      </c>
      <c r="G43" s="291">
        <v>0.99991799999999997</v>
      </c>
      <c r="H43" s="287">
        <v>1.4800000000000001E-2</v>
      </c>
      <c r="I43" s="288">
        <v>2</v>
      </c>
      <c r="J43" s="287">
        <v>3.2000000000000002E-3</v>
      </c>
    </row>
    <row r="44" spans="1:10">
      <c r="A44" s="264">
        <v>16</v>
      </c>
      <c r="B44" s="285" t="s">
        <v>33</v>
      </c>
      <c r="C44" s="294">
        <v>0.91189120000000001</v>
      </c>
      <c r="D44" s="294">
        <v>-0.26168170000000002</v>
      </c>
      <c r="E44" s="294">
        <v>-0.1287132</v>
      </c>
      <c r="F44" s="294">
        <v>-2.3160469999999999E-2</v>
      </c>
      <c r="G44" s="291">
        <v>0.99992199999999998</v>
      </c>
      <c r="H44" s="287">
        <v>1.44E-2</v>
      </c>
      <c r="I44" s="288">
        <v>2</v>
      </c>
      <c r="J44" s="287">
        <v>3.0999999999999999E-3</v>
      </c>
    </row>
    <row r="45" spans="1:10">
      <c r="A45" s="264">
        <v>17</v>
      </c>
      <c r="B45" s="285" t="s">
        <v>34</v>
      </c>
      <c r="C45" s="294">
        <v>1.182912</v>
      </c>
      <c r="D45" s="294">
        <v>-0.47425630000000002</v>
      </c>
      <c r="E45" s="294">
        <v>0.49806980000000001</v>
      </c>
      <c r="F45" s="294">
        <v>-0.53597600000000001</v>
      </c>
      <c r="G45" s="291">
        <v>0.999776</v>
      </c>
      <c r="H45" s="287">
        <v>2.3400000000000001E-2</v>
      </c>
      <c r="I45" s="288">
        <v>2</v>
      </c>
      <c r="J45" s="287">
        <v>5.4999999999999997E-3</v>
      </c>
    </row>
    <row r="46" spans="1:10">
      <c r="A46" s="264">
        <v>17</v>
      </c>
      <c r="B46" s="285" t="s">
        <v>35</v>
      </c>
      <c r="C46" s="294">
        <v>1.1761470000000001</v>
      </c>
      <c r="D46" s="294">
        <v>-0.4693619</v>
      </c>
      <c r="E46" s="294">
        <v>0.48769600000000002</v>
      </c>
      <c r="F46" s="294">
        <v>-0.52868720000000002</v>
      </c>
      <c r="G46" s="291">
        <v>0.999776</v>
      </c>
      <c r="H46" s="287">
        <v>2.3400000000000001E-2</v>
      </c>
      <c r="I46" s="288">
        <v>2</v>
      </c>
      <c r="J46" s="287">
        <v>5.4999999999999997E-3</v>
      </c>
    </row>
    <row r="47" spans="1:10">
      <c r="A47" s="264">
        <v>17</v>
      </c>
      <c r="B47" s="285" t="s">
        <v>36</v>
      </c>
      <c r="C47" s="294">
        <v>1.1665760000000001</v>
      </c>
      <c r="D47" s="294">
        <v>-0.46231929999999999</v>
      </c>
      <c r="E47" s="294">
        <v>0.47236420000000001</v>
      </c>
      <c r="F47" s="294">
        <v>-0.51767640000000004</v>
      </c>
      <c r="G47" s="291">
        <v>0.99977700000000003</v>
      </c>
      <c r="H47" s="287">
        <v>2.3400000000000001E-2</v>
      </c>
      <c r="I47" s="288">
        <v>2</v>
      </c>
      <c r="J47" s="287">
        <v>5.4999999999999997E-3</v>
      </c>
    </row>
    <row r="48" spans="1:10">
      <c r="A48" s="264">
        <v>17</v>
      </c>
      <c r="B48" s="285" t="s">
        <v>37</v>
      </c>
      <c r="C48" s="294">
        <v>1.153735</v>
      </c>
      <c r="D48" s="294">
        <v>-0.45276509999999998</v>
      </c>
      <c r="E48" s="294">
        <v>0.45118580000000003</v>
      </c>
      <c r="F48" s="294">
        <v>-0.50224899999999995</v>
      </c>
      <c r="G48" s="291">
        <v>0.99977899999999997</v>
      </c>
      <c r="H48" s="287">
        <v>2.3300000000000001E-2</v>
      </c>
      <c r="I48" s="288">
        <v>2</v>
      </c>
      <c r="J48" s="287">
        <v>5.4000000000000003E-3</v>
      </c>
    </row>
    <row r="49" spans="1:10">
      <c r="A49" s="264">
        <v>17</v>
      </c>
      <c r="B49" s="285" t="s">
        <v>38</v>
      </c>
      <c r="C49" s="294">
        <v>1.1370629999999999</v>
      </c>
      <c r="D49" s="294">
        <v>-0.44026710000000002</v>
      </c>
      <c r="E49" s="294">
        <v>0.42311769999999999</v>
      </c>
      <c r="F49" s="294">
        <v>-0.48159600000000002</v>
      </c>
      <c r="G49" s="291">
        <v>0.99978199999999995</v>
      </c>
      <c r="H49" s="287">
        <v>2.3099999999999999E-2</v>
      </c>
      <c r="I49" s="288">
        <v>2</v>
      </c>
      <c r="J49" s="287">
        <v>5.4000000000000003E-3</v>
      </c>
    </row>
    <row r="50" spans="1:10">
      <c r="A50" s="264">
        <v>17</v>
      </c>
      <c r="B50" s="285" t="s">
        <v>39</v>
      </c>
      <c r="C50" s="294">
        <v>1.153011</v>
      </c>
      <c r="D50" s="294">
        <v>-0.44928129999999999</v>
      </c>
      <c r="E50" s="294">
        <v>0.43455899999999997</v>
      </c>
      <c r="F50" s="294">
        <v>-0.48515649999999999</v>
      </c>
      <c r="G50" s="291">
        <v>0.99979499999999999</v>
      </c>
      <c r="H50" s="287">
        <v>2.24E-2</v>
      </c>
      <c r="I50" s="288">
        <v>2</v>
      </c>
      <c r="J50" s="287">
        <v>5.3E-3</v>
      </c>
    </row>
    <row r="51" spans="1:10">
      <c r="A51" s="264">
        <v>17</v>
      </c>
      <c r="B51" s="285" t="s">
        <v>40</v>
      </c>
      <c r="C51" s="294">
        <v>1.171384</v>
      </c>
      <c r="D51" s="294">
        <v>-0.45935429999999999</v>
      </c>
      <c r="E51" s="294">
        <v>0.44611319999999999</v>
      </c>
      <c r="F51" s="294">
        <v>-0.48753970000000002</v>
      </c>
      <c r="G51" s="291">
        <v>0.99980999999999998</v>
      </c>
      <c r="H51" s="287">
        <v>2.1600000000000001E-2</v>
      </c>
      <c r="I51" s="288">
        <v>2</v>
      </c>
      <c r="J51" s="287">
        <v>5.1000000000000004E-3</v>
      </c>
    </row>
    <row r="52" spans="1:10">
      <c r="A52" s="264">
        <v>17</v>
      </c>
      <c r="B52" s="285" t="s">
        <v>332</v>
      </c>
      <c r="C52" s="294">
        <v>1.189344</v>
      </c>
      <c r="D52" s="294">
        <v>-0.47868620000000001</v>
      </c>
      <c r="E52" s="294">
        <v>0.50673509999999999</v>
      </c>
      <c r="F52" s="294">
        <v>-0.54163950000000005</v>
      </c>
      <c r="G52" s="291">
        <v>0.99977700000000003</v>
      </c>
      <c r="H52" s="287">
        <v>2.3300000000000001E-2</v>
      </c>
      <c r="I52" s="288">
        <v>2</v>
      </c>
      <c r="J52" s="287">
        <v>5.4999999999999997E-3</v>
      </c>
    </row>
    <row r="53" spans="1:10">
      <c r="A53" s="264">
        <v>19</v>
      </c>
      <c r="B53" s="285" t="s">
        <v>41</v>
      </c>
      <c r="C53" s="294">
        <v>2.014726</v>
      </c>
      <c r="D53" s="294">
        <v>-1.084981</v>
      </c>
      <c r="E53" s="294">
        <v>2.0799029999999998</v>
      </c>
      <c r="F53" s="294">
        <v>-1.7535510000000001</v>
      </c>
      <c r="G53" s="291">
        <v>0.99930600000000003</v>
      </c>
      <c r="H53" s="287">
        <v>3.8800000000000001E-2</v>
      </c>
      <c r="I53" s="288">
        <v>2</v>
      </c>
      <c r="J53" s="287">
        <v>1.06E-2</v>
      </c>
    </row>
    <row r="54" spans="1:10">
      <c r="A54" s="264">
        <v>20</v>
      </c>
      <c r="B54" s="285" t="s">
        <v>333</v>
      </c>
      <c r="C54" s="294">
        <v>2.503495</v>
      </c>
      <c r="D54" s="294">
        <v>-1.4271</v>
      </c>
      <c r="E54" s="294">
        <v>2.9095330000000001</v>
      </c>
      <c r="F54" s="294">
        <v>-2.3661669999999999</v>
      </c>
      <c r="G54" s="291">
        <v>0.99911099999999997</v>
      </c>
      <c r="H54" s="287">
        <v>4.2999999999999997E-2</v>
      </c>
      <c r="I54" s="288">
        <v>2</v>
      </c>
      <c r="J54" s="287">
        <v>1.2800000000000001E-2</v>
      </c>
    </row>
    <row r="55" spans="1:10">
      <c r="A55" s="264">
        <v>21</v>
      </c>
      <c r="B55" s="285" t="s">
        <v>42</v>
      </c>
      <c r="C55" s="294">
        <v>2.9760450000000001</v>
      </c>
      <c r="D55" s="294">
        <v>-1.7429049999999999</v>
      </c>
      <c r="E55" s="294">
        <v>3.6427010000000002</v>
      </c>
      <c r="F55" s="294">
        <v>-2.8871579999999999</v>
      </c>
      <c r="G55" s="291">
        <v>0.99907400000000002</v>
      </c>
      <c r="H55" s="287">
        <v>4.2999999999999997E-2</v>
      </c>
      <c r="I55" s="288">
        <v>2</v>
      </c>
      <c r="J55" s="287">
        <v>1.41E-2</v>
      </c>
    </row>
    <row r="56" spans="1:10">
      <c r="A56" s="264">
        <v>21</v>
      </c>
      <c r="B56" s="285" t="s">
        <v>43</v>
      </c>
      <c r="C56" s="294">
        <v>2.9733109999999998</v>
      </c>
      <c r="D56" s="294">
        <v>-1.74031</v>
      </c>
      <c r="E56" s="294">
        <v>3.635313</v>
      </c>
      <c r="F56" s="294">
        <v>-2.8809390000000001</v>
      </c>
      <c r="G56" s="291">
        <v>0.99907999999999997</v>
      </c>
      <c r="H56" s="287">
        <v>4.2900000000000001E-2</v>
      </c>
      <c r="I56" s="288">
        <v>2</v>
      </c>
      <c r="J56" s="287">
        <v>1.41E-2</v>
      </c>
    </row>
    <row r="57" spans="1:10">
      <c r="A57" s="264">
        <v>21</v>
      </c>
      <c r="B57" s="285" t="s">
        <v>44</v>
      </c>
      <c r="C57" s="294">
        <v>2.992766</v>
      </c>
      <c r="D57" s="294">
        <v>-1.754704</v>
      </c>
      <c r="E57" s="294">
        <v>3.669235</v>
      </c>
      <c r="F57" s="294">
        <v>-2.9066230000000002</v>
      </c>
      <c r="G57" s="291">
        <v>0.99907100000000004</v>
      </c>
      <c r="H57" s="287">
        <v>4.3099999999999999E-2</v>
      </c>
      <c r="I57" s="288">
        <v>2</v>
      </c>
      <c r="J57" s="287">
        <v>1.4200000000000001E-2</v>
      </c>
    </row>
    <row r="58" spans="1:10">
      <c r="A58" s="264">
        <v>22</v>
      </c>
      <c r="B58" s="285" t="s">
        <v>334</v>
      </c>
      <c r="C58" s="294">
        <v>3.3962319999999999</v>
      </c>
      <c r="D58" s="294">
        <v>-2.0038589999999998</v>
      </c>
      <c r="E58" s="294">
        <v>4.2103739999999998</v>
      </c>
      <c r="F58" s="294">
        <v>-3.2637330000000002</v>
      </c>
      <c r="G58" s="291">
        <v>0.99921800000000005</v>
      </c>
      <c r="H58" s="287">
        <v>3.8199999999999998E-2</v>
      </c>
      <c r="I58" s="288">
        <v>2</v>
      </c>
      <c r="J58" s="287">
        <v>1.4200000000000001E-2</v>
      </c>
    </row>
    <row r="59" spans="1:10">
      <c r="A59" s="264">
        <v>22</v>
      </c>
      <c r="B59" s="285" t="s">
        <v>45</v>
      </c>
      <c r="C59" s="294">
        <v>3.4150700000000001</v>
      </c>
      <c r="D59" s="294">
        <v>-2.0173320000000001</v>
      </c>
      <c r="E59" s="294">
        <v>4.2412419999999997</v>
      </c>
      <c r="F59" s="294">
        <v>-3.2865679999999999</v>
      </c>
      <c r="G59" s="291">
        <v>0.99921499999999996</v>
      </c>
      <c r="H59" s="287">
        <v>3.8199999999999998E-2</v>
      </c>
      <c r="I59" s="288">
        <v>2</v>
      </c>
      <c r="J59" s="287">
        <v>1.43E-2</v>
      </c>
    </row>
    <row r="60" spans="1:10">
      <c r="A60" s="264">
        <v>22</v>
      </c>
      <c r="B60" s="285" t="s">
        <v>46</v>
      </c>
      <c r="C60" s="294">
        <v>3.4414799999999999</v>
      </c>
      <c r="D60" s="294">
        <v>-2.0362550000000001</v>
      </c>
      <c r="E60" s="294">
        <v>4.284675</v>
      </c>
      <c r="F60" s="294">
        <v>-3.3187380000000002</v>
      </c>
      <c r="G60" s="291">
        <v>0.99921099999999996</v>
      </c>
      <c r="H60" s="287">
        <v>3.8300000000000001E-2</v>
      </c>
      <c r="I60" s="288">
        <v>2</v>
      </c>
      <c r="J60" s="287">
        <v>1.44E-2</v>
      </c>
    </row>
    <row r="61" spans="1:10">
      <c r="A61" s="264">
        <v>23</v>
      </c>
      <c r="B61" s="285" t="s">
        <v>47</v>
      </c>
      <c r="C61" s="294">
        <v>3.7334309999999999</v>
      </c>
      <c r="D61" s="294">
        <v>-2.1902569999999999</v>
      </c>
      <c r="E61" s="294">
        <v>4.5743689999999999</v>
      </c>
      <c r="F61" s="294">
        <v>-3.471784</v>
      </c>
      <c r="G61" s="291">
        <v>0.99945300000000004</v>
      </c>
      <c r="H61" s="287">
        <v>3.15E-2</v>
      </c>
      <c r="I61" s="288">
        <v>6</v>
      </c>
      <c r="J61" s="287">
        <v>1.3100000000000001E-2</v>
      </c>
    </row>
    <row r="62" spans="1:10">
      <c r="A62" s="264">
        <v>23</v>
      </c>
      <c r="B62" s="285" t="s">
        <v>48</v>
      </c>
      <c r="C62" s="294">
        <v>3.742677</v>
      </c>
      <c r="D62" s="294">
        <v>-2.1965620000000001</v>
      </c>
      <c r="E62" s="294">
        <v>4.5882040000000002</v>
      </c>
      <c r="F62" s="294">
        <v>-3.4816449999999999</v>
      </c>
      <c r="G62" s="291">
        <v>0.99945399999999995</v>
      </c>
      <c r="H62" s="287">
        <v>3.15E-2</v>
      </c>
      <c r="I62" s="288">
        <v>6</v>
      </c>
      <c r="J62" s="287">
        <v>1.32E-2</v>
      </c>
    </row>
    <row r="63" spans="1:10">
      <c r="A63" s="264">
        <v>23</v>
      </c>
      <c r="B63" s="285" t="s">
        <v>49</v>
      </c>
      <c r="C63" s="294">
        <v>3.759757</v>
      </c>
      <c r="D63" s="294">
        <v>-2.2082630000000001</v>
      </c>
      <c r="E63" s="294">
        <v>4.6140109999999996</v>
      </c>
      <c r="F63" s="294">
        <v>-3.5001069999999999</v>
      </c>
      <c r="G63" s="291">
        <v>0.99945499999999998</v>
      </c>
      <c r="H63" s="287">
        <v>3.1699999999999999E-2</v>
      </c>
      <c r="I63" s="288">
        <v>6</v>
      </c>
      <c r="J63" s="287">
        <v>1.32E-2</v>
      </c>
    </row>
    <row r="64" spans="1:10">
      <c r="A64" s="264">
        <v>23</v>
      </c>
      <c r="B64" s="285" t="s">
        <v>50</v>
      </c>
      <c r="C64" s="294">
        <v>3.7837809999999998</v>
      </c>
      <c r="D64" s="294">
        <v>-2.224758</v>
      </c>
      <c r="E64" s="294">
        <v>4.6504649999999996</v>
      </c>
      <c r="F64" s="294">
        <v>-3.5262289999999998</v>
      </c>
      <c r="G64" s="291">
        <v>0.99945600000000001</v>
      </c>
      <c r="H64" s="287">
        <v>3.1800000000000002E-2</v>
      </c>
      <c r="I64" s="288">
        <v>6</v>
      </c>
      <c r="J64" s="287">
        <v>1.32E-2</v>
      </c>
    </row>
    <row r="65" spans="1:10">
      <c r="A65" s="264">
        <v>23</v>
      </c>
      <c r="B65" s="285" t="s">
        <v>51</v>
      </c>
      <c r="C65" s="294">
        <v>3.81426</v>
      </c>
      <c r="D65" s="294">
        <v>-2.2457029999999998</v>
      </c>
      <c r="E65" s="294">
        <v>4.6968019999999999</v>
      </c>
      <c r="F65" s="294">
        <v>-3.5594570000000001</v>
      </c>
      <c r="G65" s="291">
        <v>0.99945799999999996</v>
      </c>
      <c r="H65" s="287">
        <v>3.2000000000000001E-2</v>
      </c>
      <c r="I65" s="288">
        <v>6</v>
      </c>
      <c r="J65" s="287">
        <v>1.3299999999999999E-2</v>
      </c>
    </row>
    <row r="66" spans="1:10">
      <c r="A66" s="264">
        <v>24</v>
      </c>
      <c r="B66" s="285" t="s">
        <v>52</v>
      </c>
      <c r="C66" s="294">
        <v>3.9865870000000001</v>
      </c>
      <c r="D66" s="294">
        <v>-2.3017270000000001</v>
      </c>
      <c r="E66" s="294">
        <v>4.7362780000000004</v>
      </c>
      <c r="F66" s="294">
        <v>-3.5144850000000001</v>
      </c>
      <c r="G66" s="291">
        <v>0.99968800000000002</v>
      </c>
      <c r="H66" s="287">
        <v>2.87E-2</v>
      </c>
      <c r="I66" s="288">
        <v>6</v>
      </c>
      <c r="J66" s="287">
        <v>1.0999999999999999E-2</v>
      </c>
    </row>
    <row r="67" spans="1:10">
      <c r="A67" s="264">
        <v>24</v>
      </c>
      <c r="B67" s="285" t="s">
        <v>53</v>
      </c>
      <c r="C67" s="294">
        <v>3.994494</v>
      </c>
      <c r="D67" s="294">
        <v>-2.3067850000000001</v>
      </c>
      <c r="E67" s="294">
        <v>4.7467100000000002</v>
      </c>
      <c r="F67" s="294">
        <v>-3.5214859999999999</v>
      </c>
      <c r="G67" s="291">
        <v>0.99968900000000005</v>
      </c>
      <c r="H67" s="287">
        <v>2.87E-2</v>
      </c>
      <c r="I67" s="288">
        <v>6</v>
      </c>
      <c r="J67" s="287">
        <v>1.0999999999999999E-2</v>
      </c>
    </row>
    <row r="68" spans="1:10">
      <c r="A68" s="264">
        <v>24</v>
      </c>
      <c r="B68" s="285" t="s">
        <v>54</v>
      </c>
      <c r="C68" s="294">
        <v>4.0089600000000001</v>
      </c>
      <c r="D68" s="294">
        <v>-2.316106</v>
      </c>
      <c r="E68" s="294">
        <v>4.7660819999999999</v>
      </c>
      <c r="F68" s="294">
        <v>-3.5345789999999999</v>
      </c>
      <c r="G68" s="291">
        <v>0.99969200000000003</v>
      </c>
      <c r="H68" s="287">
        <v>2.8799999999999999E-2</v>
      </c>
      <c r="I68" s="288">
        <v>6</v>
      </c>
      <c r="J68" s="287">
        <v>1.0999999999999999E-2</v>
      </c>
    </row>
    <row r="69" spans="1:10">
      <c r="A69" s="264">
        <v>24</v>
      </c>
      <c r="B69" s="285" t="s">
        <v>55</v>
      </c>
      <c r="C69" s="294">
        <v>4.0293599999999996</v>
      </c>
      <c r="D69" s="294">
        <v>-2.329291</v>
      </c>
      <c r="E69" s="294">
        <v>4.793571</v>
      </c>
      <c r="F69" s="294">
        <v>-3.55321</v>
      </c>
      <c r="G69" s="291">
        <v>0.999695</v>
      </c>
      <c r="H69" s="287">
        <v>2.8799999999999999E-2</v>
      </c>
      <c r="I69" s="288">
        <v>6</v>
      </c>
      <c r="J69" s="287">
        <v>1.0999999999999999E-2</v>
      </c>
    </row>
    <row r="70" spans="1:10">
      <c r="A70" s="264">
        <v>24</v>
      </c>
      <c r="B70" s="285" t="s">
        <v>56</v>
      </c>
      <c r="C70" s="294">
        <v>4.055294</v>
      </c>
      <c r="D70" s="294">
        <v>-2.3460730000000001</v>
      </c>
      <c r="E70" s="294">
        <v>4.8286069999999999</v>
      </c>
      <c r="F70" s="294">
        <v>-3.576981</v>
      </c>
      <c r="G70" s="291">
        <v>0.999699</v>
      </c>
      <c r="H70" s="287">
        <v>2.8899999999999999E-2</v>
      </c>
      <c r="I70" s="288">
        <v>6</v>
      </c>
      <c r="J70" s="287">
        <v>1.09E-2</v>
      </c>
    </row>
    <row r="71" spans="1:10">
      <c r="A71" s="264">
        <v>24</v>
      </c>
      <c r="B71" s="285" t="s">
        <v>57</v>
      </c>
      <c r="C71" s="294">
        <v>4.0865830000000001</v>
      </c>
      <c r="D71" s="294">
        <v>-2.3663210000000001</v>
      </c>
      <c r="E71" s="294">
        <v>4.8708869999999997</v>
      </c>
      <c r="F71" s="294">
        <v>-3.6056689999999998</v>
      </c>
      <c r="G71" s="291">
        <v>0.99970300000000001</v>
      </c>
      <c r="H71" s="287">
        <v>2.8899999999999999E-2</v>
      </c>
      <c r="I71" s="288">
        <v>6</v>
      </c>
      <c r="J71" s="287">
        <v>1.09E-2</v>
      </c>
    </row>
    <row r="72" spans="1:10">
      <c r="A72" s="264">
        <v>25</v>
      </c>
      <c r="B72" s="285" t="s">
        <v>58</v>
      </c>
      <c r="C72" s="294">
        <v>4.1513280000000004</v>
      </c>
      <c r="D72" s="294">
        <v>-2.3369209999999998</v>
      </c>
      <c r="E72" s="294">
        <v>4.6981260000000002</v>
      </c>
      <c r="F72" s="294">
        <v>-3.3966050000000001</v>
      </c>
      <c r="G72" s="291">
        <v>0.99985299999999999</v>
      </c>
      <c r="H72" s="287">
        <v>2.3300000000000001E-2</v>
      </c>
      <c r="I72" s="288">
        <v>6</v>
      </c>
      <c r="J72" s="287">
        <v>8.2000000000000007E-3</v>
      </c>
    </row>
    <row r="73" spans="1:10">
      <c r="A73" s="264">
        <v>25</v>
      </c>
      <c r="B73" s="285" t="s">
        <v>59</v>
      </c>
      <c r="C73" s="294">
        <v>4.1453810000000004</v>
      </c>
      <c r="D73" s="294">
        <v>-2.332506</v>
      </c>
      <c r="E73" s="294">
        <v>4.687818</v>
      </c>
      <c r="F73" s="294">
        <v>-3.3890910000000001</v>
      </c>
      <c r="G73" s="291">
        <v>0.99985299999999999</v>
      </c>
      <c r="H73" s="287">
        <v>2.3300000000000001E-2</v>
      </c>
      <c r="I73" s="288">
        <v>6</v>
      </c>
      <c r="J73" s="287">
        <v>8.2000000000000007E-3</v>
      </c>
    </row>
    <row r="74" spans="1:10">
      <c r="A74" s="264">
        <v>25</v>
      </c>
      <c r="B74" s="285" t="s">
        <v>60</v>
      </c>
      <c r="C74" s="294">
        <v>4.1567290000000003</v>
      </c>
      <c r="D74" s="294">
        <v>-2.3391280000000001</v>
      </c>
      <c r="E74" s="294">
        <v>4.7001239999999997</v>
      </c>
      <c r="F74" s="294">
        <v>-3.396417</v>
      </c>
      <c r="G74" s="291">
        <v>0.99985500000000005</v>
      </c>
      <c r="H74" s="287">
        <v>2.3199999999999998E-2</v>
      </c>
      <c r="I74" s="288">
        <v>6</v>
      </c>
      <c r="J74" s="287">
        <v>8.2000000000000007E-3</v>
      </c>
    </row>
    <row r="75" spans="1:10">
      <c r="A75" s="264">
        <v>25</v>
      </c>
      <c r="B75" s="285" t="s">
        <v>61</v>
      </c>
      <c r="C75" s="294">
        <v>4.1727939999999997</v>
      </c>
      <c r="D75" s="294">
        <v>-2.3485529999999999</v>
      </c>
      <c r="E75" s="294">
        <v>4.717759</v>
      </c>
      <c r="F75" s="294">
        <v>-3.407</v>
      </c>
      <c r="G75" s="291">
        <v>0.999857</v>
      </c>
      <c r="H75" s="287">
        <v>2.3199999999999998E-2</v>
      </c>
      <c r="I75" s="288">
        <v>6</v>
      </c>
      <c r="J75" s="287">
        <v>8.0999999999999996E-3</v>
      </c>
    </row>
    <row r="76" spans="1:10">
      <c r="A76" s="264">
        <v>25</v>
      </c>
      <c r="B76" s="285" t="s">
        <v>62</v>
      </c>
      <c r="C76" s="294">
        <v>4.1932749999999999</v>
      </c>
      <c r="D76" s="294">
        <v>-2.3605960000000001</v>
      </c>
      <c r="E76" s="294">
        <v>4.7403570000000004</v>
      </c>
      <c r="F76" s="294">
        <v>-3.4206020000000001</v>
      </c>
      <c r="G76" s="291">
        <v>0.99985999999999997</v>
      </c>
      <c r="H76" s="287">
        <v>2.3099999999999999E-2</v>
      </c>
      <c r="I76" s="288">
        <v>6</v>
      </c>
      <c r="J76" s="287">
        <v>8.0999999999999996E-3</v>
      </c>
    </row>
    <row r="77" spans="1:10">
      <c r="A77" s="264">
        <v>25</v>
      </c>
      <c r="B77" s="285" t="s">
        <v>63</v>
      </c>
      <c r="C77" s="294">
        <v>4.2180070000000001</v>
      </c>
      <c r="D77" s="294">
        <v>-2.3751419999999999</v>
      </c>
      <c r="E77" s="294">
        <v>4.7676619999999996</v>
      </c>
      <c r="F77" s="294">
        <v>-3.4370409999999998</v>
      </c>
      <c r="G77" s="291">
        <v>0.99986200000000003</v>
      </c>
      <c r="H77" s="287">
        <v>2.29E-2</v>
      </c>
      <c r="I77" s="288">
        <v>6</v>
      </c>
      <c r="J77" s="287">
        <v>8.0000000000000002E-3</v>
      </c>
    </row>
    <row r="78" spans="1:10">
      <c r="A78" s="264">
        <v>25</v>
      </c>
      <c r="B78" s="285" t="s">
        <v>64</v>
      </c>
      <c r="C78" s="294">
        <v>4.2469299999999999</v>
      </c>
      <c r="D78" s="294">
        <v>-2.3921329999999998</v>
      </c>
      <c r="E78" s="294">
        <v>4.7995099999999997</v>
      </c>
      <c r="F78" s="294">
        <v>-3.4561769999999998</v>
      </c>
      <c r="G78" s="291">
        <v>0.999865</v>
      </c>
      <c r="H78" s="287">
        <v>2.2800000000000001E-2</v>
      </c>
      <c r="I78" s="288">
        <v>6</v>
      </c>
      <c r="J78" s="287">
        <v>8.0000000000000002E-3</v>
      </c>
    </row>
    <row r="79" spans="1:10">
      <c r="A79" s="264">
        <v>26</v>
      </c>
      <c r="B79" s="285" t="s">
        <v>65</v>
      </c>
      <c r="C79" s="294">
        <v>4.2044389999999998</v>
      </c>
      <c r="D79" s="294">
        <v>-2.2833890000000001</v>
      </c>
      <c r="E79" s="294">
        <v>4.4410759999999998</v>
      </c>
      <c r="F79" s="294">
        <v>-3.110948</v>
      </c>
      <c r="G79" s="291">
        <v>0.99992300000000001</v>
      </c>
      <c r="H79" s="287">
        <v>1.5699999999999999E-2</v>
      </c>
      <c r="I79" s="288">
        <v>6</v>
      </c>
      <c r="J79" s="287">
        <v>6.6E-3</v>
      </c>
    </row>
    <row r="80" spans="1:10">
      <c r="A80" s="264">
        <v>26</v>
      </c>
      <c r="B80" s="285" t="s">
        <v>66</v>
      </c>
      <c r="C80" s="294">
        <v>4.1991300000000003</v>
      </c>
      <c r="D80" s="294">
        <v>-2.2796889999999999</v>
      </c>
      <c r="E80" s="294">
        <v>4.4329669999999997</v>
      </c>
      <c r="F80" s="294">
        <v>-3.1054200000000001</v>
      </c>
      <c r="G80" s="291">
        <v>0.99992400000000004</v>
      </c>
      <c r="H80" s="287">
        <v>1.5699999999999999E-2</v>
      </c>
      <c r="I80" s="288">
        <v>6</v>
      </c>
      <c r="J80" s="287">
        <v>6.6E-3</v>
      </c>
    </row>
    <row r="81" spans="1:10">
      <c r="A81" s="264">
        <v>26</v>
      </c>
      <c r="B81" s="285" t="s">
        <v>67</v>
      </c>
      <c r="C81" s="294">
        <v>4.2071880000000004</v>
      </c>
      <c r="D81" s="294">
        <v>-2.28356</v>
      </c>
      <c r="E81" s="294">
        <v>4.4382460000000004</v>
      </c>
      <c r="F81" s="294">
        <v>-3.1071179999999998</v>
      </c>
      <c r="G81" s="291">
        <v>0.99992400000000004</v>
      </c>
      <c r="H81" s="287">
        <v>1.55E-2</v>
      </c>
      <c r="I81" s="288">
        <v>6</v>
      </c>
      <c r="J81" s="287">
        <v>6.6E-3</v>
      </c>
    </row>
    <row r="82" spans="1:10">
      <c r="A82" s="264">
        <v>26</v>
      </c>
      <c r="B82" s="285" t="s">
        <v>68</v>
      </c>
      <c r="C82" s="294">
        <v>4.2186870000000001</v>
      </c>
      <c r="D82" s="294">
        <v>-2.289161</v>
      </c>
      <c r="E82" s="294">
        <v>4.4461079999999997</v>
      </c>
      <c r="F82" s="294">
        <v>-3.1098659999999998</v>
      </c>
      <c r="G82" s="291">
        <v>0.99992300000000001</v>
      </c>
      <c r="H82" s="287">
        <v>1.5299999999999999E-2</v>
      </c>
      <c r="I82" s="288">
        <v>6</v>
      </c>
      <c r="J82" s="287">
        <v>6.7000000000000002E-3</v>
      </c>
    </row>
    <row r="83" spans="1:10">
      <c r="A83" s="264">
        <v>26</v>
      </c>
      <c r="B83" s="285" t="s">
        <v>69</v>
      </c>
      <c r="C83" s="294">
        <v>4.2334250000000004</v>
      </c>
      <c r="D83" s="294">
        <v>-2.296386</v>
      </c>
      <c r="E83" s="294">
        <v>4.4563740000000003</v>
      </c>
      <c r="F83" s="294">
        <v>-3.1135760000000001</v>
      </c>
      <c r="G83" s="291">
        <v>0.99992199999999998</v>
      </c>
      <c r="H83" s="287">
        <v>1.4999999999999999E-2</v>
      </c>
      <c r="I83" s="288">
        <v>6</v>
      </c>
      <c r="J83" s="287">
        <v>6.7000000000000002E-3</v>
      </c>
    </row>
    <row r="84" spans="1:10">
      <c r="A84" s="264">
        <v>26</v>
      </c>
      <c r="B84" s="285" t="s">
        <v>70</v>
      </c>
      <c r="C84" s="294">
        <v>4.2512730000000003</v>
      </c>
      <c r="D84" s="294">
        <v>-2.3051520000000001</v>
      </c>
      <c r="E84" s="294">
        <v>4.4688759999999998</v>
      </c>
      <c r="F84" s="294">
        <v>-3.1181350000000001</v>
      </c>
      <c r="G84" s="291">
        <v>0.99992099999999995</v>
      </c>
      <c r="H84" s="287">
        <v>1.61E-2</v>
      </c>
      <c r="I84" s="288">
        <v>2</v>
      </c>
      <c r="J84" s="287">
        <v>6.7999999999999996E-3</v>
      </c>
    </row>
    <row r="85" spans="1:10">
      <c r="A85" s="264">
        <v>27</v>
      </c>
      <c r="B85" s="285" t="s">
        <v>71</v>
      </c>
      <c r="C85" s="294">
        <v>4.1642590000000004</v>
      </c>
      <c r="D85" s="294">
        <v>-2.1593279999999999</v>
      </c>
      <c r="E85" s="294">
        <v>4.0179169999999997</v>
      </c>
      <c r="F85" s="294">
        <v>-2.7036210000000001</v>
      </c>
      <c r="G85" s="291">
        <v>0.99991600000000003</v>
      </c>
      <c r="H85" s="287">
        <v>2.7199999999999998E-2</v>
      </c>
      <c r="I85" s="288">
        <v>2</v>
      </c>
      <c r="J85" s="287">
        <v>6.6E-3</v>
      </c>
    </row>
    <row r="86" spans="1:10">
      <c r="A86" s="264">
        <v>27</v>
      </c>
      <c r="B86" s="285" t="s">
        <v>72</v>
      </c>
      <c r="C86" s="294">
        <v>4.1667959999999997</v>
      </c>
      <c r="D86" s="294">
        <v>-2.159856</v>
      </c>
      <c r="E86" s="294">
        <v>4.0167210000000004</v>
      </c>
      <c r="F86" s="294">
        <v>-2.701276</v>
      </c>
      <c r="G86" s="291">
        <v>0.999915</v>
      </c>
      <c r="H86" s="287">
        <v>2.75E-2</v>
      </c>
      <c r="I86" s="288">
        <v>2</v>
      </c>
      <c r="J86" s="287">
        <v>6.7000000000000002E-3</v>
      </c>
    </row>
    <row r="87" spans="1:10">
      <c r="A87" s="264">
        <v>27</v>
      </c>
      <c r="B87" s="285" t="s">
        <v>73</v>
      </c>
      <c r="C87" s="294">
        <v>4.1716579999999999</v>
      </c>
      <c r="D87" s="294">
        <v>-2.1611319999999998</v>
      </c>
      <c r="E87" s="294">
        <v>4.0155310000000002</v>
      </c>
      <c r="F87" s="294">
        <v>-2.697889</v>
      </c>
      <c r="G87" s="291">
        <v>0.99991300000000005</v>
      </c>
      <c r="H87" s="287">
        <v>2.81E-2</v>
      </c>
      <c r="I87" s="288">
        <v>2</v>
      </c>
      <c r="J87" s="287">
        <v>6.7000000000000002E-3</v>
      </c>
    </row>
    <row r="88" spans="1:10">
      <c r="A88" s="264">
        <v>27</v>
      </c>
      <c r="B88" s="285" t="s">
        <v>74</v>
      </c>
      <c r="C88" s="294">
        <v>4.1787369999999999</v>
      </c>
      <c r="D88" s="294">
        <v>-2.1631429999999998</v>
      </c>
      <c r="E88" s="294">
        <v>4.0144260000000003</v>
      </c>
      <c r="F88" s="294">
        <v>-2.6935850000000001</v>
      </c>
      <c r="G88" s="291">
        <v>0.99990999999999997</v>
      </c>
      <c r="H88" s="287">
        <v>2.8799999999999999E-2</v>
      </c>
      <c r="I88" s="288">
        <v>2</v>
      </c>
      <c r="J88" s="287">
        <v>6.7999999999999996E-3</v>
      </c>
    </row>
    <row r="89" spans="1:10">
      <c r="A89" s="264">
        <v>27</v>
      </c>
      <c r="B89" s="285" t="s">
        <v>75</v>
      </c>
      <c r="C89" s="294">
        <v>4.1879220000000004</v>
      </c>
      <c r="D89" s="294">
        <v>-2.165848</v>
      </c>
      <c r="E89" s="294">
        <v>4.013395</v>
      </c>
      <c r="F89" s="294">
        <v>-2.6884030000000001</v>
      </c>
      <c r="G89" s="291">
        <v>0.99990599999999996</v>
      </c>
      <c r="H89" s="287">
        <v>2.98E-2</v>
      </c>
      <c r="I89" s="288">
        <v>2</v>
      </c>
      <c r="J89" s="287">
        <v>7.0000000000000001E-3</v>
      </c>
    </row>
    <row r="90" spans="1:10">
      <c r="A90" s="264">
        <v>28</v>
      </c>
      <c r="B90" s="285" t="s">
        <v>76</v>
      </c>
      <c r="C90" s="294">
        <v>4.0629119999999999</v>
      </c>
      <c r="D90" s="294">
        <v>-1.9884280000000001</v>
      </c>
      <c r="E90" s="294">
        <v>3.4848569999999999</v>
      </c>
      <c r="F90" s="294">
        <v>-2.2169780000000001</v>
      </c>
      <c r="G90" s="291">
        <v>0.999861</v>
      </c>
      <c r="H90" s="287">
        <v>4.02E-2</v>
      </c>
      <c r="I90" s="288">
        <v>2</v>
      </c>
      <c r="J90" s="287">
        <v>8.9999999999999993E-3</v>
      </c>
    </row>
    <row r="91" spans="1:10">
      <c r="A91" s="264">
        <v>28</v>
      </c>
      <c r="B91" s="285" t="s">
        <v>77</v>
      </c>
      <c r="C91" s="294">
        <v>4.0637350000000003</v>
      </c>
      <c r="D91" s="294">
        <v>-1.9876020000000001</v>
      </c>
      <c r="E91" s="294">
        <v>3.4803630000000001</v>
      </c>
      <c r="F91" s="294">
        <v>-2.2120920000000002</v>
      </c>
      <c r="G91" s="291">
        <v>0.99985900000000005</v>
      </c>
      <c r="H91" s="287">
        <v>4.0500000000000001E-2</v>
      </c>
      <c r="I91" s="288">
        <v>2</v>
      </c>
      <c r="J91" s="287">
        <v>9.1000000000000004E-3</v>
      </c>
    </row>
    <row r="92" spans="1:10">
      <c r="A92" s="264">
        <v>28</v>
      </c>
      <c r="B92" s="285" t="s">
        <v>78</v>
      </c>
      <c r="C92" s="294">
        <v>4.0656819999999998</v>
      </c>
      <c r="D92" s="294">
        <v>-1.986585</v>
      </c>
      <c r="E92" s="294">
        <v>3.4735969999999998</v>
      </c>
      <c r="F92" s="294">
        <v>-2.204418</v>
      </c>
      <c r="G92" s="291">
        <v>0.99985500000000005</v>
      </c>
      <c r="H92" s="287">
        <v>4.1099999999999998E-2</v>
      </c>
      <c r="I92" s="288">
        <v>2</v>
      </c>
      <c r="J92" s="287">
        <v>9.1999999999999998E-3</v>
      </c>
    </row>
    <row r="93" spans="1:10">
      <c r="A93" s="264">
        <v>28</v>
      </c>
      <c r="B93" s="285" t="s">
        <v>79</v>
      </c>
      <c r="C93" s="294">
        <v>4.0687439999999997</v>
      </c>
      <c r="D93" s="294">
        <v>-1.9854309999999999</v>
      </c>
      <c r="E93" s="294">
        <v>3.4647950000000001</v>
      </c>
      <c r="F93" s="294">
        <v>-2.194194</v>
      </c>
      <c r="G93" s="291">
        <v>0.99985100000000005</v>
      </c>
      <c r="H93" s="287">
        <v>4.19E-2</v>
      </c>
      <c r="I93" s="288">
        <v>2</v>
      </c>
      <c r="J93" s="287">
        <v>9.4000000000000004E-3</v>
      </c>
    </row>
    <row r="94" spans="1:10">
      <c r="A94" s="264">
        <v>29</v>
      </c>
      <c r="B94" s="285" t="s">
        <v>80</v>
      </c>
      <c r="C94" s="294">
        <v>3.9077519999999999</v>
      </c>
      <c r="D94" s="294">
        <v>-1.780475</v>
      </c>
      <c r="E94" s="294">
        <v>2.8737409999999999</v>
      </c>
      <c r="F94" s="294">
        <v>-1.680547</v>
      </c>
      <c r="G94" s="291">
        <v>0.99978999999999996</v>
      </c>
      <c r="H94" s="287">
        <v>5.0799999999999998E-2</v>
      </c>
      <c r="I94" s="288">
        <v>2</v>
      </c>
      <c r="J94" s="287">
        <v>1.2699999999999999E-2</v>
      </c>
    </row>
    <row r="95" spans="1:10">
      <c r="A95" s="264">
        <v>29</v>
      </c>
      <c r="B95" s="285" t="s">
        <v>81</v>
      </c>
      <c r="C95" s="294">
        <v>3.9070640000000001</v>
      </c>
      <c r="D95" s="294">
        <v>-1.7784979999999999</v>
      </c>
      <c r="E95" s="294">
        <v>2.8665310000000002</v>
      </c>
      <c r="F95" s="294">
        <v>-1.673627</v>
      </c>
      <c r="G95" s="291">
        <v>0.99978699999999998</v>
      </c>
      <c r="H95" s="287">
        <v>5.11E-2</v>
      </c>
      <c r="I95" s="288">
        <v>2</v>
      </c>
      <c r="J95" s="287">
        <v>1.2800000000000001E-2</v>
      </c>
    </row>
    <row r="96" spans="1:10">
      <c r="A96" s="264">
        <v>29</v>
      </c>
      <c r="B96" s="285" t="s">
        <v>82</v>
      </c>
      <c r="C96" s="294">
        <v>3.9064839999999998</v>
      </c>
      <c r="D96" s="294">
        <v>-1.7755639999999999</v>
      </c>
      <c r="E96" s="294">
        <v>2.8552569999999999</v>
      </c>
      <c r="F96" s="294">
        <v>-1.662587</v>
      </c>
      <c r="G96" s="291">
        <v>0.99978299999999998</v>
      </c>
      <c r="H96" s="287">
        <v>5.1700000000000003E-2</v>
      </c>
      <c r="I96" s="288">
        <v>2</v>
      </c>
      <c r="J96" s="287">
        <v>1.2999999999999999E-2</v>
      </c>
    </row>
    <row r="97" spans="1:10">
      <c r="A97" s="264">
        <v>29</v>
      </c>
      <c r="B97" s="285" t="s">
        <v>83</v>
      </c>
      <c r="C97" s="294">
        <v>3.9060820000000001</v>
      </c>
      <c r="D97" s="294">
        <v>-1.7717780000000001</v>
      </c>
      <c r="E97" s="294">
        <v>2.8402599999999998</v>
      </c>
      <c r="F97" s="294">
        <v>-1.6477360000000001</v>
      </c>
      <c r="G97" s="291">
        <v>0.99977700000000003</v>
      </c>
      <c r="H97" s="287">
        <v>5.2499999999999998E-2</v>
      </c>
      <c r="I97" s="288">
        <v>2</v>
      </c>
      <c r="J97" s="287">
        <v>1.3299999999999999E-2</v>
      </c>
    </row>
    <row r="98" spans="1:10">
      <c r="A98" s="264">
        <v>30</v>
      </c>
      <c r="B98" s="285" t="s">
        <v>335</v>
      </c>
      <c r="C98" s="294">
        <v>3.7137579999999999</v>
      </c>
      <c r="D98" s="294">
        <v>-1.547533</v>
      </c>
      <c r="E98" s="294">
        <v>2.2153209999999999</v>
      </c>
      <c r="F98" s="294">
        <v>-1.1188750000000001</v>
      </c>
      <c r="G98" s="291">
        <v>0.99972399999999995</v>
      </c>
      <c r="H98" s="287">
        <v>5.8999999999999997E-2</v>
      </c>
      <c r="I98" s="288">
        <v>2</v>
      </c>
      <c r="J98" s="287">
        <v>1.6299999999999999E-2</v>
      </c>
    </row>
    <row r="99" spans="1:10">
      <c r="A99" s="264">
        <v>31</v>
      </c>
      <c r="B99" s="285" t="s">
        <v>84</v>
      </c>
      <c r="C99" s="294">
        <v>3.4930919999999999</v>
      </c>
      <c r="D99" s="294">
        <v>-1.298521</v>
      </c>
      <c r="E99" s="294">
        <v>1.5300339999999999</v>
      </c>
      <c r="F99" s="294">
        <v>-0.54637809999999998</v>
      </c>
      <c r="G99" s="291">
        <v>0.99966999999999995</v>
      </c>
      <c r="H99" s="287">
        <v>6.5100000000000005E-2</v>
      </c>
      <c r="I99" s="288">
        <v>2</v>
      </c>
      <c r="J99" s="287">
        <v>1.9599999999999999E-2</v>
      </c>
    </row>
    <row r="100" spans="1:10">
      <c r="A100" s="264">
        <v>31</v>
      </c>
      <c r="B100" s="285" t="s">
        <v>85</v>
      </c>
      <c r="C100" s="294">
        <v>3.493897</v>
      </c>
      <c r="D100" s="294">
        <v>-1.300157</v>
      </c>
      <c r="E100" s="294">
        <v>1.5360290000000001</v>
      </c>
      <c r="F100" s="294">
        <v>-0.55236359999999995</v>
      </c>
      <c r="G100" s="291">
        <v>0.99967300000000003</v>
      </c>
      <c r="H100" s="287">
        <v>6.4699999999999994E-2</v>
      </c>
      <c r="I100" s="288">
        <v>2</v>
      </c>
      <c r="J100" s="287">
        <v>1.95E-2</v>
      </c>
    </row>
    <row r="101" spans="1:10">
      <c r="A101" s="264">
        <v>31</v>
      </c>
      <c r="B101" s="285" t="s">
        <v>86</v>
      </c>
      <c r="C101" s="294">
        <v>3.4950909999999999</v>
      </c>
      <c r="D101" s="294">
        <v>-1.302554</v>
      </c>
      <c r="E101" s="294">
        <v>1.544808</v>
      </c>
      <c r="F101" s="294">
        <v>-0.56114030000000004</v>
      </c>
      <c r="G101" s="291">
        <v>0.99967799999999996</v>
      </c>
      <c r="H101" s="287">
        <v>6.4199999999999993E-2</v>
      </c>
      <c r="I101" s="288">
        <v>2</v>
      </c>
      <c r="J101" s="287">
        <v>1.9300000000000001E-2</v>
      </c>
    </row>
    <row r="102" spans="1:10">
      <c r="A102" s="264">
        <v>32</v>
      </c>
      <c r="B102" s="285" t="s">
        <v>87</v>
      </c>
      <c r="C102" s="294">
        <v>3.2569629999999998</v>
      </c>
      <c r="D102" s="294">
        <v>-1.047021</v>
      </c>
      <c r="E102" s="294">
        <v>0.86093989999999998</v>
      </c>
      <c r="F102" s="294">
        <v>-2.8966090000000001E-3</v>
      </c>
      <c r="G102" s="291">
        <v>0.99964900000000001</v>
      </c>
      <c r="H102" s="287">
        <v>6.7599999999999993E-2</v>
      </c>
      <c r="I102" s="288">
        <v>2</v>
      </c>
      <c r="J102" s="287">
        <v>2.18E-2</v>
      </c>
    </row>
    <row r="103" spans="1:10">
      <c r="A103" s="264">
        <v>32</v>
      </c>
      <c r="B103" s="285" t="s">
        <v>88</v>
      </c>
      <c r="C103" s="294">
        <v>3.258607</v>
      </c>
      <c r="D103" s="294">
        <v>-1.0487690000000001</v>
      </c>
      <c r="E103" s="294">
        <v>0.86563330000000005</v>
      </c>
      <c r="F103" s="294">
        <v>-6.5958029999999999E-3</v>
      </c>
      <c r="G103" s="291">
        <v>0.99964900000000001</v>
      </c>
      <c r="H103" s="287">
        <v>6.7599999999999993E-2</v>
      </c>
      <c r="I103" s="288">
        <v>2</v>
      </c>
      <c r="J103" s="287">
        <v>2.18E-2</v>
      </c>
    </row>
    <row r="104" spans="1:10">
      <c r="A104" s="264">
        <v>32</v>
      </c>
      <c r="B104" s="285" t="s">
        <v>89</v>
      </c>
      <c r="C104" s="294">
        <v>3.2612350000000001</v>
      </c>
      <c r="D104" s="294">
        <v>-1.0522100000000001</v>
      </c>
      <c r="E104" s="294">
        <v>0.87678440000000002</v>
      </c>
      <c r="F104" s="294">
        <v>-1.7060820000000001E-2</v>
      </c>
      <c r="G104" s="291">
        <v>0.99965300000000001</v>
      </c>
      <c r="H104" s="287">
        <v>6.7100000000000007E-2</v>
      </c>
      <c r="I104" s="288">
        <v>2</v>
      </c>
      <c r="J104" s="287">
        <v>2.1700000000000001E-2</v>
      </c>
    </row>
    <row r="105" spans="1:10">
      <c r="A105" s="264">
        <v>32</v>
      </c>
      <c r="B105" s="285" t="s">
        <v>90</v>
      </c>
      <c r="C105" s="294">
        <v>3.264818</v>
      </c>
      <c r="D105" s="294">
        <v>-1.056854</v>
      </c>
      <c r="E105" s="294">
        <v>0.89179589999999997</v>
      </c>
      <c r="F105" s="294">
        <v>-3.1137890000000001E-2</v>
      </c>
      <c r="G105" s="291">
        <v>0.99965899999999996</v>
      </c>
      <c r="H105" s="287">
        <v>6.6500000000000004E-2</v>
      </c>
      <c r="I105" s="288">
        <v>2</v>
      </c>
      <c r="J105" s="287">
        <v>2.1499999999999998E-2</v>
      </c>
    </row>
    <row r="106" spans="1:10">
      <c r="A106" s="264">
        <v>33</v>
      </c>
      <c r="B106" s="285" t="s">
        <v>336</v>
      </c>
      <c r="C106" s="294">
        <v>3.0198109999999998</v>
      </c>
      <c r="D106" s="294">
        <v>-0.80404810000000004</v>
      </c>
      <c r="E106" s="294">
        <v>0.2333549</v>
      </c>
      <c r="F106" s="294">
        <v>0.4938244</v>
      </c>
      <c r="G106" s="291">
        <v>0.99965400000000004</v>
      </c>
      <c r="H106" s="287">
        <v>6.7100000000000007E-2</v>
      </c>
      <c r="I106" s="288">
        <v>2</v>
      </c>
      <c r="J106" s="287">
        <v>2.3199999999999998E-2</v>
      </c>
    </row>
    <row r="107" spans="1:10">
      <c r="A107" s="264">
        <v>33</v>
      </c>
      <c r="B107" s="285" t="s">
        <v>91</v>
      </c>
      <c r="C107" s="294">
        <v>3.0227040000000001</v>
      </c>
      <c r="D107" s="294">
        <v>-0.80699089999999996</v>
      </c>
      <c r="E107" s="294">
        <v>0.24114630000000001</v>
      </c>
      <c r="F107" s="294">
        <v>0.48769449999999998</v>
      </c>
      <c r="G107" s="291">
        <v>0.99965400000000004</v>
      </c>
      <c r="H107" s="287">
        <v>6.7000000000000004E-2</v>
      </c>
      <c r="I107" s="288">
        <v>2</v>
      </c>
      <c r="J107" s="287">
        <v>2.3199999999999998E-2</v>
      </c>
    </row>
    <row r="108" spans="1:10">
      <c r="A108" s="264">
        <v>33</v>
      </c>
      <c r="B108" s="285" t="s">
        <v>337</v>
      </c>
      <c r="C108" s="294">
        <v>3.0345200000000001</v>
      </c>
      <c r="D108" s="294">
        <v>-0.82013820000000004</v>
      </c>
      <c r="E108" s="294">
        <v>0.28091729999999998</v>
      </c>
      <c r="F108" s="294">
        <v>0.45186700000000002</v>
      </c>
      <c r="G108" s="291">
        <v>0.99966500000000003</v>
      </c>
      <c r="H108" s="287">
        <v>6.59E-2</v>
      </c>
      <c r="I108" s="288">
        <v>2</v>
      </c>
      <c r="J108" s="287">
        <v>2.2700000000000001E-2</v>
      </c>
    </row>
    <row r="109" spans="1:10">
      <c r="A109" s="264">
        <v>34</v>
      </c>
      <c r="B109" s="285" t="s">
        <v>338</v>
      </c>
      <c r="C109" s="294">
        <v>2.7881580000000001</v>
      </c>
      <c r="D109" s="294">
        <v>-0.57425800000000005</v>
      </c>
      <c r="E109" s="294">
        <v>-0.3416575</v>
      </c>
      <c r="F109" s="294">
        <v>0.93543200000000004</v>
      </c>
      <c r="G109" s="291">
        <v>0.99968100000000004</v>
      </c>
      <c r="H109" s="287">
        <v>6.3700000000000007E-2</v>
      </c>
      <c r="I109" s="288">
        <v>2</v>
      </c>
      <c r="J109" s="287">
        <v>2.35E-2</v>
      </c>
    </row>
    <row r="110" spans="1:10">
      <c r="A110" s="264">
        <v>34</v>
      </c>
      <c r="B110" s="285" t="s">
        <v>339</v>
      </c>
      <c r="C110" s="294">
        <v>2.7955559999999999</v>
      </c>
      <c r="D110" s="294">
        <v>-0.58144220000000002</v>
      </c>
      <c r="E110" s="294">
        <v>-0.32311849999999998</v>
      </c>
      <c r="F110" s="294">
        <v>0.92108849999999998</v>
      </c>
      <c r="G110" s="291">
        <v>0.99968199999999996</v>
      </c>
      <c r="H110" s="287">
        <v>6.3600000000000004E-2</v>
      </c>
      <c r="I110" s="288">
        <v>2</v>
      </c>
      <c r="J110" s="287">
        <v>2.35E-2</v>
      </c>
    </row>
    <row r="111" spans="1:10">
      <c r="A111" s="264">
        <v>34</v>
      </c>
      <c r="B111" s="285" t="s">
        <v>340</v>
      </c>
      <c r="C111" s="294">
        <v>2.813974</v>
      </c>
      <c r="D111" s="294">
        <v>-0.60027850000000005</v>
      </c>
      <c r="E111" s="294">
        <v>-0.2686209</v>
      </c>
      <c r="F111" s="294">
        <v>0.87343249999999995</v>
      </c>
      <c r="G111" s="291">
        <v>0.99969300000000005</v>
      </c>
      <c r="H111" s="287">
        <v>6.2399999999999997E-2</v>
      </c>
      <c r="I111" s="288">
        <v>2</v>
      </c>
      <c r="J111" s="287">
        <v>2.3E-2</v>
      </c>
    </row>
    <row r="112" spans="1:10">
      <c r="A112" s="264">
        <v>35</v>
      </c>
      <c r="B112" s="285" t="s">
        <v>92</v>
      </c>
      <c r="C112" s="294">
        <v>2.5701309999999999</v>
      </c>
      <c r="D112" s="294">
        <v>-0.36424339999999999</v>
      </c>
      <c r="E112" s="294">
        <v>-0.84803079999999997</v>
      </c>
      <c r="F112" s="294">
        <v>1.3099620000000001</v>
      </c>
      <c r="G112" s="291">
        <v>0.99972499999999997</v>
      </c>
      <c r="H112" s="287">
        <v>5.7500000000000002E-2</v>
      </c>
      <c r="I112" s="288">
        <v>2</v>
      </c>
      <c r="J112" s="287">
        <v>2.3E-2</v>
      </c>
    </row>
    <row r="113" spans="1:10">
      <c r="A113" s="264">
        <v>35</v>
      </c>
      <c r="B113" s="285" t="s">
        <v>341</v>
      </c>
      <c r="C113" s="294">
        <v>2.574973</v>
      </c>
      <c r="D113" s="294">
        <v>-0.3687686</v>
      </c>
      <c r="E113" s="294">
        <v>-0.8368217</v>
      </c>
      <c r="F113" s="294">
        <v>1.3016300000000001</v>
      </c>
      <c r="G113" s="291">
        <v>0.99972499999999997</v>
      </c>
      <c r="H113" s="287">
        <v>5.7500000000000002E-2</v>
      </c>
      <c r="I113" s="288">
        <v>2</v>
      </c>
      <c r="J113" s="287">
        <v>2.29E-2</v>
      </c>
    </row>
    <row r="114" spans="1:10">
      <c r="A114" s="264">
        <v>35</v>
      </c>
      <c r="B114" s="285" t="s">
        <v>93</v>
      </c>
      <c r="C114" s="294">
        <v>2.5794630000000001</v>
      </c>
      <c r="D114" s="294">
        <v>-0.3729536</v>
      </c>
      <c r="E114" s="294">
        <v>-0.82629649999999999</v>
      </c>
      <c r="F114" s="294">
        <v>1.2936369999999999</v>
      </c>
      <c r="G114" s="291">
        <v>0.99972499999999997</v>
      </c>
      <c r="H114" s="287">
        <v>5.7500000000000002E-2</v>
      </c>
      <c r="I114" s="288">
        <v>2</v>
      </c>
      <c r="J114" s="287">
        <v>2.29E-2</v>
      </c>
    </row>
    <row r="115" spans="1:10">
      <c r="A115" s="264">
        <v>35</v>
      </c>
      <c r="B115" s="285" t="s">
        <v>94</v>
      </c>
      <c r="C115" s="294">
        <v>2.5855450000000002</v>
      </c>
      <c r="D115" s="294">
        <v>-0.37860450000000001</v>
      </c>
      <c r="E115" s="294">
        <v>-0.81202750000000001</v>
      </c>
      <c r="F115" s="294">
        <v>1.282732</v>
      </c>
      <c r="G115" s="291">
        <v>0.999726</v>
      </c>
      <c r="H115" s="287">
        <v>5.74E-2</v>
      </c>
      <c r="I115" s="288">
        <v>2</v>
      </c>
      <c r="J115" s="287">
        <v>2.29E-2</v>
      </c>
    </row>
    <row r="116" spans="1:10">
      <c r="A116" s="264">
        <v>35</v>
      </c>
      <c r="B116" s="285" t="s">
        <v>342</v>
      </c>
      <c r="C116" s="294">
        <v>2.611078</v>
      </c>
      <c r="D116" s="294">
        <v>-0.40331129999999998</v>
      </c>
      <c r="E116" s="294">
        <v>-0.74291839999999998</v>
      </c>
      <c r="F116" s="294">
        <v>1.223752</v>
      </c>
      <c r="G116" s="291">
        <v>0.99973599999999996</v>
      </c>
      <c r="H116" s="287">
        <v>5.6399999999999999E-2</v>
      </c>
      <c r="I116" s="288">
        <v>2</v>
      </c>
      <c r="J116" s="287">
        <v>2.24E-2</v>
      </c>
    </row>
    <row r="117" spans="1:10">
      <c r="A117" s="264">
        <v>35</v>
      </c>
      <c r="B117" s="285" t="s">
        <v>343</v>
      </c>
      <c r="C117" s="294">
        <v>2.5695739999999998</v>
      </c>
      <c r="D117" s="294">
        <v>-0.3637339</v>
      </c>
      <c r="E117" s="294">
        <v>-0.84898879999999999</v>
      </c>
      <c r="F117" s="294">
        <v>1.310368</v>
      </c>
      <c r="G117" s="291">
        <v>0.99972499999999997</v>
      </c>
      <c r="H117" s="287">
        <v>5.7500000000000002E-2</v>
      </c>
      <c r="I117" s="288">
        <v>2</v>
      </c>
      <c r="J117" s="287">
        <v>2.3E-2</v>
      </c>
    </row>
    <row r="118" spans="1:10">
      <c r="A118" s="264">
        <v>36</v>
      </c>
      <c r="B118" s="285" t="s">
        <v>344</v>
      </c>
      <c r="C118" s="294">
        <v>2.3778130000000002</v>
      </c>
      <c r="D118" s="294">
        <v>-0.18400610000000001</v>
      </c>
      <c r="E118" s="294">
        <v>-1.262467</v>
      </c>
      <c r="F118" s="294">
        <v>1.6010720000000001</v>
      </c>
      <c r="G118" s="291">
        <v>0.99977800000000006</v>
      </c>
      <c r="H118" s="287">
        <v>5.2499999999999998E-2</v>
      </c>
      <c r="I118" s="288">
        <v>6</v>
      </c>
      <c r="J118" s="287">
        <v>2.1499999999999998E-2</v>
      </c>
    </row>
    <row r="119" spans="1:10">
      <c r="A119" s="264">
        <v>37</v>
      </c>
      <c r="B119" s="285" t="s">
        <v>95</v>
      </c>
      <c r="C119" s="294">
        <v>2.2093660000000002</v>
      </c>
      <c r="D119" s="294">
        <v>-3.0598799999999999E-2</v>
      </c>
      <c r="E119" s="294">
        <v>-1.5936859999999999</v>
      </c>
      <c r="F119" s="294">
        <v>1.8161860000000001</v>
      </c>
      <c r="G119" s="291">
        <v>0.99983299999999997</v>
      </c>
      <c r="H119" s="287">
        <v>5.0099999999999999E-2</v>
      </c>
      <c r="I119" s="288">
        <v>6</v>
      </c>
      <c r="J119" s="287">
        <v>1.9199999999999998E-2</v>
      </c>
    </row>
    <row r="120" spans="1:10">
      <c r="A120" s="264">
        <v>38</v>
      </c>
      <c r="B120" s="285" t="s">
        <v>345</v>
      </c>
      <c r="C120" s="294">
        <v>2.0762489999999998</v>
      </c>
      <c r="D120" s="294">
        <v>8.6995939999999994E-2</v>
      </c>
      <c r="E120" s="294">
        <v>-1.822557</v>
      </c>
      <c r="F120" s="294">
        <v>1.9433240000000001</v>
      </c>
      <c r="G120" s="291">
        <v>0.99988500000000002</v>
      </c>
      <c r="H120" s="287">
        <v>4.5699999999999998E-2</v>
      </c>
      <c r="I120" s="288">
        <v>6</v>
      </c>
      <c r="J120" s="287">
        <v>1.6400000000000001E-2</v>
      </c>
    </row>
    <row r="121" spans="1:10">
      <c r="A121" s="264">
        <v>39</v>
      </c>
      <c r="B121" s="285" t="s">
        <v>346</v>
      </c>
      <c r="C121" s="294">
        <v>1.983147</v>
      </c>
      <c r="D121" s="294">
        <v>0.16608919999999999</v>
      </c>
      <c r="E121" s="294">
        <v>-1.944982</v>
      </c>
      <c r="F121" s="294">
        <v>1.981152</v>
      </c>
      <c r="G121" s="291">
        <v>0.99992700000000001</v>
      </c>
      <c r="H121" s="287">
        <v>3.9300000000000002E-2</v>
      </c>
      <c r="I121" s="288">
        <v>6</v>
      </c>
      <c r="J121" s="287">
        <v>1.32E-2</v>
      </c>
    </row>
    <row r="122" spans="1:10">
      <c r="A122" s="264">
        <v>39</v>
      </c>
      <c r="B122" s="285" t="s">
        <v>96</v>
      </c>
      <c r="C122" s="294">
        <v>1.9792289999999999</v>
      </c>
      <c r="D122" s="294">
        <v>0.16945789999999999</v>
      </c>
      <c r="E122" s="294">
        <v>-1.953074</v>
      </c>
      <c r="F122" s="294">
        <v>1.9871160000000001</v>
      </c>
      <c r="G122" s="291">
        <v>0.99992700000000001</v>
      </c>
      <c r="H122" s="287">
        <v>3.9399999999999998E-2</v>
      </c>
      <c r="I122" s="288">
        <v>6</v>
      </c>
      <c r="J122" s="287">
        <v>1.3299999999999999E-2</v>
      </c>
    </row>
    <row r="123" spans="1:10">
      <c r="A123" s="264">
        <v>40</v>
      </c>
      <c r="B123" s="285" t="s">
        <v>97</v>
      </c>
      <c r="C123" s="294">
        <v>1.927319</v>
      </c>
      <c r="D123" s="294">
        <v>0.21046039999999999</v>
      </c>
      <c r="E123" s="294">
        <v>-1.973401</v>
      </c>
      <c r="F123" s="294">
        <v>1.9413929999999999</v>
      </c>
      <c r="G123" s="291">
        <v>0.99995500000000004</v>
      </c>
      <c r="H123" s="287">
        <v>3.1199999999999999E-2</v>
      </c>
      <c r="I123" s="288">
        <v>6</v>
      </c>
      <c r="J123" s="287">
        <v>1.09E-2</v>
      </c>
    </row>
    <row r="124" spans="1:10">
      <c r="A124" s="264">
        <v>40</v>
      </c>
      <c r="B124" s="285" t="s">
        <v>98</v>
      </c>
      <c r="C124" s="294">
        <v>1.9290799999999999</v>
      </c>
      <c r="D124" s="294">
        <v>0.2089859</v>
      </c>
      <c r="E124" s="294">
        <v>-1.969757</v>
      </c>
      <c r="F124" s="294">
        <v>1.9386060000000001</v>
      </c>
      <c r="G124" s="291">
        <v>0.99995500000000004</v>
      </c>
      <c r="H124" s="287">
        <v>3.1199999999999999E-2</v>
      </c>
      <c r="I124" s="288">
        <v>6</v>
      </c>
      <c r="J124" s="287">
        <v>1.0800000000000001E-2</v>
      </c>
    </row>
    <row r="125" spans="1:10">
      <c r="A125" s="264">
        <v>40</v>
      </c>
      <c r="B125" s="285" t="s">
        <v>99</v>
      </c>
      <c r="C125" s="294">
        <v>1.925443</v>
      </c>
      <c r="D125" s="294">
        <v>0.2120213</v>
      </c>
      <c r="E125" s="294">
        <v>-1.9768129999999999</v>
      </c>
      <c r="F125" s="294">
        <v>1.9436370000000001</v>
      </c>
      <c r="G125" s="291">
        <v>0.99995500000000004</v>
      </c>
      <c r="H125" s="287">
        <v>3.1199999999999999E-2</v>
      </c>
      <c r="I125" s="288">
        <v>6</v>
      </c>
      <c r="J125" s="287">
        <v>1.09E-2</v>
      </c>
    </row>
    <row r="126" spans="1:10">
      <c r="A126" s="264">
        <v>40</v>
      </c>
      <c r="B126" s="285" t="s">
        <v>100</v>
      </c>
      <c r="C126" s="294">
        <v>1.920585</v>
      </c>
      <c r="D126" s="294">
        <v>0.21610289999999999</v>
      </c>
      <c r="E126" s="294">
        <v>-1.9863470000000001</v>
      </c>
      <c r="F126" s="294">
        <v>1.9504619999999999</v>
      </c>
      <c r="G126" s="291">
        <v>0.99995500000000004</v>
      </c>
      <c r="H126" s="287">
        <v>3.1199999999999999E-2</v>
      </c>
      <c r="I126" s="288">
        <v>6</v>
      </c>
      <c r="J126" s="287">
        <v>1.09E-2</v>
      </c>
    </row>
    <row r="127" spans="1:10">
      <c r="A127" s="264">
        <v>41</v>
      </c>
      <c r="B127" s="285" t="s">
        <v>347</v>
      </c>
      <c r="C127" s="294">
        <v>1.914857</v>
      </c>
      <c r="D127" s="294">
        <v>0.21628410000000001</v>
      </c>
      <c r="E127" s="294">
        <v>-1.9012659999999999</v>
      </c>
      <c r="F127" s="294">
        <v>1.82114</v>
      </c>
      <c r="G127" s="291">
        <v>0.99996200000000002</v>
      </c>
      <c r="H127" s="287">
        <v>2.8500000000000001E-2</v>
      </c>
      <c r="I127" s="288">
        <v>2</v>
      </c>
      <c r="J127" s="287">
        <v>9.7999999999999997E-3</v>
      </c>
    </row>
    <row r="128" spans="1:10">
      <c r="A128" s="264">
        <v>41</v>
      </c>
      <c r="B128" s="285" t="s">
        <v>101</v>
      </c>
      <c r="C128" s="294">
        <v>1.911535</v>
      </c>
      <c r="D128" s="294">
        <v>0.21897030000000001</v>
      </c>
      <c r="E128" s="294">
        <v>-1.90727</v>
      </c>
      <c r="F128" s="294">
        <v>1.8252390000000001</v>
      </c>
      <c r="G128" s="291">
        <v>0.99996200000000002</v>
      </c>
      <c r="H128" s="287">
        <v>2.87E-2</v>
      </c>
      <c r="I128" s="288">
        <v>2</v>
      </c>
      <c r="J128" s="287">
        <v>9.7999999999999997E-3</v>
      </c>
    </row>
    <row r="129" spans="1:10">
      <c r="A129" s="264">
        <v>41</v>
      </c>
      <c r="B129" s="285" t="s">
        <v>102</v>
      </c>
      <c r="C129" s="294">
        <v>1.9071020000000001</v>
      </c>
      <c r="D129" s="294">
        <v>0.2225808</v>
      </c>
      <c r="E129" s="294">
        <v>-1.915392</v>
      </c>
      <c r="F129" s="294">
        <v>1.8308219999999999</v>
      </c>
      <c r="G129" s="291">
        <v>0.99996200000000002</v>
      </c>
      <c r="H129" s="287">
        <v>2.8899999999999999E-2</v>
      </c>
      <c r="I129" s="288">
        <v>2</v>
      </c>
      <c r="J129" s="287">
        <v>9.9000000000000008E-3</v>
      </c>
    </row>
    <row r="130" spans="1:10">
      <c r="A130" s="264">
        <v>41</v>
      </c>
      <c r="B130" s="285" t="s">
        <v>103</v>
      </c>
      <c r="C130" s="294">
        <v>1.9016379999999999</v>
      </c>
      <c r="D130" s="294">
        <v>0.22705810000000001</v>
      </c>
      <c r="E130" s="294">
        <v>-1.925521</v>
      </c>
      <c r="F130" s="294">
        <v>1.8378239999999999</v>
      </c>
      <c r="G130" s="291">
        <v>0.99996200000000002</v>
      </c>
      <c r="H130" s="287">
        <v>2.92E-2</v>
      </c>
      <c r="I130" s="288">
        <v>2</v>
      </c>
      <c r="J130" s="287">
        <v>9.9000000000000008E-3</v>
      </c>
    </row>
    <row r="131" spans="1:10">
      <c r="A131" s="264">
        <v>42</v>
      </c>
      <c r="B131" s="285" t="s">
        <v>104</v>
      </c>
      <c r="C131" s="294">
        <v>1.942367</v>
      </c>
      <c r="D131" s="294">
        <v>0.1877472</v>
      </c>
      <c r="E131" s="294">
        <v>-1.7422580000000001</v>
      </c>
      <c r="F131" s="294">
        <v>1.6332599999999999</v>
      </c>
      <c r="G131" s="291">
        <v>0.999946</v>
      </c>
      <c r="H131" s="287">
        <v>4.8800000000000003E-2</v>
      </c>
      <c r="I131" s="288">
        <v>2</v>
      </c>
      <c r="J131" s="287">
        <v>1.04E-2</v>
      </c>
    </row>
    <row r="132" spans="1:10">
      <c r="A132" s="264">
        <v>42</v>
      </c>
      <c r="B132" s="285" t="s">
        <v>105</v>
      </c>
      <c r="C132" s="294">
        <v>1.9404870000000001</v>
      </c>
      <c r="D132" s="294">
        <v>0.18919459999999999</v>
      </c>
      <c r="E132" s="294">
        <v>-1.7452859999999999</v>
      </c>
      <c r="F132" s="294">
        <v>1.635165</v>
      </c>
      <c r="G132" s="291">
        <v>0.999946</v>
      </c>
      <c r="H132" s="287">
        <v>4.9000000000000002E-2</v>
      </c>
      <c r="I132" s="288">
        <v>2</v>
      </c>
      <c r="J132" s="287">
        <v>1.04E-2</v>
      </c>
    </row>
    <row r="133" spans="1:10">
      <c r="A133" s="264">
        <v>42</v>
      </c>
      <c r="B133" s="285" t="s">
        <v>106</v>
      </c>
      <c r="C133" s="294">
        <v>1.9375230000000001</v>
      </c>
      <c r="D133" s="294">
        <v>0.19150710000000001</v>
      </c>
      <c r="E133" s="294">
        <v>-1.7501990000000001</v>
      </c>
      <c r="F133" s="294">
        <v>1.638317</v>
      </c>
      <c r="G133" s="291">
        <v>0.999946</v>
      </c>
      <c r="H133" s="287">
        <v>4.9200000000000001E-2</v>
      </c>
      <c r="I133" s="288">
        <v>2</v>
      </c>
      <c r="J133" s="287">
        <v>1.0500000000000001E-2</v>
      </c>
    </row>
    <row r="134" spans="1:10">
      <c r="A134" s="264">
        <v>42</v>
      </c>
      <c r="B134" s="285" t="s">
        <v>107</v>
      </c>
      <c r="C134" s="294">
        <v>1.9335560000000001</v>
      </c>
      <c r="D134" s="294">
        <v>0.19462940000000001</v>
      </c>
      <c r="E134" s="294">
        <v>-1.7569030000000001</v>
      </c>
      <c r="F134" s="294">
        <v>1.642676</v>
      </c>
      <c r="G134" s="291">
        <v>0.99994499999999997</v>
      </c>
      <c r="H134" s="287">
        <v>4.9500000000000002E-2</v>
      </c>
      <c r="I134" s="288">
        <v>2</v>
      </c>
      <c r="J134" s="287">
        <v>1.0500000000000001E-2</v>
      </c>
    </row>
    <row r="135" spans="1:10">
      <c r="A135" s="264">
        <v>42</v>
      </c>
      <c r="B135" s="285" t="s">
        <v>108</v>
      </c>
      <c r="C135" s="294">
        <v>1.928633</v>
      </c>
      <c r="D135" s="294">
        <v>0.19853380000000001</v>
      </c>
      <c r="E135" s="294">
        <v>-1.76536</v>
      </c>
      <c r="F135" s="294">
        <v>1.648234</v>
      </c>
      <c r="G135" s="291">
        <v>0.99994499999999997</v>
      </c>
      <c r="H135" s="287">
        <v>4.9799999999999997E-2</v>
      </c>
      <c r="I135" s="288">
        <v>2</v>
      </c>
      <c r="J135" s="287">
        <v>1.0500000000000001E-2</v>
      </c>
    </row>
    <row r="136" spans="1:10">
      <c r="A136" s="264">
        <v>42</v>
      </c>
      <c r="B136" s="285" t="s">
        <v>109</v>
      </c>
      <c r="C136" s="294">
        <v>1.9227620000000001</v>
      </c>
      <c r="D136" s="294">
        <v>0.20321800000000001</v>
      </c>
      <c r="E136" s="294">
        <v>-1.7755860000000001</v>
      </c>
      <c r="F136" s="294">
        <v>1.655019</v>
      </c>
      <c r="G136" s="291">
        <v>0.99994400000000006</v>
      </c>
      <c r="H136" s="287">
        <v>5.0200000000000002E-2</v>
      </c>
      <c r="I136" s="288">
        <v>2</v>
      </c>
      <c r="J136" s="287">
        <v>1.06E-2</v>
      </c>
    </row>
    <row r="137" spans="1:10">
      <c r="A137" s="264">
        <v>43</v>
      </c>
      <c r="B137" s="285" t="s">
        <v>110</v>
      </c>
      <c r="C137" s="294">
        <v>2.0036489999999998</v>
      </c>
      <c r="D137" s="294">
        <v>0.13065860000000001</v>
      </c>
      <c r="E137" s="294">
        <v>-1.511252</v>
      </c>
      <c r="F137" s="294">
        <v>1.3893990000000001</v>
      </c>
      <c r="G137" s="291">
        <v>0.99990199999999996</v>
      </c>
      <c r="H137" s="287">
        <v>7.0499999999999993E-2</v>
      </c>
      <c r="I137" s="288">
        <v>2</v>
      </c>
      <c r="J137" s="287">
        <v>1.37E-2</v>
      </c>
    </row>
    <row r="138" spans="1:10">
      <c r="A138" s="264">
        <v>43</v>
      </c>
      <c r="B138" s="285" t="s">
        <v>111</v>
      </c>
      <c r="C138" s="294">
        <v>2.005166</v>
      </c>
      <c r="D138" s="294">
        <v>0.12952839999999999</v>
      </c>
      <c r="E138" s="294">
        <v>-1.508901</v>
      </c>
      <c r="F138" s="294">
        <v>1.3879520000000001</v>
      </c>
      <c r="G138" s="291">
        <v>0.99990299999999999</v>
      </c>
      <c r="H138" s="287">
        <v>7.0300000000000001E-2</v>
      </c>
      <c r="I138" s="288">
        <v>2</v>
      </c>
      <c r="J138" s="287">
        <v>1.3599999999999999E-2</v>
      </c>
    </row>
    <row r="139" spans="1:10">
      <c r="A139" s="264">
        <v>43</v>
      </c>
      <c r="B139" s="285" t="s">
        <v>112</v>
      </c>
      <c r="C139" s="294">
        <v>2.0026030000000001</v>
      </c>
      <c r="D139" s="294">
        <v>0.13144330000000001</v>
      </c>
      <c r="E139" s="294">
        <v>-1.5126900000000001</v>
      </c>
      <c r="F139" s="294">
        <v>1.3901490000000001</v>
      </c>
      <c r="G139" s="291">
        <v>0.99990199999999996</v>
      </c>
      <c r="H139" s="287">
        <v>7.0599999999999996E-2</v>
      </c>
      <c r="I139" s="288">
        <v>2</v>
      </c>
      <c r="J139" s="287">
        <v>1.37E-2</v>
      </c>
    </row>
    <row r="140" spans="1:10">
      <c r="A140" s="264">
        <v>43</v>
      </c>
      <c r="B140" s="285" t="s">
        <v>113</v>
      </c>
      <c r="C140" s="294">
        <v>1.999139</v>
      </c>
      <c r="D140" s="294">
        <v>0.13406399999999999</v>
      </c>
      <c r="E140" s="294">
        <v>-1.517978</v>
      </c>
      <c r="F140" s="294">
        <v>1.393308</v>
      </c>
      <c r="G140" s="291">
        <v>0.99990100000000004</v>
      </c>
      <c r="H140" s="287">
        <v>7.0900000000000005E-2</v>
      </c>
      <c r="I140" s="288">
        <v>2</v>
      </c>
      <c r="J140" s="287">
        <v>1.38E-2</v>
      </c>
    </row>
    <row r="141" spans="1:10">
      <c r="A141" s="264">
        <v>43</v>
      </c>
      <c r="B141" s="285" t="s">
        <v>114</v>
      </c>
      <c r="C141" s="294">
        <v>1.994788</v>
      </c>
      <c r="D141" s="294">
        <v>0.1373887</v>
      </c>
      <c r="E141" s="294">
        <v>-1.524791</v>
      </c>
      <c r="F141" s="294">
        <v>1.397472</v>
      </c>
      <c r="G141" s="291">
        <v>0.99990000000000001</v>
      </c>
      <c r="H141" s="287">
        <v>7.1300000000000002E-2</v>
      </c>
      <c r="I141" s="288">
        <v>2</v>
      </c>
      <c r="J141" s="287">
        <v>1.38E-2</v>
      </c>
    </row>
    <row r="142" spans="1:10">
      <c r="A142" s="264">
        <v>43</v>
      </c>
      <c r="B142" s="285" t="s">
        <v>115</v>
      </c>
      <c r="C142" s="294">
        <v>1.9895350000000001</v>
      </c>
      <c r="D142" s="294">
        <v>0.14143449999999999</v>
      </c>
      <c r="E142" s="294">
        <v>-1.5331920000000001</v>
      </c>
      <c r="F142" s="294">
        <v>1.4027080000000001</v>
      </c>
      <c r="G142" s="291">
        <v>0.99989899999999998</v>
      </c>
      <c r="H142" s="287">
        <v>7.17E-2</v>
      </c>
      <c r="I142" s="288">
        <v>2</v>
      </c>
      <c r="J142" s="287">
        <v>1.3899999999999999E-2</v>
      </c>
    </row>
    <row r="143" spans="1:10">
      <c r="A143" s="264">
        <v>43</v>
      </c>
      <c r="B143" s="285" t="s">
        <v>116</v>
      </c>
      <c r="C143" s="294">
        <v>1.9833449999999999</v>
      </c>
      <c r="D143" s="294">
        <v>0.14623559999999999</v>
      </c>
      <c r="E143" s="294">
        <v>-1.5432809999999999</v>
      </c>
      <c r="F143" s="294">
        <v>1.4091020000000001</v>
      </c>
      <c r="G143" s="291">
        <v>0.99989799999999995</v>
      </c>
      <c r="H143" s="287">
        <v>7.2099999999999997E-2</v>
      </c>
      <c r="I143" s="288">
        <v>2</v>
      </c>
      <c r="J143" s="287">
        <v>1.4E-2</v>
      </c>
    </row>
    <row r="144" spans="1:10">
      <c r="A144" s="264">
        <v>44</v>
      </c>
      <c r="B144" s="285" t="s">
        <v>117</v>
      </c>
      <c r="C144" s="294">
        <v>2.1085569999999998</v>
      </c>
      <c r="D144" s="294">
        <v>3.880314E-2</v>
      </c>
      <c r="E144" s="294">
        <v>-1.199004</v>
      </c>
      <c r="F144" s="294">
        <v>1.087019</v>
      </c>
      <c r="G144" s="291">
        <v>0.99983200000000005</v>
      </c>
      <c r="H144" s="287">
        <v>9.1600000000000001E-2</v>
      </c>
      <c r="I144" s="288">
        <v>2</v>
      </c>
      <c r="J144" s="287">
        <v>1.9E-2</v>
      </c>
    </row>
    <row r="145" spans="1:10">
      <c r="A145" s="264">
        <v>44</v>
      </c>
      <c r="B145" s="285" t="s">
        <v>118</v>
      </c>
      <c r="C145" s="294">
        <v>2.107243</v>
      </c>
      <c r="D145" s="294">
        <v>3.9699789999999999E-2</v>
      </c>
      <c r="E145" s="294">
        <v>-1.200472</v>
      </c>
      <c r="F145" s="294">
        <v>1.0875900000000001</v>
      </c>
      <c r="G145" s="291">
        <v>0.99983100000000003</v>
      </c>
      <c r="H145" s="287">
        <v>9.1800000000000007E-2</v>
      </c>
      <c r="I145" s="288">
        <v>2</v>
      </c>
      <c r="J145" s="287">
        <v>1.9E-2</v>
      </c>
    </row>
    <row r="146" spans="1:10">
      <c r="A146" s="264">
        <v>44</v>
      </c>
      <c r="B146" s="285" t="s">
        <v>119</v>
      </c>
      <c r="C146" s="294">
        <v>2.1051190000000002</v>
      </c>
      <c r="D146" s="294">
        <v>4.1199090000000001E-2</v>
      </c>
      <c r="E146" s="294">
        <v>-1.203117</v>
      </c>
      <c r="F146" s="294">
        <v>1.0888340000000001</v>
      </c>
      <c r="G146" s="291">
        <v>0.99983</v>
      </c>
      <c r="H146" s="287">
        <v>9.2100000000000001E-2</v>
      </c>
      <c r="I146" s="288">
        <v>2</v>
      </c>
      <c r="J146" s="287">
        <v>1.9099999999999999E-2</v>
      </c>
    </row>
    <row r="147" spans="1:10">
      <c r="A147" s="264">
        <v>44</v>
      </c>
      <c r="B147" s="285" t="s">
        <v>120</v>
      </c>
      <c r="C147" s="294">
        <v>2.102185</v>
      </c>
      <c r="D147" s="294">
        <v>4.3311639999999998E-2</v>
      </c>
      <c r="E147" s="294">
        <v>-1.2070069999999999</v>
      </c>
      <c r="F147" s="294">
        <v>1.0908329999999999</v>
      </c>
      <c r="G147" s="291">
        <v>0.99982800000000005</v>
      </c>
      <c r="H147" s="287">
        <v>9.2499999999999999E-2</v>
      </c>
      <c r="I147" s="288">
        <v>2</v>
      </c>
      <c r="J147" s="287">
        <v>1.9199999999999998E-2</v>
      </c>
    </row>
    <row r="148" spans="1:10">
      <c r="A148" s="264">
        <v>44</v>
      </c>
      <c r="B148" s="285" t="s">
        <v>121</v>
      </c>
      <c r="C148" s="294">
        <v>2.0984250000000002</v>
      </c>
      <c r="D148" s="294">
        <v>4.6059219999999998E-2</v>
      </c>
      <c r="E148" s="294">
        <v>-1.2122250000000001</v>
      </c>
      <c r="F148" s="294">
        <v>1.093672</v>
      </c>
      <c r="G148" s="291">
        <v>0.99982700000000002</v>
      </c>
      <c r="H148" s="287">
        <v>9.2899999999999996E-2</v>
      </c>
      <c r="I148" s="288">
        <v>2</v>
      </c>
      <c r="J148" s="287">
        <v>1.9300000000000001E-2</v>
      </c>
    </row>
    <row r="149" spans="1:10">
      <c r="A149" s="264">
        <v>44</v>
      </c>
      <c r="B149" s="285" t="s">
        <v>122</v>
      </c>
      <c r="C149" s="294">
        <v>2.0938050000000001</v>
      </c>
      <c r="D149" s="294">
        <v>4.9477060000000003E-2</v>
      </c>
      <c r="E149" s="294">
        <v>-1.2188779999999999</v>
      </c>
      <c r="F149" s="294">
        <v>1.097451</v>
      </c>
      <c r="G149" s="291">
        <v>0.99982499999999996</v>
      </c>
      <c r="H149" s="287">
        <v>9.3399999999999997E-2</v>
      </c>
      <c r="I149" s="288">
        <v>2</v>
      </c>
      <c r="J149" s="287">
        <v>1.9400000000000001E-2</v>
      </c>
    </row>
    <row r="150" spans="1:10">
      <c r="A150" s="264">
        <v>44</v>
      </c>
      <c r="B150" s="285" t="s">
        <v>123</v>
      </c>
      <c r="C150" s="294">
        <v>2.0882689999999999</v>
      </c>
      <c r="D150" s="294">
        <v>5.3613279999999999E-2</v>
      </c>
      <c r="E150" s="294">
        <v>-1.2270989999999999</v>
      </c>
      <c r="F150" s="294">
        <v>1.102284</v>
      </c>
      <c r="G150" s="291">
        <v>0.99982400000000005</v>
      </c>
      <c r="H150" s="287">
        <v>9.3799999999999994E-2</v>
      </c>
      <c r="I150" s="288">
        <v>2</v>
      </c>
      <c r="J150" s="287">
        <v>1.95E-2</v>
      </c>
    </row>
    <row r="151" spans="1:10">
      <c r="A151" s="264">
        <v>44</v>
      </c>
      <c r="B151" s="285" t="s">
        <v>124</v>
      </c>
      <c r="C151" s="294">
        <v>2.0817429999999999</v>
      </c>
      <c r="D151" s="294">
        <v>5.852889E-2</v>
      </c>
      <c r="E151" s="294">
        <v>-1.2370479999999999</v>
      </c>
      <c r="F151" s="294">
        <v>1.108304</v>
      </c>
      <c r="G151" s="291">
        <v>0.99982199999999999</v>
      </c>
      <c r="H151" s="287">
        <v>9.4299999999999995E-2</v>
      </c>
      <c r="I151" s="288">
        <v>2</v>
      </c>
      <c r="J151" s="287">
        <v>1.9599999999999999E-2</v>
      </c>
    </row>
    <row r="152" spans="1:10">
      <c r="A152" s="264">
        <v>45</v>
      </c>
      <c r="B152" s="285" t="s">
        <v>125</v>
      </c>
      <c r="C152" s="294">
        <v>2.245155</v>
      </c>
      <c r="D152" s="294">
        <v>-7.7846520000000002E-2</v>
      </c>
      <c r="E152" s="294">
        <v>-0.82900569999999996</v>
      </c>
      <c r="F152" s="294">
        <v>0.74309749999999997</v>
      </c>
      <c r="G152" s="291">
        <v>0.99973299999999998</v>
      </c>
      <c r="H152" s="287">
        <v>0.11260000000000001</v>
      </c>
      <c r="I152" s="288">
        <v>2</v>
      </c>
      <c r="J152" s="287">
        <v>2.52E-2</v>
      </c>
    </row>
    <row r="153" spans="1:10">
      <c r="A153" s="264">
        <v>45</v>
      </c>
      <c r="B153" s="285" t="s">
        <v>126</v>
      </c>
      <c r="C153" s="294">
        <v>2.244192</v>
      </c>
      <c r="D153" s="294">
        <v>-7.7268069999999994E-2</v>
      </c>
      <c r="E153" s="294">
        <v>-0.82961379999999996</v>
      </c>
      <c r="F153" s="294">
        <v>0.74295949999999999</v>
      </c>
      <c r="G153" s="291">
        <v>0.99973199999999995</v>
      </c>
      <c r="H153" s="287">
        <v>0.1129</v>
      </c>
      <c r="I153" s="288">
        <v>2</v>
      </c>
      <c r="J153" s="287">
        <v>2.52E-2</v>
      </c>
    </row>
    <row r="154" spans="1:10">
      <c r="A154" s="264">
        <v>45</v>
      </c>
      <c r="B154" s="285" t="s">
        <v>127</v>
      </c>
      <c r="C154" s="294">
        <v>2.2425320000000002</v>
      </c>
      <c r="D154" s="294">
        <v>-7.6193789999999997E-2</v>
      </c>
      <c r="E154" s="294">
        <v>-0.83112010000000003</v>
      </c>
      <c r="F154" s="294">
        <v>0.74327290000000001</v>
      </c>
      <c r="G154" s="291">
        <v>0.99973000000000001</v>
      </c>
      <c r="H154" s="287">
        <v>0.1132</v>
      </c>
      <c r="I154" s="288">
        <v>2</v>
      </c>
      <c r="J154" s="287">
        <v>2.53E-2</v>
      </c>
    </row>
    <row r="155" spans="1:10">
      <c r="A155" s="264">
        <v>45</v>
      </c>
      <c r="B155" s="285" t="s">
        <v>128</v>
      </c>
      <c r="C155" s="294">
        <v>2.2401430000000002</v>
      </c>
      <c r="D155" s="294">
        <v>-7.4586340000000001E-2</v>
      </c>
      <c r="E155" s="294">
        <v>-0.83365469999999997</v>
      </c>
      <c r="F155" s="294">
        <v>0.74416689999999996</v>
      </c>
      <c r="G155" s="291">
        <v>0.99972799999999995</v>
      </c>
      <c r="H155" s="287">
        <v>0.11360000000000001</v>
      </c>
      <c r="I155" s="288">
        <v>2</v>
      </c>
      <c r="J155" s="287">
        <v>2.5399999999999999E-2</v>
      </c>
    </row>
    <row r="156" spans="1:10">
      <c r="A156" s="264">
        <v>45</v>
      </c>
      <c r="B156" s="285" t="s">
        <v>129</v>
      </c>
      <c r="C156" s="294">
        <v>2.2369819999999998</v>
      </c>
      <c r="D156" s="294">
        <v>-7.2402709999999995E-2</v>
      </c>
      <c r="E156" s="294">
        <v>-0.83735170000000003</v>
      </c>
      <c r="F156" s="294">
        <v>0.7457665</v>
      </c>
      <c r="G156" s="291">
        <v>0.999726</v>
      </c>
      <c r="H156" s="287">
        <v>0.11409999999999999</v>
      </c>
      <c r="I156" s="288">
        <v>2</v>
      </c>
      <c r="J156" s="287">
        <v>2.5499999999999998E-2</v>
      </c>
    </row>
    <row r="157" spans="1:10">
      <c r="A157" s="264">
        <v>45</v>
      </c>
      <c r="B157" s="285" t="s">
        <v>130</v>
      </c>
      <c r="C157" s="294">
        <v>2.232993</v>
      </c>
      <c r="D157" s="294">
        <v>-6.9591249999999993E-2</v>
      </c>
      <c r="E157" s="294">
        <v>-0.84235819999999995</v>
      </c>
      <c r="F157" s="294">
        <v>0.74820129999999996</v>
      </c>
      <c r="G157" s="291">
        <v>0.99972399999999995</v>
      </c>
      <c r="H157" s="287">
        <v>0.1145</v>
      </c>
      <c r="I157" s="288">
        <v>2</v>
      </c>
      <c r="J157" s="287">
        <v>2.5600000000000001E-2</v>
      </c>
    </row>
    <row r="158" spans="1:10">
      <c r="A158" s="264">
        <v>46</v>
      </c>
      <c r="B158" s="285" t="s">
        <v>348</v>
      </c>
      <c r="C158" s="294">
        <v>2.4125890000000001</v>
      </c>
      <c r="D158" s="294">
        <v>-0.2177463</v>
      </c>
      <c r="E158" s="294">
        <v>-0.4071746</v>
      </c>
      <c r="F158" s="294">
        <v>0.36370409999999997</v>
      </c>
      <c r="G158" s="291">
        <v>0.99961</v>
      </c>
      <c r="H158" s="287">
        <v>0.13270000000000001</v>
      </c>
      <c r="I158" s="288">
        <v>2</v>
      </c>
      <c r="J158" s="287">
        <v>3.1699999999999999E-2</v>
      </c>
    </row>
    <row r="159" spans="1:10">
      <c r="A159" s="264">
        <v>46</v>
      </c>
      <c r="B159" s="285" t="s">
        <v>349</v>
      </c>
      <c r="C159" s="294">
        <v>2.4095629999999999</v>
      </c>
      <c r="D159" s="294">
        <v>-0.2159787</v>
      </c>
      <c r="E159" s="294">
        <v>-0.40882230000000003</v>
      </c>
      <c r="F159" s="294">
        <v>0.36299710000000002</v>
      </c>
      <c r="G159" s="291">
        <v>0.99960499999999997</v>
      </c>
      <c r="H159" s="287">
        <v>0.13350000000000001</v>
      </c>
      <c r="I159" s="288">
        <v>2</v>
      </c>
      <c r="J159" s="287">
        <v>3.1899999999999998E-2</v>
      </c>
    </row>
    <row r="160" spans="1:10">
      <c r="A160" s="264">
        <v>47</v>
      </c>
      <c r="B160" s="285" t="s">
        <v>131</v>
      </c>
      <c r="C160" s="294">
        <v>2.6083319999999999</v>
      </c>
      <c r="D160" s="294">
        <v>-0.37744230000000001</v>
      </c>
      <c r="E160" s="294">
        <v>5.3739839999999997E-2</v>
      </c>
      <c r="F160" s="294">
        <v>-3.832178E-2</v>
      </c>
      <c r="G160" s="291">
        <v>0.999475</v>
      </c>
      <c r="H160" s="287">
        <v>0.15010000000000001</v>
      </c>
      <c r="I160" s="288">
        <v>2</v>
      </c>
      <c r="J160" s="287">
        <v>3.7900000000000003E-2</v>
      </c>
    </row>
    <row r="161" spans="1:10">
      <c r="A161" s="264">
        <v>47</v>
      </c>
      <c r="B161" s="285" t="s">
        <v>132</v>
      </c>
      <c r="C161" s="294">
        <v>2.608139</v>
      </c>
      <c r="D161" s="294">
        <v>-0.37752970000000002</v>
      </c>
      <c r="E161" s="294">
        <v>5.4861130000000001E-2</v>
      </c>
      <c r="F161" s="294">
        <v>-3.984472E-2</v>
      </c>
      <c r="G161" s="291">
        <v>0.99947200000000003</v>
      </c>
      <c r="H161" s="287">
        <v>0.15040000000000001</v>
      </c>
      <c r="I161" s="288">
        <v>2</v>
      </c>
      <c r="J161" s="287">
        <v>3.7999999999999999E-2</v>
      </c>
    </row>
    <row r="162" spans="1:10">
      <c r="A162" s="264">
        <v>47</v>
      </c>
      <c r="B162" s="285" t="s">
        <v>133</v>
      </c>
      <c r="C162" s="294">
        <v>2.6074310000000001</v>
      </c>
      <c r="D162" s="294">
        <v>-0.37728790000000001</v>
      </c>
      <c r="E162" s="294">
        <v>5.5507099999999997E-2</v>
      </c>
      <c r="F162" s="294">
        <v>-4.1238770000000001E-2</v>
      </c>
      <c r="G162" s="291">
        <v>0.99946900000000005</v>
      </c>
      <c r="H162" s="287">
        <v>0.15079999999999999</v>
      </c>
      <c r="I162" s="288">
        <v>2</v>
      </c>
      <c r="J162" s="287">
        <v>3.8100000000000002E-2</v>
      </c>
    </row>
    <row r="163" spans="1:10">
      <c r="A163" s="264">
        <v>48</v>
      </c>
      <c r="B163" s="285" t="s">
        <v>350</v>
      </c>
      <c r="C163" s="294">
        <v>2.8257469999999998</v>
      </c>
      <c r="D163" s="294">
        <v>-0.55190360000000005</v>
      </c>
      <c r="E163" s="294">
        <v>0.54354469999999999</v>
      </c>
      <c r="F163" s="294">
        <v>-0.4568065</v>
      </c>
      <c r="G163" s="291">
        <v>0.99933099999999997</v>
      </c>
      <c r="H163" s="287">
        <v>0.1651</v>
      </c>
      <c r="I163" s="288">
        <v>2</v>
      </c>
      <c r="J163" s="287">
        <v>4.3999999999999997E-2</v>
      </c>
    </row>
    <row r="164" spans="1:10">
      <c r="A164" s="264">
        <v>49</v>
      </c>
      <c r="B164" s="285" t="s">
        <v>134</v>
      </c>
      <c r="C164" s="294">
        <v>3.0616840000000001</v>
      </c>
      <c r="D164" s="294">
        <v>-0.73834500000000003</v>
      </c>
      <c r="E164" s="294">
        <v>1.0548930000000001</v>
      </c>
      <c r="F164" s="294">
        <v>-0.88585670000000005</v>
      </c>
      <c r="G164" s="291">
        <v>0.99918899999999999</v>
      </c>
      <c r="H164" s="287">
        <v>0.1769</v>
      </c>
      <c r="I164" s="288">
        <v>2</v>
      </c>
      <c r="J164" s="287">
        <v>0.05</v>
      </c>
    </row>
    <row r="165" spans="1:10">
      <c r="A165" s="264">
        <v>49</v>
      </c>
      <c r="B165" s="285" t="s">
        <v>135</v>
      </c>
      <c r="C165" s="294">
        <v>3.060956</v>
      </c>
      <c r="D165" s="294">
        <v>-0.73750729999999998</v>
      </c>
      <c r="E165" s="294">
        <v>1.0519829999999999</v>
      </c>
      <c r="F165" s="294">
        <v>-0.88295789999999996</v>
      </c>
      <c r="G165" s="291">
        <v>0.99919199999999997</v>
      </c>
      <c r="H165" s="287">
        <v>0.17660000000000001</v>
      </c>
      <c r="I165" s="288">
        <v>2</v>
      </c>
      <c r="J165" s="287">
        <v>4.99E-2</v>
      </c>
    </row>
    <row r="166" spans="1:10">
      <c r="A166" s="264">
        <v>49</v>
      </c>
      <c r="B166" s="285" t="s">
        <v>136</v>
      </c>
      <c r="C166" s="294">
        <v>3.0598100000000001</v>
      </c>
      <c r="D166" s="294">
        <v>-0.73623539999999998</v>
      </c>
      <c r="E166" s="294">
        <v>1.047668</v>
      </c>
      <c r="F166" s="294">
        <v>-0.87871080000000001</v>
      </c>
      <c r="G166" s="291">
        <v>0.999197</v>
      </c>
      <c r="H166" s="287">
        <v>0.1762</v>
      </c>
      <c r="I166" s="288">
        <v>2</v>
      </c>
      <c r="J166" s="287">
        <v>4.9700000000000001E-2</v>
      </c>
    </row>
    <row r="167" spans="1:10">
      <c r="A167" s="264">
        <v>50</v>
      </c>
      <c r="B167" s="285" t="s">
        <v>351</v>
      </c>
      <c r="C167" s="294">
        <v>3.3078780000000001</v>
      </c>
      <c r="D167" s="294">
        <v>-0.92869630000000003</v>
      </c>
      <c r="E167" s="294">
        <v>1.5634790000000001</v>
      </c>
      <c r="F167" s="294">
        <v>-1.303353</v>
      </c>
      <c r="G167" s="291">
        <v>0.99907800000000002</v>
      </c>
      <c r="H167" s="287">
        <v>0.18329999999999999</v>
      </c>
      <c r="I167" s="288">
        <v>2</v>
      </c>
      <c r="J167" s="287">
        <v>5.4899999999999997E-2</v>
      </c>
    </row>
    <row r="168" spans="1:10">
      <c r="A168" s="264">
        <v>50</v>
      </c>
      <c r="B168" s="285" t="s">
        <v>352</v>
      </c>
      <c r="C168" s="294">
        <v>3.304141</v>
      </c>
      <c r="D168" s="294">
        <v>-0.92494940000000003</v>
      </c>
      <c r="E168" s="294">
        <v>1.5517510000000001</v>
      </c>
      <c r="F168" s="294">
        <v>-1.2923709999999999</v>
      </c>
      <c r="G168" s="291">
        <v>0.99908799999999998</v>
      </c>
      <c r="H168" s="287">
        <v>0.18260000000000001</v>
      </c>
      <c r="I168" s="288">
        <v>2</v>
      </c>
      <c r="J168" s="287">
        <v>5.4600000000000003E-2</v>
      </c>
    </row>
    <row r="169" spans="1:10">
      <c r="A169" s="264">
        <v>51</v>
      </c>
      <c r="B169" s="285" t="s">
        <v>353</v>
      </c>
      <c r="C169" s="294">
        <v>3.5578439999999998</v>
      </c>
      <c r="D169" s="294">
        <v>-1.1179490000000001</v>
      </c>
      <c r="E169" s="294">
        <v>2.0578850000000002</v>
      </c>
      <c r="F169" s="294">
        <v>-1.7012309999999999</v>
      </c>
      <c r="G169" s="291">
        <v>0.99900599999999995</v>
      </c>
      <c r="H169" s="287">
        <v>0.1842</v>
      </c>
      <c r="I169" s="288">
        <v>2</v>
      </c>
      <c r="J169" s="287">
        <v>5.8599999999999999E-2</v>
      </c>
    </row>
    <row r="170" spans="1:10">
      <c r="A170" s="264">
        <v>51</v>
      </c>
      <c r="B170" s="285" t="s">
        <v>354</v>
      </c>
      <c r="C170" s="294">
        <v>3.5519430000000001</v>
      </c>
      <c r="D170" s="294">
        <v>-1.112368</v>
      </c>
      <c r="E170" s="294">
        <v>2.0412919999999999</v>
      </c>
      <c r="F170" s="294">
        <v>-1.686232</v>
      </c>
      <c r="G170" s="291">
        <v>0.99901799999999996</v>
      </c>
      <c r="H170" s="287">
        <v>0.18360000000000001</v>
      </c>
      <c r="I170" s="288">
        <v>2</v>
      </c>
      <c r="J170" s="287">
        <v>5.8299999999999998E-2</v>
      </c>
    </row>
    <row r="171" spans="1:10">
      <c r="A171" s="264">
        <v>52</v>
      </c>
      <c r="B171" s="285" t="s">
        <v>355</v>
      </c>
      <c r="C171" s="294">
        <v>3.8069950000000001</v>
      </c>
      <c r="D171" s="294">
        <v>-1.3026990000000001</v>
      </c>
      <c r="E171" s="294">
        <v>2.5307050000000002</v>
      </c>
      <c r="F171" s="294">
        <v>-2.07437</v>
      </c>
      <c r="G171" s="291">
        <v>0.99897999999999998</v>
      </c>
      <c r="H171" s="287">
        <v>0.1794</v>
      </c>
      <c r="I171" s="288">
        <v>2</v>
      </c>
      <c r="J171" s="287">
        <v>6.1100000000000002E-2</v>
      </c>
    </row>
    <row r="172" spans="1:10">
      <c r="A172" s="264">
        <v>52</v>
      </c>
      <c r="B172" s="285" t="s">
        <v>356</v>
      </c>
      <c r="C172" s="294">
        <v>3.804494</v>
      </c>
      <c r="D172" s="294">
        <v>-1.300319</v>
      </c>
      <c r="E172" s="294">
        <v>2.5236320000000001</v>
      </c>
      <c r="F172" s="294">
        <v>-2.0681500000000002</v>
      </c>
      <c r="G172" s="291">
        <v>0.99898500000000001</v>
      </c>
      <c r="H172" s="287">
        <v>0.17910000000000001</v>
      </c>
      <c r="I172" s="288">
        <v>2</v>
      </c>
      <c r="J172" s="287">
        <v>6.0999999999999999E-2</v>
      </c>
    </row>
    <row r="173" spans="1:10">
      <c r="A173" s="264">
        <v>52</v>
      </c>
      <c r="B173" s="285" t="s">
        <v>137</v>
      </c>
      <c r="C173" s="294">
        <v>3.8008540000000002</v>
      </c>
      <c r="D173" s="294">
        <v>-1.2969930000000001</v>
      </c>
      <c r="E173" s="294">
        <v>2.5140500000000001</v>
      </c>
      <c r="F173" s="294">
        <v>-2.0596950000000001</v>
      </c>
      <c r="G173" s="291">
        <v>0.99899000000000004</v>
      </c>
      <c r="H173" s="287">
        <v>0.1789</v>
      </c>
      <c r="I173" s="288">
        <v>2</v>
      </c>
      <c r="J173" s="287">
        <v>6.08E-2</v>
      </c>
    </row>
    <row r="174" spans="1:10">
      <c r="A174" s="264">
        <v>52</v>
      </c>
      <c r="B174" s="285" t="s">
        <v>138</v>
      </c>
      <c r="C174" s="294">
        <v>3.7963399999999998</v>
      </c>
      <c r="D174" s="294">
        <v>-1.2928900000000001</v>
      </c>
      <c r="E174" s="294">
        <v>2.502294</v>
      </c>
      <c r="F174" s="294">
        <v>-2.049356</v>
      </c>
      <c r="G174" s="291">
        <v>0.99899700000000002</v>
      </c>
      <c r="H174" s="287">
        <v>0.17879999999999999</v>
      </c>
      <c r="I174" s="288">
        <v>2</v>
      </c>
      <c r="J174" s="287">
        <v>6.0600000000000001E-2</v>
      </c>
    </row>
    <row r="175" spans="1:10">
      <c r="A175" s="264">
        <v>53</v>
      </c>
      <c r="B175" s="285" t="s">
        <v>139</v>
      </c>
      <c r="C175" s="294">
        <v>4.0469169999999997</v>
      </c>
      <c r="D175" s="294">
        <v>-1.4757629999999999</v>
      </c>
      <c r="E175" s="294">
        <v>2.9628510000000001</v>
      </c>
      <c r="F175" s="294">
        <v>-2.4071530000000001</v>
      </c>
      <c r="G175" s="291">
        <v>0.99900900000000004</v>
      </c>
      <c r="H175" s="287">
        <v>0.16819999999999999</v>
      </c>
      <c r="I175" s="288">
        <v>2</v>
      </c>
      <c r="J175" s="287">
        <v>6.2300000000000001E-2</v>
      </c>
    </row>
    <row r="176" spans="1:10">
      <c r="A176" s="264">
        <v>53</v>
      </c>
      <c r="B176" s="285" t="s">
        <v>357</v>
      </c>
      <c r="C176" s="294">
        <v>4.0450390000000001</v>
      </c>
      <c r="D176" s="294">
        <v>-1.474024</v>
      </c>
      <c r="E176" s="294">
        <v>2.9578169999999999</v>
      </c>
      <c r="F176" s="294">
        <v>-2.4028139999999998</v>
      </c>
      <c r="G176" s="291">
        <v>0.99901200000000001</v>
      </c>
      <c r="H176" s="287">
        <v>0.16800000000000001</v>
      </c>
      <c r="I176" s="288">
        <v>2</v>
      </c>
      <c r="J176" s="287">
        <v>6.2199999999999998E-2</v>
      </c>
    </row>
    <row r="177" spans="1:10">
      <c r="A177" s="264">
        <v>53</v>
      </c>
      <c r="B177" s="285" t="s">
        <v>358</v>
      </c>
      <c r="C177" s="294">
        <v>4.0409750000000004</v>
      </c>
      <c r="D177" s="294">
        <v>-1.4703459999999999</v>
      </c>
      <c r="E177" s="294">
        <v>2.9473509999999998</v>
      </c>
      <c r="F177" s="294">
        <v>-2.393859</v>
      </c>
      <c r="G177" s="291">
        <v>0.99901799999999996</v>
      </c>
      <c r="H177" s="287">
        <v>0.1678</v>
      </c>
      <c r="I177" s="288">
        <v>2</v>
      </c>
      <c r="J177" s="287">
        <v>6.2100000000000002E-2</v>
      </c>
    </row>
    <row r="178" spans="1:10">
      <c r="A178" s="264">
        <v>53</v>
      </c>
      <c r="B178" s="285" t="s">
        <v>359</v>
      </c>
      <c r="C178" s="294">
        <v>4.0307130000000004</v>
      </c>
      <c r="D178" s="294">
        <v>-1.461252</v>
      </c>
      <c r="E178" s="294">
        <v>2.921907</v>
      </c>
      <c r="F178" s="294">
        <v>-2.371918</v>
      </c>
      <c r="G178" s="291">
        <v>0.99902800000000003</v>
      </c>
      <c r="H178" s="287">
        <v>0.16789999999999999</v>
      </c>
      <c r="I178" s="288">
        <v>2</v>
      </c>
      <c r="J178" s="287">
        <v>6.1699999999999998E-2</v>
      </c>
    </row>
    <row r="179" spans="1:10">
      <c r="A179" s="264">
        <v>53</v>
      </c>
      <c r="B179" s="285" t="s">
        <v>360</v>
      </c>
      <c r="C179" s="294">
        <v>4.0471450000000004</v>
      </c>
      <c r="D179" s="294">
        <v>-1.4760040000000001</v>
      </c>
      <c r="E179" s="294">
        <v>2.9636140000000002</v>
      </c>
      <c r="F179" s="294">
        <v>-2.4078219999999999</v>
      </c>
      <c r="G179" s="291">
        <v>0.99900800000000001</v>
      </c>
      <c r="H179" s="287">
        <v>0.16830000000000001</v>
      </c>
      <c r="I179" s="288">
        <v>2</v>
      </c>
      <c r="J179" s="287">
        <v>6.2399999999999997E-2</v>
      </c>
    </row>
    <row r="180" spans="1:10">
      <c r="A180" s="264">
        <v>54</v>
      </c>
      <c r="B180" s="285" t="s">
        <v>361</v>
      </c>
      <c r="C180" s="294">
        <v>4.269933</v>
      </c>
      <c r="D180" s="294">
        <v>-1.630992</v>
      </c>
      <c r="E180" s="294">
        <v>3.3391199999999999</v>
      </c>
      <c r="F180" s="294">
        <v>-2.6878790000000001</v>
      </c>
      <c r="G180" s="291">
        <v>0.99909199999999998</v>
      </c>
      <c r="H180" s="287">
        <v>0.15060000000000001</v>
      </c>
      <c r="I180" s="288">
        <v>2</v>
      </c>
      <c r="J180" s="287">
        <v>6.1800000000000001E-2</v>
      </c>
    </row>
    <row r="181" spans="1:10">
      <c r="A181" s="264">
        <v>54</v>
      </c>
      <c r="B181" s="285" t="s">
        <v>362</v>
      </c>
      <c r="C181" s="294">
        <v>4.2667080000000004</v>
      </c>
      <c r="D181" s="294">
        <v>-1.628134</v>
      </c>
      <c r="E181" s="294">
        <v>3.331156</v>
      </c>
      <c r="F181" s="294">
        <v>-2.6811799999999999</v>
      </c>
      <c r="G181" s="291">
        <v>0.99909599999999998</v>
      </c>
      <c r="H181" s="287">
        <v>0.15040000000000001</v>
      </c>
      <c r="I181" s="288">
        <v>2</v>
      </c>
      <c r="J181" s="287">
        <v>6.1699999999999998E-2</v>
      </c>
    </row>
    <row r="182" spans="1:10">
      <c r="A182" s="264">
        <v>54</v>
      </c>
      <c r="B182" s="285" t="s">
        <v>363</v>
      </c>
      <c r="C182" s="294">
        <v>4.260993</v>
      </c>
      <c r="D182" s="294">
        <v>-1.6231359999999999</v>
      </c>
      <c r="E182" s="294">
        <v>3.3173780000000002</v>
      </c>
      <c r="F182" s="294">
        <v>-2.6696490000000002</v>
      </c>
      <c r="G182" s="291">
        <v>0.99910200000000005</v>
      </c>
      <c r="H182" s="287">
        <v>0.15029999999999999</v>
      </c>
      <c r="I182" s="288">
        <v>2</v>
      </c>
      <c r="J182" s="287">
        <v>6.1499999999999999E-2</v>
      </c>
    </row>
    <row r="183" spans="1:10">
      <c r="A183" s="264">
        <v>54</v>
      </c>
      <c r="B183" s="285" t="s">
        <v>364</v>
      </c>
      <c r="C183" s="294">
        <v>4.249009</v>
      </c>
      <c r="D183" s="294">
        <v>-1.61276</v>
      </c>
      <c r="E183" s="294">
        <v>3.2889750000000002</v>
      </c>
      <c r="F183" s="294">
        <v>-2.6456179999999998</v>
      </c>
      <c r="G183" s="291">
        <v>0.999108</v>
      </c>
      <c r="H183" s="287">
        <v>0.15110000000000001</v>
      </c>
      <c r="I183" s="288">
        <v>2</v>
      </c>
      <c r="J183" s="287">
        <v>6.13E-2</v>
      </c>
    </row>
    <row r="184" spans="1:10">
      <c r="A184" s="264">
        <v>55</v>
      </c>
      <c r="B184" s="285" t="s">
        <v>140</v>
      </c>
      <c r="C184" s="294">
        <v>4.4733280000000004</v>
      </c>
      <c r="D184" s="294">
        <v>-1.7667759999999999</v>
      </c>
      <c r="E184" s="294">
        <v>3.6572040000000001</v>
      </c>
      <c r="F184" s="294">
        <v>-2.9158360000000001</v>
      </c>
      <c r="G184" s="291">
        <v>0.99921300000000002</v>
      </c>
      <c r="H184" s="287">
        <v>0.1386</v>
      </c>
      <c r="I184" s="288">
        <v>6</v>
      </c>
      <c r="J184" s="287">
        <v>5.9499999999999997E-2</v>
      </c>
    </row>
    <row r="185" spans="1:10">
      <c r="A185" s="264">
        <v>56</v>
      </c>
      <c r="B185" s="285" t="s">
        <v>365</v>
      </c>
      <c r="C185" s="294">
        <v>4.6488319999999996</v>
      </c>
      <c r="D185" s="294">
        <v>-1.876495</v>
      </c>
      <c r="E185" s="294">
        <v>3.9005990000000001</v>
      </c>
      <c r="F185" s="294">
        <v>-3.0783399999999999</v>
      </c>
      <c r="G185" s="291">
        <v>0.999359</v>
      </c>
      <c r="H185" s="287">
        <v>0.1361</v>
      </c>
      <c r="I185" s="288">
        <v>6</v>
      </c>
      <c r="J185" s="287">
        <v>5.5599999999999997E-2</v>
      </c>
    </row>
    <row r="186" spans="1:10">
      <c r="A186" s="264">
        <v>57</v>
      </c>
      <c r="B186" s="285" t="s">
        <v>366</v>
      </c>
      <c r="C186" s="294">
        <v>4.7932949999999996</v>
      </c>
      <c r="D186" s="294">
        <v>-1.9579960000000001</v>
      </c>
      <c r="E186" s="294">
        <v>4.0650399999999998</v>
      </c>
      <c r="F186" s="294">
        <v>-3.1729400000000001</v>
      </c>
      <c r="G186" s="291">
        <v>0.99950899999999998</v>
      </c>
      <c r="H186" s="287">
        <v>0.1295</v>
      </c>
      <c r="I186" s="288">
        <v>6</v>
      </c>
      <c r="J186" s="287">
        <v>5.0500000000000003E-2</v>
      </c>
    </row>
    <row r="187" spans="1:10">
      <c r="A187" s="264">
        <v>57</v>
      </c>
      <c r="B187" s="285" t="s">
        <v>141</v>
      </c>
      <c r="C187" s="294">
        <v>4.7938390000000002</v>
      </c>
      <c r="D187" s="294">
        <v>-1.9586110000000001</v>
      </c>
      <c r="E187" s="294">
        <v>4.0669930000000001</v>
      </c>
      <c r="F187" s="294">
        <v>-3.1746699999999999</v>
      </c>
      <c r="G187" s="291">
        <v>0.99950799999999995</v>
      </c>
      <c r="H187" s="287">
        <v>0.12959999999999999</v>
      </c>
      <c r="I187" s="288">
        <v>6</v>
      </c>
      <c r="J187" s="287">
        <v>5.0500000000000003E-2</v>
      </c>
    </row>
    <row r="188" spans="1:10">
      <c r="A188" s="264">
        <v>58</v>
      </c>
      <c r="B188" s="285" t="s">
        <v>367</v>
      </c>
      <c r="C188" s="294">
        <v>4.8799530000000004</v>
      </c>
      <c r="D188" s="294">
        <v>-1.9937020000000001</v>
      </c>
      <c r="E188" s="294">
        <v>4.1145370000000003</v>
      </c>
      <c r="F188" s="294">
        <v>-3.1765409999999998</v>
      </c>
      <c r="G188" s="291">
        <v>0.99963599999999997</v>
      </c>
      <c r="H188" s="287">
        <v>0.11940000000000001</v>
      </c>
      <c r="I188" s="288">
        <v>6</v>
      </c>
      <c r="J188" s="287">
        <v>4.4400000000000002E-2</v>
      </c>
    </row>
    <row r="189" spans="1:10">
      <c r="A189" s="264">
        <v>58</v>
      </c>
      <c r="B189" s="285" t="s">
        <v>142</v>
      </c>
      <c r="C189" s="294">
        <v>4.8912709999999997</v>
      </c>
      <c r="D189" s="294">
        <v>-2.0015619999999998</v>
      </c>
      <c r="E189" s="294">
        <v>4.1319049999999997</v>
      </c>
      <c r="F189" s="294">
        <v>-3.1886670000000001</v>
      </c>
      <c r="G189" s="291">
        <v>0.99963900000000006</v>
      </c>
      <c r="H189" s="287">
        <v>0.1192</v>
      </c>
      <c r="I189" s="288">
        <v>6</v>
      </c>
      <c r="J189" s="287">
        <v>4.4299999999999999E-2</v>
      </c>
    </row>
    <row r="190" spans="1:10">
      <c r="A190" s="264">
        <v>58</v>
      </c>
      <c r="B190" s="285" t="s">
        <v>143</v>
      </c>
      <c r="C190" s="294">
        <v>4.9058080000000004</v>
      </c>
      <c r="D190" s="294">
        <v>-2.011568</v>
      </c>
      <c r="E190" s="294">
        <v>4.1538050000000002</v>
      </c>
      <c r="F190" s="294">
        <v>-3.2038150000000001</v>
      </c>
      <c r="G190" s="291">
        <v>0.99964200000000003</v>
      </c>
      <c r="H190" s="287">
        <v>0.11899999999999999</v>
      </c>
      <c r="I190" s="288">
        <v>6</v>
      </c>
      <c r="J190" s="287">
        <v>4.41E-2</v>
      </c>
    </row>
    <row r="191" spans="1:10">
      <c r="A191" s="264">
        <v>59</v>
      </c>
      <c r="B191" s="285" t="s">
        <v>368</v>
      </c>
      <c r="C191" s="294">
        <v>4.9488969999999997</v>
      </c>
      <c r="D191" s="294">
        <v>-2.01247</v>
      </c>
      <c r="E191" s="294">
        <v>4.1154359999999999</v>
      </c>
      <c r="F191" s="294">
        <v>-3.1379380000000001</v>
      </c>
      <c r="G191" s="291">
        <v>0.99973800000000002</v>
      </c>
      <c r="H191" s="287">
        <v>0.1062</v>
      </c>
      <c r="I191" s="288">
        <v>6</v>
      </c>
      <c r="J191" s="287">
        <v>3.8399999999999997E-2</v>
      </c>
    </row>
    <row r="192" spans="1:10">
      <c r="A192" s="264">
        <v>59</v>
      </c>
      <c r="B192" s="285" t="s">
        <v>144</v>
      </c>
      <c r="C192" s="294">
        <v>4.9580599999999997</v>
      </c>
      <c r="D192" s="294">
        <v>-2.0184859999999998</v>
      </c>
      <c r="E192" s="294">
        <v>4.1279190000000003</v>
      </c>
      <c r="F192" s="294">
        <v>-3.1460059999999999</v>
      </c>
      <c r="G192" s="291">
        <v>0.99973999999999996</v>
      </c>
      <c r="H192" s="287">
        <v>0.10580000000000001</v>
      </c>
      <c r="I192" s="288">
        <v>6</v>
      </c>
      <c r="J192" s="287">
        <v>3.8399999999999997E-2</v>
      </c>
    </row>
    <row r="193" spans="1:10">
      <c r="A193" s="264">
        <v>59</v>
      </c>
      <c r="B193" s="285" t="s">
        <v>145</v>
      </c>
      <c r="C193" s="294">
        <v>4.9697680000000002</v>
      </c>
      <c r="D193" s="294">
        <v>-2.0260820000000002</v>
      </c>
      <c r="E193" s="294">
        <v>4.1434519999999999</v>
      </c>
      <c r="F193" s="294">
        <v>-3.1558830000000002</v>
      </c>
      <c r="G193" s="291">
        <v>0.99974200000000002</v>
      </c>
      <c r="H193" s="287">
        <v>0.1053</v>
      </c>
      <c r="I193" s="288">
        <v>6</v>
      </c>
      <c r="J193" s="287">
        <v>3.85E-2</v>
      </c>
    </row>
    <row r="194" spans="1:10">
      <c r="A194" s="264">
        <v>60</v>
      </c>
      <c r="B194" s="285" t="s">
        <v>369</v>
      </c>
      <c r="C194" s="294">
        <v>4.9884750000000002</v>
      </c>
      <c r="D194" s="294">
        <v>-2.0066959999999998</v>
      </c>
      <c r="E194" s="294">
        <v>4.0523559999999996</v>
      </c>
      <c r="F194" s="294">
        <v>-3.0474869999999998</v>
      </c>
      <c r="G194" s="291">
        <v>0.99980500000000005</v>
      </c>
      <c r="H194" s="287">
        <v>9.0200000000000002E-2</v>
      </c>
      <c r="I194" s="288">
        <v>6</v>
      </c>
      <c r="J194" s="287">
        <v>3.4799999999999998E-2</v>
      </c>
    </row>
    <row r="195" spans="1:10">
      <c r="A195" s="264">
        <v>60</v>
      </c>
      <c r="B195" s="285" t="s">
        <v>146</v>
      </c>
      <c r="C195" s="294">
        <v>4.9955559999999997</v>
      </c>
      <c r="D195" s="294">
        <v>-2.0109499999999998</v>
      </c>
      <c r="E195" s="294">
        <v>4.0602109999999998</v>
      </c>
      <c r="F195" s="294">
        <v>-3.0517439999999998</v>
      </c>
      <c r="G195" s="291">
        <v>0.99980500000000005</v>
      </c>
      <c r="H195" s="287">
        <v>8.9499999999999996E-2</v>
      </c>
      <c r="I195" s="288">
        <v>6</v>
      </c>
      <c r="J195" s="287">
        <v>3.49E-2</v>
      </c>
    </row>
    <row r="196" spans="1:10">
      <c r="A196" s="264">
        <v>61</v>
      </c>
      <c r="B196" s="285" t="s">
        <v>370</v>
      </c>
      <c r="C196" s="294">
        <v>5.0056479999999999</v>
      </c>
      <c r="D196" s="294">
        <v>-1.980926</v>
      </c>
      <c r="E196" s="294">
        <v>3.9348990000000001</v>
      </c>
      <c r="F196" s="294">
        <v>-2.9116040000000001</v>
      </c>
      <c r="G196" s="291">
        <v>0.99983500000000003</v>
      </c>
      <c r="H196" s="287">
        <v>7.5399999999999995E-2</v>
      </c>
      <c r="I196" s="288">
        <v>2</v>
      </c>
      <c r="J196" s="287">
        <v>3.2800000000000003E-2</v>
      </c>
    </row>
    <row r="197" spans="1:10">
      <c r="A197" s="264">
        <v>62</v>
      </c>
      <c r="B197" s="285" t="s">
        <v>371</v>
      </c>
      <c r="C197" s="294">
        <v>4.9874530000000004</v>
      </c>
      <c r="D197" s="294">
        <v>-1.929673</v>
      </c>
      <c r="E197" s="294">
        <v>3.7592680000000001</v>
      </c>
      <c r="F197" s="294">
        <v>-2.7342840000000002</v>
      </c>
      <c r="G197" s="291">
        <v>0.99983500000000003</v>
      </c>
      <c r="H197" s="287">
        <v>0.10539999999999999</v>
      </c>
      <c r="I197" s="288">
        <v>2</v>
      </c>
      <c r="J197" s="287">
        <v>3.2199999999999999E-2</v>
      </c>
    </row>
    <row r="198" spans="1:10">
      <c r="A198" s="264">
        <v>62</v>
      </c>
      <c r="B198" s="285" t="s">
        <v>147</v>
      </c>
      <c r="C198" s="294">
        <v>4.9906350000000002</v>
      </c>
      <c r="D198" s="294">
        <v>-1.9306840000000001</v>
      </c>
      <c r="E198" s="294">
        <v>3.7587449999999998</v>
      </c>
      <c r="F198" s="294">
        <v>-2.731738</v>
      </c>
      <c r="G198" s="291">
        <v>0.99983100000000003</v>
      </c>
      <c r="H198" s="287">
        <v>0.1082</v>
      </c>
      <c r="I198" s="288">
        <v>2</v>
      </c>
      <c r="J198" s="287">
        <v>3.2500000000000001E-2</v>
      </c>
    </row>
    <row r="199" spans="1:10">
      <c r="A199" s="264">
        <v>63</v>
      </c>
      <c r="B199" s="285" t="s">
        <v>372</v>
      </c>
      <c r="C199" s="294">
        <v>4.9516960000000001</v>
      </c>
      <c r="D199" s="294">
        <v>-1.863127</v>
      </c>
      <c r="E199" s="294">
        <v>3.5430890000000002</v>
      </c>
      <c r="F199" s="294">
        <v>-2.523984</v>
      </c>
      <c r="G199" s="291">
        <v>0.99980500000000005</v>
      </c>
      <c r="H199" s="287">
        <v>0.1358</v>
      </c>
      <c r="I199" s="288">
        <v>2</v>
      </c>
      <c r="J199" s="287">
        <v>3.3599999999999998E-2</v>
      </c>
    </row>
    <row r="200" spans="1:10">
      <c r="A200" s="264">
        <v>63</v>
      </c>
      <c r="B200" s="285" t="s">
        <v>148</v>
      </c>
      <c r="C200" s="294">
        <v>4.9531020000000003</v>
      </c>
      <c r="D200" s="294">
        <v>-1.8626910000000001</v>
      </c>
      <c r="E200" s="294">
        <v>3.5388959999999998</v>
      </c>
      <c r="F200" s="294">
        <v>-2.5185080000000002</v>
      </c>
      <c r="G200" s="291">
        <v>0.99979899999999999</v>
      </c>
      <c r="H200" s="287">
        <v>0.13850000000000001</v>
      </c>
      <c r="I200" s="288">
        <v>2</v>
      </c>
      <c r="J200" s="287">
        <v>3.4000000000000002E-2</v>
      </c>
    </row>
    <row r="201" spans="1:10">
      <c r="A201" s="264">
        <v>64</v>
      </c>
      <c r="B201" s="285" t="s">
        <v>149</v>
      </c>
      <c r="C201" s="294">
        <v>4.8954719999999998</v>
      </c>
      <c r="D201" s="294">
        <v>-1.7789820000000001</v>
      </c>
      <c r="E201" s="294">
        <v>3.2808380000000001</v>
      </c>
      <c r="F201" s="294">
        <v>-2.2766449999999998</v>
      </c>
      <c r="G201" s="291">
        <v>0.99974700000000005</v>
      </c>
      <c r="H201" s="287">
        <v>0.16600000000000001</v>
      </c>
      <c r="I201" s="288">
        <v>2</v>
      </c>
      <c r="J201" s="287">
        <v>3.8100000000000002E-2</v>
      </c>
    </row>
    <row r="202" spans="1:10">
      <c r="A202" s="264">
        <v>64</v>
      </c>
      <c r="B202" s="285" t="s">
        <v>150</v>
      </c>
      <c r="C202" s="294">
        <v>4.8957639999999998</v>
      </c>
      <c r="D202" s="294">
        <v>-1.7792520000000001</v>
      </c>
      <c r="E202" s="294">
        <v>3.281609</v>
      </c>
      <c r="F202" s="294">
        <v>-2.2773490000000001</v>
      </c>
      <c r="G202" s="291">
        <v>0.99974799999999997</v>
      </c>
      <c r="H202" s="287">
        <v>0.1658</v>
      </c>
      <c r="I202" s="288">
        <v>2</v>
      </c>
      <c r="J202" s="287">
        <v>3.8100000000000002E-2</v>
      </c>
    </row>
    <row r="203" spans="1:10">
      <c r="A203" s="264">
        <v>64</v>
      </c>
      <c r="B203" s="285" t="s">
        <v>151</v>
      </c>
      <c r="C203" s="294">
        <v>4.8958139999999997</v>
      </c>
      <c r="D203" s="294">
        <v>-1.7795190000000001</v>
      </c>
      <c r="E203" s="294">
        <v>3.282654</v>
      </c>
      <c r="F203" s="294">
        <v>-2.2783060000000002</v>
      </c>
      <c r="G203" s="291">
        <v>0.99974700000000005</v>
      </c>
      <c r="H203" s="287">
        <v>0.1658</v>
      </c>
      <c r="I203" s="288">
        <v>2</v>
      </c>
      <c r="J203" s="287">
        <v>3.8100000000000002E-2</v>
      </c>
    </row>
    <row r="204" spans="1:10">
      <c r="A204" s="264">
        <v>65</v>
      </c>
      <c r="B204" s="285" t="s">
        <v>152</v>
      </c>
      <c r="C204" s="294">
        <v>4.8229759999999997</v>
      </c>
      <c r="D204" s="294">
        <v>-1.6863300000000001</v>
      </c>
      <c r="E204" s="294">
        <v>3.0066060000000001</v>
      </c>
      <c r="F204" s="294">
        <v>-2.0267680000000001</v>
      </c>
      <c r="G204" s="291">
        <v>0.999691</v>
      </c>
      <c r="H204" s="287">
        <v>0.18720000000000001</v>
      </c>
      <c r="I204" s="288">
        <v>2</v>
      </c>
      <c r="J204" s="287">
        <v>4.4200000000000003E-2</v>
      </c>
    </row>
    <row r="205" spans="1:10">
      <c r="A205" s="264">
        <v>65</v>
      </c>
      <c r="B205" s="285" t="s">
        <v>373</v>
      </c>
      <c r="C205" s="294">
        <v>4.8216140000000003</v>
      </c>
      <c r="D205" s="294">
        <v>-1.6837580000000001</v>
      </c>
      <c r="E205" s="294">
        <v>2.9972639999999999</v>
      </c>
      <c r="F205" s="294">
        <v>-2.017388</v>
      </c>
      <c r="G205" s="291">
        <v>0.99968299999999999</v>
      </c>
      <c r="H205" s="287">
        <v>0.18959999999999999</v>
      </c>
      <c r="I205" s="288">
        <v>2</v>
      </c>
      <c r="J205" s="287">
        <v>4.48E-2</v>
      </c>
    </row>
    <row r="206" spans="1:10">
      <c r="A206" s="264">
        <v>65</v>
      </c>
      <c r="B206" s="285" t="s">
        <v>153</v>
      </c>
      <c r="C206" s="294">
        <v>4.8194189999999999</v>
      </c>
      <c r="D206" s="294">
        <v>-1.679989</v>
      </c>
      <c r="E206" s="294">
        <v>2.9838849999999999</v>
      </c>
      <c r="F206" s="294">
        <v>-2.004114</v>
      </c>
      <c r="G206" s="291">
        <v>0.99967200000000001</v>
      </c>
      <c r="H206" s="287">
        <v>0.19270000000000001</v>
      </c>
      <c r="I206" s="288">
        <v>2</v>
      </c>
      <c r="J206" s="287">
        <v>4.58E-2</v>
      </c>
    </row>
    <row r="207" spans="1:10">
      <c r="A207" s="264">
        <v>66</v>
      </c>
      <c r="B207" s="285" t="s">
        <v>374</v>
      </c>
      <c r="C207" s="294">
        <v>4.7363670000000004</v>
      </c>
      <c r="D207" s="294">
        <v>-1.5818989999999999</v>
      </c>
      <c r="E207" s="294">
        <v>2.7025830000000002</v>
      </c>
      <c r="F207" s="294">
        <v>-1.7539290000000001</v>
      </c>
      <c r="G207" s="291">
        <v>0.99962300000000004</v>
      </c>
      <c r="H207" s="287">
        <v>0.20710000000000001</v>
      </c>
      <c r="I207" s="288">
        <v>2</v>
      </c>
      <c r="J207" s="287">
        <v>5.1900000000000002E-2</v>
      </c>
    </row>
    <row r="208" spans="1:10">
      <c r="A208" s="264">
        <v>66</v>
      </c>
      <c r="B208" s="285" t="s">
        <v>154</v>
      </c>
      <c r="C208" s="294">
        <v>4.7333590000000001</v>
      </c>
      <c r="D208" s="294">
        <v>-1.577977</v>
      </c>
      <c r="E208" s="294">
        <v>2.6898019999999998</v>
      </c>
      <c r="F208" s="294">
        <v>-1.7417860000000001</v>
      </c>
      <c r="G208" s="291">
        <v>0.999614</v>
      </c>
      <c r="H208" s="287">
        <v>0.20949999999999999</v>
      </c>
      <c r="I208" s="288">
        <v>2</v>
      </c>
      <c r="J208" s="287">
        <v>5.2699999999999997E-2</v>
      </c>
    </row>
    <row r="209" spans="1:10">
      <c r="A209" s="264">
        <v>67</v>
      </c>
      <c r="B209" s="285" t="s">
        <v>375</v>
      </c>
      <c r="C209" s="294">
        <v>4.6338540000000004</v>
      </c>
      <c r="D209" s="294">
        <v>-1.4646600000000001</v>
      </c>
      <c r="E209" s="294">
        <v>2.3670270000000002</v>
      </c>
      <c r="F209" s="294">
        <v>-1.4572020000000001</v>
      </c>
      <c r="G209" s="291">
        <v>0.99954699999999996</v>
      </c>
      <c r="H209" s="287">
        <v>0.22520000000000001</v>
      </c>
      <c r="I209" s="288">
        <v>2</v>
      </c>
      <c r="J209" s="287">
        <v>6.0100000000000001E-2</v>
      </c>
    </row>
    <row r="210" spans="1:10">
      <c r="A210" s="264">
        <v>68</v>
      </c>
      <c r="B210" s="285" t="s">
        <v>376</v>
      </c>
      <c r="C210" s="294">
        <v>4.5257940000000003</v>
      </c>
      <c r="D210" s="294">
        <v>-1.3461650000000001</v>
      </c>
      <c r="E210" s="294">
        <v>2.0352830000000002</v>
      </c>
      <c r="F210" s="294">
        <v>-1.1689259999999999</v>
      </c>
      <c r="G210" s="291">
        <v>0.99948800000000004</v>
      </c>
      <c r="H210" s="287">
        <v>0.2366</v>
      </c>
      <c r="I210" s="288">
        <v>2</v>
      </c>
      <c r="J210" s="287">
        <v>6.6900000000000001E-2</v>
      </c>
    </row>
    <row r="211" spans="1:10">
      <c r="A211" s="264">
        <v>69</v>
      </c>
      <c r="B211" s="285" t="s">
        <v>377</v>
      </c>
      <c r="C211" s="294">
        <v>4.4176299999999999</v>
      </c>
      <c r="D211" s="294">
        <v>-1.230739</v>
      </c>
      <c r="E211" s="294">
        <v>1.7180610000000001</v>
      </c>
      <c r="F211" s="294">
        <v>-0.89740750000000002</v>
      </c>
      <c r="G211" s="291">
        <v>0.99944900000000003</v>
      </c>
      <c r="H211" s="287">
        <v>0.2422</v>
      </c>
      <c r="I211" s="288">
        <v>2</v>
      </c>
      <c r="J211" s="287">
        <v>7.2099999999999997E-2</v>
      </c>
    </row>
    <row r="212" spans="1:10">
      <c r="A212" s="264">
        <v>69</v>
      </c>
      <c r="B212" s="285" t="s">
        <v>155</v>
      </c>
      <c r="C212" s="294">
        <v>4.4117410000000001</v>
      </c>
      <c r="D212" s="294">
        <v>-1.224704</v>
      </c>
      <c r="E212" s="294">
        <v>1.700458</v>
      </c>
      <c r="F212" s="294">
        <v>-0.88181259999999995</v>
      </c>
      <c r="G212" s="291">
        <v>0.99944100000000002</v>
      </c>
      <c r="H212" s="287">
        <v>0.24379999999999999</v>
      </c>
      <c r="I212" s="288">
        <v>2</v>
      </c>
      <c r="J212" s="287">
        <v>7.2800000000000004E-2</v>
      </c>
    </row>
    <row r="213" spans="1:10">
      <c r="A213" s="264">
        <v>70</v>
      </c>
      <c r="B213" s="285" t="s">
        <v>378</v>
      </c>
      <c r="C213" s="294">
        <v>4.3006070000000003</v>
      </c>
      <c r="D213" s="294">
        <v>-1.1087720000000001</v>
      </c>
      <c r="E213" s="294">
        <v>1.38636</v>
      </c>
      <c r="F213" s="294">
        <v>-0.61634549999999999</v>
      </c>
      <c r="G213" s="291">
        <v>0.99941599999999997</v>
      </c>
      <c r="H213" s="287">
        <v>0.24540000000000001</v>
      </c>
      <c r="I213" s="288">
        <v>2</v>
      </c>
      <c r="J213" s="287">
        <v>7.7200000000000005E-2</v>
      </c>
    </row>
    <row r="214" spans="1:10">
      <c r="A214" s="264">
        <v>70</v>
      </c>
      <c r="B214" s="285" t="s">
        <v>156</v>
      </c>
      <c r="C214" s="294">
        <v>4.294098</v>
      </c>
      <c r="D214" s="294">
        <v>-1.1023270000000001</v>
      </c>
      <c r="E214" s="294">
        <v>1.3679380000000001</v>
      </c>
      <c r="F214" s="294">
        <v>-0.60025779999999995</v>
      </c>
      <c r="G214" s="291">
        <v>0.99940799999999996</v>
      </c>
      <c r="H214" s="287">
        <v>0.24660000000000001</v>
      </c>
      <c r="I214" s="288">
        <v>2</v>
      </c>
      <c r="J214" s="287">
        <v>7.7799999999999994E-2</v>
      </c>
    </row>
    <row r="215" spans="1:10">
      <c r="A215" s="264">
        <v>71</v>
      </c>
      <c r="B215" s="285" t="s">
        <v>379</v>
      </c>
      <c r="C215" s="294">
        <v>4.1750740000000004</v>
      </c>
      <c r="D215" s="294">
        <v>-0.98089559999999998</v>
      </c>
      <c r="E215" s="294">
        <v>1.042556</v>
      </c>
      <c r="F215" s="294">
        <v>-0.32815250000000001</v>
      </c>
      <c r="G215" s="291">
        <v>0.99939199999999995</v>
      </c>
      <c r="H215" s="287">
        <v>0.24529999999999999</v>
      </c>
      <c r="I215" s="288">
        <v>2</v>
      </c>
      <c r="J215" s="287">
        <v>8.1600000000000006E-2</v>
      </c>
    </row>
    <row r="216" spans="1:10">
      <c r="A216" s="264">
        <v>72</v>
      </c>
      <c r="B216" s="285" t="s">
        <v>380</v>
      </c>
      <c r="C216" s="294">
        <v>4.0467209999999998</v>
      </c>
      <c r="D216" s="294">
        <v>-0.85236559999999995</v>
      </c>
      <c r="E216" s="294">
        <v>0.70146830000000004</v>
      </c>
      <c r="F216" s="294">
        <v>-4.5897300000000002E-2</v>
      </c>
      <c r="G216" s="291">
        <v>0.99938400000000005</v>
      </c>
      <c r="H216" s="287">
        <v>0.2409</v>
      </c>
      <c r="I216" s="288">
        <v>2</v>
      </c>
      <c r="J216" s="287">
        <v>8.4500000000000006E-2</v>
      </c>
    </row>
    <row r="217" spans="1:10">
      <c r="A217" s="264">
        <v>72</v>
      </c>
      <c r="B217" s="285" t="s">
        <v>157</v>
      </c>
      <c r="C217" s="294">
        <v>4.0470420000000003</v>
      </c>
      <c r="D217" s="294">
        <v>-0.85277599999999998</v>
      </c>
      <c r="E217" s="294">
        <v>0.70266770000000001</v>
      </c>
      <c r="F217" s="294">
        <v>-4.6860720000000002E-2</v>
      </c>
      <c r="G217" s="291">
        <v>0.99938400000000005</v>
      </c>
      <c r="H217" s="287">
        <v>0.24079999999999999</v>
      </c>
      <c r="I217" s="288">
        <v>2</v>
      </c>
      <c r="J217" s="287">
        <v>8.4500000000000006E-2</v>
      </c>
    </row>
    <row r="218" spans="1:10">
      <c r="A218" s="264">
        <v>72</v>
      </c>
      <c r="B218" s="285" t="s">
        <v>158</v>
      </c>
      <c r="C218" s="294">
        <v>4.0477270000000001</v>
      </c>
      <c r="D218" s="294">
        <v>-0.85357289999999997</v>
      </c>
      <c r="E218" s="294">
        <v>0.70496239999999999</v>
      </c>
      <c r="F218" s="294">
        <v>-4.8732009999999999E-2</v>
      </c>
      <c r="G218" s="291">
        <v>0.99938400000000005</v>
      </c>
      <c r="H218" s="287">
        <v>0.24060000000000001</v>
      </c>
      <c r="I218" s="288">
        <v>2</v>
      </c>
      <c r="J218" s="287">
        <v>8.4500000000000006E-2</v>
      </c>
    </row>
    <row r="219" spans="1:10">
      <c r="A219" s="264">
        <v>73</v>
      </c>
      <c r="B219" s="285" t="s">
        <v>381</v>
      </c>
      <c r="C219" s="294">
        <v>3.9189620000000001</v>
      </c>
      <c r="D219" s="294">
        <v>-0.72662519999999997</v>
      </c>
      <c r="E219" s="294">
        <v>0.37270569999999997</v>
      </c>
      <c r="F219" s="294">
        <v>0.22253000000000001</v>
      </c>
      <c r="G219" s="291">
        <v>0.99939299999999998</v>
      </c>
      <c r="H219" s="287">
        <v>0.2319</v>
      </c>
      <c r="I219" s="288">
        <v>2</v>
      </c>
      <c r="J219" s="287">
        <v>8.6199999999999999E-2</v>
      </c>
    </row>
    <row r="220" spans="1:10">
      <c r="A220" s="264">
        <v>73</v>
      </c>
      <c r="B220" s="285" t="s">
        <v>159</v>
      </c>
      <c r="C220" s="294">
        <v>3.9192520000000002</v>
      </c>
      <c r="D220" s="294">
        <v>-0.72698770000000001</v>
      </c>
      <c r="E220" s="294">
        <v>0.37374380000000001</v>
      </c>
      <c r="F220" s="294">
        <v>0.221715</v>
      </c>
      <c r="G220" s="291">
        <v>0.99939299999999998</v>
      </c>
      <c r="H220" s="287">
        <v>0.23180000000000001</v>
      </c>
      <c r="I220" s="288">
        <v>2</v>
      </c>
      <c r="J220" s="287">
        <v>8.6099999999999996E-2</v>
      </c>
    </row>
    <row r="221" spans="1:10">
      <c r="A221" s="264">
        <v>73</v>
      </c>
      <c r="B221" s="285" t="s">
        <v>160</v>
      </c>
      <c r="C221" s="294">
        <v>3.9199099999999998</v>
      </c>
      <c r="D221" s="294">
        <v>-0.72772870000000001</v>
      </c>
      <c r="E221" s="294">
        <v>0.37583369999999999</v>
      </c>
      <c r="F221" s="294">
        <v>0.22003929999999999</v>
      </c>
      <c r="G221" s="291">
        <v>0.999394</v>
      </c>
      <c r="H221" s="287">
        <v>0.2316</v>
      </c>
      <c r="I221" s="288">
        <v>2</v>
      </c>
      <c r="J221" s="287">
        <v>8.6099999999999996E-2</v>
      </c>
    </row>
    <row r="222" spans="1:10">
      <c r="A222" s="264">
        <v>73</v>
      </c>
      <c r="B222" s="285" t="s">
        <v>161</v>
      </c>
      <c r="C222" s="294">
        <v>3.9209990000000001</v>
      </c>
      <c r="D222" s="294">
        <v>-0.7289021</v>
      </c>
      <c r="E222" s="294">
        <v>0.37911739999999999</v>
      </c>
      <c r="F222" s="294">
        <v>0.2173842</v>
      </c>
      <c r="G222" s="291">
        <v>0.999394</v>
      </c>
      <c r="H222" s="287">
        <v>0.23139999999999999</v>
      </c>
      <c r="I222" s="288">
        <v>2</v>
      </c>
      <c r="J222" s="287">
        <v>8.6099999999999996E-2</v>
      </c>
    </row>
    <row r="223" spans="1:10">
      <c r="A223" s="264">
        <v>74</v>
      </c>
      <c r="B223" s="285" t="s">
        <v>162</v>
      </c>
      <c r="C223" s="294">
        <v>3.7930990000000002</v>
      </c>
      <c r="D223" s="294">
        <v>-0.60466220000000004</v>
      </c>
      <c r="E223" s="294">
        <v>5.8711239999999998E-2</v>
      </c>
      <c r="F223" s="294">
        <v>0.47519640000000002</v>
      </c>
      <c r="G223" s="291">
        <v>0.99941899999999995</v>
      </c>
      <c r="H223" s="287">
        <v>0.21820000000000001</v>
      </c>
      <c r="I223" s="288">
        <v>2</v>
      </c>
      <c r="J223" s="287">
        <v>8.6599999999999996E-2</v>
      </c>
    </row>
    <row r="224" spans="1:10">
      <c r="A224" s="264">
        <v>74</v>
      </c>
      <c r="B224" s="285" t="s">
        <v>163</v>
      </c>
      <c r="C224" s="294">
        <v>3.793577</v>
      </c>
      <c r="D224" s="294">
        <v>-0.60501680000000002</v>
      </c>
      <c r="E224" s="294">
        <v>5.9580639999999997E-2</v>
      </c>
      <c r="F224" s="294">
        <v>0.47448760000000001</v>
      </c>
      <c r="G224" s="291">
        <v>0.99941899999999995</v>
      </c>
      <c r="H224" s="287">
        <v>0.2185</v>
      </c>
      <c r="I224" s="288">
        <v>2</v>
      </c>
      <c r="J224" s="287">
        <v>8.6599999999999996E-2</v>
      </c>
    </row>
    <row r="225" spans="1:10">
      <c r="A225" s="264">
        <v>74</v>
      </c>
      <c r="B225" s="285" t="s">
        <v>164</v>
      </c>
      <c r="C225" s="294">
        <v>3.7938580000000002</v>
      </c>
      <c r="D225" s="294">
        <v>-0.60535640000000002</v>
      </c>
      <c r="E225" s="294">
        <v>6.0532210000000003E-2</v>
      </c>
      <c r="F225" s="294">
        <v>0.47375469999999997</v>
      </c>
      <c r="G225" s="291">
        <v>0.99941899999999995</v>
      </c>
      <c r="H225" s="287">
        <v>0.21840000000000001</v>
      </c>
      <c r="I225" s="288">
        <v>2</v>
      </c>
      <c r="J225" s="287">
        <v>8.6599999999999996E-2</v>
      </c>
    </row>
    <row r="226" spans="1:10">
      <c r="A226" s="264">
        <v>74</v>
      </c>
      <c r="B226" s="285" t="s">
        <v>165</v>
      </c>
      <c r="C226" s="294">
        <v>3.7945150000000001</v>
      </c>
      <c r="D226" s="294">
        <v>-0.60606970000000004</v>
      </c>
      <c r="E226" s="294">
        <v>6.2503370000000003E-2</v>
      </c>
      <c r="F226" s="294">
        <v>0.47219699999999998</v>
      </c>
      <c r="G226" s="291">
        <v>0.99941899999999995</v>
      </c>
      <c r="H226" s="287">
        <v>0.21820000000000001</v>
      </c>
      <c r="I226" s="288">
        <v>2</v>
      </c>
      <c r="J226" s="287">
        <v>8.6599999999999996E-2</v>
      </c>
    </row>
    <row r="227" spans="1:10">
      <c r="A227" s="264">
        <v>74</v>
      </c>
      <c r="B227" s="285" t="s">
        <v>166</v>
      </c>
      <c r="C227" s="294">
        <v>3.7956110000000001</v>
      </c>
      <c r="D227" s="294">
        <v>-0.60721199999999997</v>
      </c>
      <c r="E227" s="294">
        <v>6.5638730000000006E-2</v>
      </c>
      <c r="F227" s="294">
        <v>0.46969539999999999</v>
      </c>
      <c r="G227" s="291">
        <v>0.99941999999999998</v>
      </c>
      <c r="H227" s="287">
        <v>0.218</v>
      </c>
      <c r="I227" s="288">
        <v>2</v>
      </c>
      <c r="J227" s="287">
        <v>8.6499999999999994E-2</v>
      </c>
    </row>
    <row r="228" spans="1:10">
      <c r="A228" s="264">
        <v>74</v>
      </c>
      <c r="B228" s="285" t="s">
        <v>167</v>
      </c>
      <c r="C228" s="294">
        <v>3.797199</v>
      </c>
      <c r="D228" s="294">
        <v>-0.60882650000000005</v>
      </c>
      <c r="E228" s="294">
        <v>7.0049920000000002E-2</v>
      </c>
      <c r="F228" s="294">
        <v>0.46615909999999999</v>
      </c>
      <c r="G228" s="291">
        <v>0.99941999999999998</v>
      </c>
      <c r="H228" s="287">
        <v>0.2177</v>
      </c>
      <c r="I228" s="288">
        <v>2</v>
      </c>
      <c r="J228" s="287">
        <v>8.6400000000000005E-2</v>
      </c>
    </row>
    <row r="229" spans="1:10">
      <c r="A229" s="264">
        <v>75</v>
      </c>
      <c r="B229" s="285" t="s">
        <v>168</v>
      </c>
      <c r="C229" s="294">
        <v>3.6722540000000001</v>
      </c>
      <c r="D229" s="294">
        <v>-0.4889983</v>
      </c>
      <c r="E229" s="294">
        <v>-0.2341221</v>
      </c>
      <c r="F229" s="294">
        <v>0.70698190000000005</v>
      </c>
      <c r="G229" s="291">
        <v>0.99945899999999999</v>
      </c>
      <c r="H229" s="287">
        <v>0.20050000000000001</v>
      </c>
      <c r="I229" s="288">
        <v>2</v>
      </c>
      <c r="J229" s="287">
        <v>8.5500000000000007E-2</v>
      </c>
    </row>
    <row r="230" spans="1:10">
      <c r="A230" s="264">
        <v>75</v>
      </c>
      <c r="B230" s="285" t="s">
        <v>169</v>
      </c>
      <c r="C230" s="294">
        <v>3.672625</v>
      </c>
      <c r="D230" s="294">
        <v>-0.48925479999999999</v>
      </c>
      <c r="E230" s="294">
        <v>-0.2335237</v>
      </c>
      <c r="F230" s="294">
        <v>0.70650460000000004</v>
      </c>
      <c r="G230" s="291">
        <v>0.99945899999999999</v>
      </c>
      <c r="H230" s="287">
        <v>0.20080000000000001</v>
      </c>
      <c r="I230" s="288">
        <v>2</v>
      </c>
      <c r="J230" s="287">
        <v>8.5599999999999996E-2</v>
      </c>
    </row>
    <row r="231" spans="1:10">
      <c r="A231" s="264">
        <v>75</v>
      </c>
      <c r="B231" s="285" t="s">
        <v>170</v>
      </c>
      <c r="C231" s="294">
        <v>3.672917</v>
      </c>
      <c r="D231" s="294">
        <v>-0.48959059999999999</v>
      </c>
      <c r="E231" s="294">
        <v>-0.23260320000000001</v>
      </c>
      <c r="F231" s="294">
        <v>0.70580529999999997</v>
      </c>
      <c r="G231" s="291">
        <v>0.99945899999999999</v>
      </c>
      <c r="H231" s="287">
        <v>0.20069999999999999</v>
      </c>
      <c r="I231" s="288">
        <v>2</v>
      </c>
      <c r="J231" s="287">
        <v>8.5500000000000007E-2</v>
      </c>
    </row>
    <row r="232" spans="1:10">
      <c r="A232" s="264">
        <v>75</v>
      </c>
      <c r="B232" s="285" t="s">
        <v>171</v>
      </c>
      <c r="C232" s="294">
        <v>3.6735920000000002</v>
      </c>
      <c r="D232" s="294">
        <v>-0.49029729999999999</v>
      </c>
      <c r="E232" s="294">
        <v>-0.230688</v>
      </c>
      <c r="F232" s="294">
        <v>0.70430990000000004</v>
      </c>
      <c r="G232" s="291">
        <v>0.99945899999999999</v>
      </c>
      <c r="H232" s="287">
        <v>0.20050000000000001</v>
      </c>
      <c r="I232" s="288">
        <v>2</v>
      </c>
      <c r="J232" s="287">
        <v>8.5500000000000007E-2</v>
      </c>
    </row>
    <row r="233" spans="1:10">
      <c r="A233" s="264">
        <v>75</v>
      </c>
      <c r="B233" s="285" t="s">
        <v>172</v>
      </c>
      <c r="C233" s="294">
        <v>3.674715</v>
      </c>
      <c r="D233" s="294">
        <v>-0.49142950000000002</v>
      </c>
      <c r="E233" s="294">
        <v>-0.22763630000000001</v>
      </c>
      <c r="F233" s="294">
        <v>0.70190330000000001</v>
      </c>
      <c r="G233" s="291">
        <v>0.99945899999999999</v>
      </c>
      <c r="H233" s="287">
        <v>0.20019999999999999</v>
      </c>
      <c r="I233" s="288">
        <v>2</v>
      </c>
      <c r="J233" s="287">
        <v>8.5400000000000004E-2</v>
      </c>
    </row>
    <row r="234" spans="1:10">
      <c r="A234" s="264">
        <v>75</v>
      </c>
      <c r="B234" s="285" t="s">
        <v>173</v>
      </c>
      <c r="C234" s="294">
        <v>3.676339</v>
      </c>
      <c r="D234" s="294">
        <v>-0.49303130000000001</v>
      </c>
      <c r="E234" s="294">
        <v>-0.22333539999999999</v>
      </c>
      <c r="F234" s="294">
        <v>0.69849439999999996</v>
      </c>
      <c r="G234" s="291">
        <v>0.99946000000000002</v>
      </c>
      <c r="H234" s="287">
        <v>0.19989999999999999</v>
      </c>
      <c r="I234" s="288">
        <v>2</v>
      </c>
      <c r="J234" s="287">
        <v>8.5400000000000004E-2</v>
      </c>
    </row>
    <row r="235" spans="1:10">
      <c r="A235" s="264">
        <v>75</v>
      </c>
      <c r="B235" s="285" t="s">
        <v>174</v>
      </c>
      <c r="C235" s="294">
        <v>3.6785070000000002</v>
      </c>
      <c r="D235" s="294">
        <v>-0.4951392</v>
      </c>
      <c r="E235" s="294">
        <v>-0.21769340000000001</v>
      </c>
      <c r="F235" s="294">
        <v>0.69401049999999997</v>
      </c>
      <c r="G235" s="291">
        <v>0.99946100000000004</v>
      </c>
      <c r="H235" s="287">
        <v>0.1996</v>
      </c>
      <c r="I235" s="288">
        <v>2</v>
      </c>
      <c r="J235" s="287">
        <v>8.5300000000000001E-2</v>
      </c>
    </row>
    <row r="236" spans="1:10">
      <c r="A236" s="264">
        <v>76</v>
      </c>
      <c r="B236" s="285" t="s">
        <v>175</v>
      </c>
      <c r="C236" s="294">
        <v>3.5578150000000002</v>
      </c>
      <c r="D236" s="294">
        <v>-0.38078709999999999</v>
      </c>
      <c r="E236" s="294">
        <v>-0.50291249999999998</v>
      </c>
      <c r="F236" s="294">
        <v>0.91570169999999995</v>
      </c>
      <c r="G236" s="291">
        <v>0.99951000000000001</v>
      </c>
      <c r="H236" s="287">
        <v>0.18590000000000001</v>
      </c>
      <c r="I236" s="288">
        <v>6</v>
      </c>
      <c r="J236" s="287">
        <v>8.2799999999999999E-2</v>
      </c>
    </row>
    <row r="237" spans="1:10">
      <c r="A237" s="264">
        <v>76</v>
      </c>
      <c r="B237" s="285" t="s">
        <v>176</v>
      </c>
      <c r="C237" s="294">
        <v>3.5580440000000002</v>
      </c>
      <c r="D237" s="294">
        <v>-0.38091720000000001</v>
      </c>
      <c r="E237" s="294">
        <v>-0.50265559999999998</v>
      </c>
      <c r="F237" s="294">
        <v>0.91551300000000002</v>
      </c>
      <c r="G237" s="291">
        <v>0.99951000000000001</v>
      </c>
      <c r="H237" s="287">
        <v>0.18590000000000001</v>
      </c>
      <c r="I237" s="288">
        <v>6</v>
      </c>
      <c r="J237" s="287">
        <v>8.2900000000000001E-2</v>
      </c>
    </row>
    <row r="238" spans="1:10">
      <c r="A238" s="264">
        <v>76</v>
      </c>
      <c r="B238" s="285" t="s">
        <v>177</v>
      </c>
      <c r="C238" s="294">
        <v>3.5583619999999998</v>
      </c>
      <c r="D238" s="294">
        <v>-0.38126450000000001</v>
      </c>
      <c r="E238" s="294">
        <v>-0.50172309999999998</v>
      </c>
      <c r="F238" s="294">
        <v>0.91480989999999995</v>
      </c>
      <c r="G238" s="291">
        <v>0.99951000000000001</v>
      </c>
      <c r="H238" s="287">
        <v>0.18590000000000001</v>
      </c>
      <c r="I238" s="288">
        <v>6</v>
      </c>
      <c r="J238" s="287">
        <v>8.2900000000000001E-2</v>
      </c>
    </row>
    <row r="239" spans="1:10">
      <c r="A239" s="264">
        <v>76</v>
      </c>
      <c r="B239" s="285" t="s">
        <v>178</v>
      </c>
      <c r="C239" s="294">
        <v>3.5590730000000002</v>
      </c>
      <c r="D239" s="294">
        <v>-0.38198149999999997</v>
      </c>
      <c r="E239" s="294">
        <v>-0.49981429999999999</v>
      </c>
      <c r="F239" s="294">
        <v>0.91333339999999996</v>
      </c>
      <c r="G239" s="291">
        <v>0.99951000000000001</v>
      </c>
      <c r="H239" s="287">
        <v>0.18579999999999999</v>
      </c>
      <c r="I239" s="288">
        <v>6</v>
      </c>
      <c r="J239" s="287">
        <v>8.2799999999999999E-2</v>
      </c>
    </row>
    <row r="240" spans="1:10">
      <c r="A240" s="264">
        <v>76</v>
      </c>
      <c r="B240" s="285" t="s">
        <v>179</v>
      </c>
      <c r="C240" s="294">
        <v>3.5602390000000002</v>
      </c>
      <c r="D240" s="294">
        <v>-0.38312049999999997</v>
      </c>
      <c r="E240" s="294">
        <v>-0.4967956</v>
      </c>
      <c r="F240" s="294">
        <v>0.91097609999999996</v>
      </c>
      <c r="G240" s="291">
        <v>0.99951100000000004</v>
      </c>
      <c r="H240" s="287">
        <v>0.1857</v>
      </c>
      <c r="I240" s="288">
        <v>6</v>
      </c>
      <c r="J240" s="287">
        <v>8.2799999999999999E-2</v>
      </c>
    </row>
    <row r="241" spans="1:10">
      <c r="A241" s="264">
        <v>76</v>
      </c>
      <c r="B241" s="285" t="s">
        <v>180</v>
      </c>
      <c r="C241" s="294">
        <v>3.5619100000000001</v>
      </c>
      <c r="D241" s="294">
        <v>-0.38472440000000002</v>
      </c>
      <c r="E241" s="294">
        <v>-0.492558</v>
      </c>
      <c r="F241" s="294">
        <v>0.90765150000000006</v>
      </c>
      <c r="G241" s="291">
        <v>0.99951100000000004</v>
      </c>
      <c r="H241" s="287">
        <v>0.1855</v>
      </c>
      <c r="I241" s="288">
        <v>6</v>
      </c>
      <c r="J241" s="287">
        <v>8.2699999999999996E-2</v>
      </c>
    </row>
    <row r="242" spans="1:10">
      <c r="A242" s="264">
        <v>76</v>
      </c>
      <c r="B242" s="285" t="s">
        <v>181</v>
      </c>
      <c r="C242" s="294">
        <v>3.5641319999999999</v>
      </c>
      <c r="D242" s="294">
        <v>-0.38682889999999998</v>
      </c>
      <c r="E242" s="294">
        <v>-0.48701270000000002</v>
      </c>
      <c r="F242" s="294">
        <v>0.90328969999999997</v>
      </c>
      <c r="G242" s="291">
        <v>0.99951199999999996</v>
      </c>
      <c r="H242" s="287">
        <v>0.18529999999999999</v>
      </c>
      <c r="I242" s="288">
        <v>6</v>
      </c>
      <c r="J242" s="287">
        <v>8.2600000000000007E-2</v>
      </c>
    </row>
    <row r="243" spans="1:10">
      <c r="A243" s="264">
        <v>76</v>
      </c>
      <c r="B243" s="285" t="s">
        <v>182</v>
      </c>
      <c r="C243" s="294">
        <v>3.5669439999999999</v>
      </c>
      <c r="D243" s="294">
        <v>-0.38946649999999999</v>
      </c>
      <c r="E243" s="294">
        <v>-0.4800798</v>
      </c>
      <c r="F243" s="294">
        <v>0.89782870000000004</v>
      </c>
      <c r="G243" s="291">
        <v>0.99951299999999998</v>
      </c>
      <c r="H243" s="287">
        <v>0.18509999999999999</v>
      </c>
      <c r="I243" s="288">
        <v>6</v>
      </c>
      <c r="J243" s="287">
        <v>8.2500000000000004E-2</v>
      </c>
    </row>
    <row r="244" spans="1:10">
      <c r="A244" s="264">
        <v>77</v>
      </c>
      <c r="B244" s="285" t="s">
        <v>183</v>
      </c>
      <c r="C244" s="294">
        <v>3.4515729999999998</v>
      </c>
      <c r="D244" s="294">
        <v>-0.2814509</v>
      </c>
      <c r="E244" s="294">
        <v>-0.74417900000000003</v>
      </c>
      <c r="F244" s="294">
        <v>1.0987180000000001</v>
      </c>
      <c r="G244" s="291">
        <v>0.99956999999999996</v>
      </c>
      <c r="H244" s="287">
        <v>0.18629999999999999</v>
      </c>
      <c r="I244" s="288">
        <v>6</v>
      </c>
      <c r="J244" s="287">
        <v>7.9000000000000001E-2</v>
      </c>
    </row>
    <row r="245" spans="1:10">
      <c r="A245" s="264">
        <v>77</v>
      </c>
      <c r="B245" s="285" t="s">
        <v>184</v>
      </c>
      <c r="C245" s="294">
        <v>3.4516230000000001</v>
      </c>
      <c r="D245" s="294">
        <v>-0.28142729999999999</v>
      </c>
      <c r="E245" s="294">
        <v>-0.74433070000000001</v>
      </c>
      <c r="F245" s="294">
        <v>1.0988720000000001</v>
      </c>
      <c r="G245" s="291">
        <v>0.99956900000000004</v>
      </c>
      <c r="H245" s="287">
        <v>0.18640000000000001</v>
      </c>
      <c r="I245" s="288">
        <v>6</v>
      </c>
      <c r="J245" s="287">
        <v>7.9100000000000004E-2</v>
      </c>
    </row>
    <row r="246" spans="1:10">
      <c r="A246" s="264">
        <v>77</v>
      </c>
      <c r="B246" s="285" t="s">
        <v>185</v>
      </c>
      <c r="C246" s="294">
        <v>3.4519820000000001</v>
      </c>
      <c r="D246" s="294">
        <v>-0.28179939999999998</v>
      </c>
      <c r="E246" s="294">
        <v>-0.74334940000000005</v>
      </c>
      <c r="F246" s="294">
        <v>1.0981339999999999</v>
      </c>
      <c r="G246" s="291">
        <v>0.99956900000000004</v>
      </c>
      <c r="H246" s="287">
        <v>0.18629999999999999</v>
      </c>
      <c r="I246" s="288">
        <v>6</v>
      </c>
      <c r="J246" s="287">
        <v>7.9100000000000004E-2</v>
      </c>
    </row>
    <row r="247" spans="1:10">
      <c r="A247" s="264">
        <v>77</v>
      </c>
      <c r="B247" s="285" t="s">
        <v>186</v>
      </c>
      <c r="C247" s="294">
        <v>3.4527429999999999</v>
      </c>
      <c r="D247" s="294">
        <v>-0.28254069999999998</v>
      </c>
      <c r="E247" s="294">
        <v>-0.74140740000000005</v>
      </c>
      <c r="F247" s="294">
        <v>1.0966419999999999</v>
      </c>
      <c r="G247" s="291">
        <v>0.99956900000000004</v>
      </c>
      <c r="H247" s="287">
        <v>0.18629999999999999</v>
      </c>
      <c r="I247" s="288">
        <v>6</v>
      </c>
      <c r="J247" s="287">
        <v>7.9000000000000001E-2</v>
      </c>
    </row>
    <row r="248" spans="1:10">
      <c r="A248" s="264">
        <v>77</v>
      </c>
      <c r="B248" s="285" t="s">
        <v>187</v>
      </c>
      <c r="C248" s="294">
        <v>3.453964</v>
      </c>
      <c r="D248" s="294">
        <v>-0.28370010000000001</v>
      </c>
      <c r="E248" s="294">
        <v>-0.73838110000000001</v>
      </c>
      <c r="F248" s="294">
        <v>1.094298</v>
      </c>
      <c r="G248" s="291">
        <v>0.99956999999999996</v>
      </c>
      <c r="H248" s="287">
        <v>0.18609999999999999</v>
      </c>
      <c r="I248" s="288">
        <v>6</v>
      </c>
      <c r="J248" s="287">
        <v>7.9000000000000001E-2</v>
      </c>
    </row>
    <row r="249" spans="1:10">
      <c r="A249" s="264">
        <v>77</v>
      </c>
      <c r="B249" s="285" t="s">
        <v>188</v>
      </c>
      <c r="C249" s="294">
        <v>3.4556939999999998</v>
      </c>
      <c r="D249" s="294">
        <v>-0.2853175</v>
      </c>
      <c r="E249" s="294">
        <v>-0.73417069999999995</v>
      </c>
      <c r="F249" s="294">
        <v>1.091024</v>
      </c>
      <c r="G249" s="291">
        <v>0.99956999999999996</v>
      </c>
      <c r="H249" s="287">
        <v>0.186</v>
      </c>
      <c r="I249" s="288">
        <v>6</v>
      </c>
      <c r="J249" s="287">
        <v>7.8899999999999998E-2</v>
      </c>
    </row>
    <row r="250" spans="1:10">
      <c r="A250" s="264">
        <v>78</v>
      </c>
      <c r="B250" s="285" t="s">
        <v>382</v>
      </c>
      <c r="C250" s="294">
        <v>3.3549950000000002</v>
      </c>
      <c r="D250" s="294">
        <v>-0.19205050000000001</v>
      </c>
      <c r="E250" s="294">
        <v>-0.9555437</v>
      </c>
      <c r="F250" s="294">
        <v>1.254373</v>
      </c>
      <c r="G250" s="291">
        <v>0.99963199999999997</v>
      </c>
      <c r="H250" s="287">
        <v>0.1835</v>
      </c>
      <c r="I250" s="288">
        <v>6</v>
      </c>
      <c r="J250" s="287">
        <v>7.4499999999999997E-2</v>
      </c>
    </row>
    <row r="251" spans="1:10">
      <c r="A251" s="264">
        <v>78</v>
      </c>
      <c r="B251" s="285" t="s">
        <v>383</v>
      </c>
      <c r="C251" s="294">
        <v>3.3562319999999999</v>
      </c>
      <c r="D251" s="294">
        <v>-0.19323560000000001</v>
      </c>
      <c r="E251" s="294">
        <v>-0.95247559999999998</v>
      </c>
      <c r="F251" s="294">
        <v>1.252038</v>
      </c>
      <c r="G251" s="291">
        <v>0.99963299999999999</v>
      </c>
      <c r="H251" s="287">
        <v>0.18340000000000001</v>
      </c>
      <c r="I251" s="288">
        <v>6</v>
      </c>
      <c r="J251" s="287">
        <v>7.4399999999999994E-2</v>
      </c>
    </row>
    <row r="252" spans="1:10">
      <c r="A252" s="264">
        <v>78</v>
      </c>
      <c r="B252" s="285" t="s">
        <v>189</v>
      </c>
      <c r="C252" s="294">
        <v>3.3575189999999999</v>
      </c>
      <c r="D252" s="294">
        <v>-0.19442580000000001</v>
      </c>
      <c r="E252" s="294">
        <v>-0.94941120000000001</v>
      </c>
      <c r="F252" s="294">
        <v>1.249681</v>
      </c>
      <c r="G252" s="291">
        <v>0.99963299999999999</v>
      </c>
      <c r="H252" s="287">
        <v>0.1832</v>
      </c>
      <c r="I252" s="288">
        <v>6</v>
      </c>
      <c r="J252" s="287">
        <v>7.4399999999999994E-2</v>
      </c>
    </row>
    <row r="253" spans="1:10">
      <c r="A253" s="264">
        <v>78</v>
      </c>
      <c r="B253" s="285" t="s">
        <v>190</v>
      </c>
      <c r="C253" s="294">
        <v>3.3593150000000001</v>
      </c>
      <c r="D253" s="294">
        <v>-0.19606589999999999</v>
      </c>
      <c r="E253" s="294">
        <v>-0.94519960000000003</v>
      </c>
      <c r="F253" s="294">
        <v>1.246432</v>
      </c>
      <c r="G253" s="291">
        <v>0.99963400000000002</v>
      </c>
      <c r="H253" s="287">
        <v>0.18310000000000001</v>
      </c>
      <c r="I253" s="288">
        <v>6</v>
      </c>
      <c r="J253" s="287">
        <v>7.4300000000000005E-2</v>
      </c>
    </row>
    <row r="254" spans="1:10">
      <c r="A254" s="264">
        <v>79</v>
      </c>
      <c r="B254" s="285" t="s">
        <v>191</v>
      </c>
      <c r="C254" s="294">
        <v>3.2694960000000002</v>
      </c>
      <c r="D254" s="294">
        <v>-0.1137426</v>
      </c>
      <c r="E254" s="294">
        <v>-1.1341509999999999</v>
      </c>
      <c r="F254" s="294">
        <v>1.380514</v>
      </c>
      <c r="G254" s="291">
        <v>0.999695</v>
      </c>
      <c r="H254" s="287">
        <v>0.17730000000000001</v>
      </c>
      <c r="I254" s="288">
        <v>6</v>
      </c>
      <c r="J254" s="287">
        <v>6.8699999999999997E-2</v>
      </c>
    </row>
    <row r="255" spans="1:10">
      <c r="A255" s="264">
        <v>79</v>
      </c>
      <c r="B255" s="285" t="s">
        <v>192</v>
      </c>
      <c r="C255" s="294">
        <v>3.2696170000000002</v>
      </c>
      <c r="D255" s="294">
        <v>-0.1138779</v>
      </c>
      <c r="E255" s="294">
        <v>-1.133796</v>
      </c>
      <c r="F255" s="294">
        <v>1.3802570000000001</v>
      </c>
      <c r="G255" s="291">
        <v>0.99969600000000003</v>
      </c>
      <c r="H255" s="287">
        <v>0.17730000000000001</v>
      </c>
      <c r="I255" s="288">
        <v>6</v>
      </c>
      <c r="J255" s="287">
        <v>6.8699999999999997E-2</v>
      </c>
    </row>
    <row r="256" spans="1:10">
      <c r="A256" s="264">
        <v>79</v>
      </c>
      <c r="B256" s="285" t="s">
        <v>193</v>
      </c>
      <c r="C256" s="294">
        <v>3.2700960000000001</v>
      </c>
      <c r="D256" s="294">
        <v>-0.114332</v>
      </c>
      <c r="E256" s="294">
        <v>-1.1326290000000001</v>
      </c>
      <c r="F256" s="294">
        <v>1.379375</v>
      </c>
      <c r="G256" s="291">
        <v>0.99969600000000003</v>
      </c>
      <c r="H256" s="287">
        <v>0.1772</v>
      </c>
      <c r="I256" s="288">
        <v>6</v>
      </c>
      <c r="J256" s="287">
        <v>6.8599999999999994E-2</v>
      </c>
    </row>
    <row r="257" spans="1:10">
      <c r="A257" s="264">
        <v>79</v>
      </c>
      <c r="B257" s="285" t="s">
        <v>384</v>
      </c>
      <c r="C257" s="294">
        <v>3.2723529999999998</v>
      </c>
      <c r="D257" s="294">
        <v>-0.1163824</v>
      </c>
      <c r="E257" s="294">
        <v>-1.1274059999999999</v>
      </c>
      <c r="F257" s="294">
        <v>1.3753839999999999</v>
      </c>
      <c r="G257" s="291">
        <v>0.99969699999999995</v>
      </c>
      <c r="H257" s="287">
        <v>0.17699999999999999</v>
      </c>
      <c r="I257" s="288">
        <v>6</v>
      </c>
      <c r="J257" s="287">
        <v>6.8500000000000005E-2</v>
      </c>
    </row>
    <row r="258" spans="1:10">
      <c r="A258" s="264">
        <v>80</v>
      </c>
      <c r="B258" s="285" t="s">
        <v>194</v>
      </c>
      <c r="C258" s="294">
        <v>3.197419</v>
      </c>
      <c r="D258" s="294">
        <v>-4.8435390000000002E-2</v>
      </c>
      <c r="E258" s="294">
        <v>-1.2754179999999999</v>
      </c>
      <c r="F258" s="294">
        <v>1.4738020000000001</v>
      </c>
      <c r="G258" s="291">
        <v>0.99975700000000001</v>
      </c>
      <c r="H258" s="287">
        <v>0.16750000000000001</v>
      </c>
      <c r="I258" s="288">
        <v>6</v>
      </c>
      <c r="J258" s="287">
        <v>6.1499999999999999E-2</v>
      </c>
    </row>
    <row r="259" spans="1:10">
      <c r="A259" s="264">
        <v>80</v>
      </c>
      <c r="B259" s="285" t="s">
        <v>195</v>
      </c>
      <c r="C259" s="294">
        <v>3.196761</v>
      </c>
      <c r="D259" s="294">
        <v>-4.7822339999999998E-2</v>
      </c>
      <c r="E259" s="294">
        <v>-1.2771030000000001</v>
      </c>
      <c r="F259" s="294">
        <v>1.47522</v>
      </c>
      <c r="G259" s="291">
        <v>0.99975599999999998</v>
      </c>
      <c r="H259" s="287">
        <v>0.16769999999999999</v>
      </c>
      <c r="I259" s="288">
        <v>6</v>
      </c>
      <c r="J259" s="287">
        <v>6.1600000000000002E-2</v>
      </c>
    </row>
    <row r="260" spans="1:10">
      <c r="A260" s="264">
        <v>81</v>
      </c>
      <c r="B260" s="285" t="s">
        <v>196</v>
      </c>
      <c r="C260" s="294">
        <v>3.1399979999999998</v>
      </c>
      <c r="D260" s="294">
        <v>3.1465220000000001E-3</v>
      </c>
      <c r="E260" s="294">
        <v>-1.3780269999999999</v>
      </c>
      <c r="F260" s="294">
        <v>1.533493</v>
      </c>
      <c r="G260" s="291">
        <v>0.99980999999999998</v>
      </c>
      <c r="H260" s="287">
        <v>0.1542</v>
      </c>
      <c r="I260" s="288">
        <v>6</v>
      </c>
      <c r="J260" s="287">
        <v>5.4899999999999997E-2</v>
      </c>
    </row>
    <row r="261" spans="1:10">
      <c r="A261" s="264">
        <v>81</v>
      </c>
      <c r="B261" s="285" t="s">
        <v>385</v>
      </c>
      <c r="C261" s="294">
        <v>3.1381350000000001</v>
      </c>
      <c r="D261" s="294">
        <v>4.8199260000000004E-3</v>
      </c>
      <c r="E261" s="294">
        <v>-1.3825719999999999</v>
      </c>
      <c r="F261" s="294">
        <v>1.537317</v>
      </c>
      <c r="G261" s="291">
        <v>0.99980800000000003</v>
      </c>
      <c r="H261" s="287">
        <v>0.15490000000000001</v>
      </c>
      <c r="I261" s="288">
        <v>6</v>
      </c>
      <c r="J261" s="287">
        <v>5.5199999999999999E-2</v>
      </c>
    </row>
    <row r="262" spans="1:10">
      <c r="A262" s="264">
        <v>82</v>
      </c>
      <c r="B262" s="285" t="s">
        <v>386</v>
      </c>
      <c r="C262" s="294">
        <v>3.0973280000000001</v>
      </c>
      <c r="D262" s="294">
        <v>4.117614E-2</v>
      </c>
      <c r="E262" s="294">
        <v>-1.443011</v>
      </c>
      <c r="F262" s="294">
        <v>1.5608629999999999</v>
      </c>
      <c r="G262" s="291">
        <v>0.99985199999999996</v>
      </c>
      <c r="H262" s="287">
        <v>0.13800000000000001</v>
      </c>
      <c r="I262" s="288">
        <v>6</v>
      </c>
      <c r="J262" s="287">
        <v>4.9500000000000002E-2</v>
      </c>
    </row>
    <row r="263" spans="1:10">
      <c r="A263" s="264">
        <v>82</v>
      </c>
      <c r="B263" s="285" t="s">
        <v>387</v>
      </c>
      <c r="C263" s="294">
        <v>3.094573</v>
      </c>
      <c r="D263" s="294">
        <v>4.3594849999999997E-2</v>
      </c>
      <c r="E263" s="294">
        <v>-1.449535</v>
      </c>
      <c r="F263" s="294">
        <v>1.566357</v>
      </c>
      <c r="G263" s="291">
        <v>0.99985000000000002</v>
      </c>
      <c r="H263" s="287">
        <v>0.1389</v>
      </c>
      <c r="I263" s="288">
        <v>6</v>
      </c>
      <c r="J263" s="287">
        <v>4.9700000000000001E-2</v>
      </c>
    </row>
    <row r="264" spans="1:10">
      <c r="A264" s="264">
        <v>83</v>
      </c>
      <c r="B264" s="285" t="s">
        <v>388</v>
      </c>
      <c r="C264" s="294">
        <v>3.0705960000000001</v>
      </c>
      <c r="D264" s="294">
        <v>6.483999E-2</v>
      </c>
      <c r="E264" s="294">
        <v>-1.468744</v>
      </c>
      <c r="F264" s="294">
        <v>1.5549729999999999</v>
      </c>
      <c r="G264" s="291">
        <v>0.99987899999999996</v>
      </c>
      <c r="H264" s="287">
        <v>0.1188</v>
      </c>
      <c r="I264" s="288">
        <v>6</v>
      </c>
      <c r="J264" s="287">
        <v>4.58E-2</v>
      </c>
    </row>
    <row r="265" spans="1:10">
      <c r="A265" s="264">
        <v>83</v>
      </c>
      <c r="B265" s="285" t="s">
        <v>389</v>
      </c>
      <c r="C265" s="294">
        <v>3.0667499999999999</v>
      </c>
      <c r="D265" s="294">
        <v>6.8159230000000001E-2</v>
      </c>
      <c r="E265" s="294">
        <v>-1.477638</v>
      </c>
      <c r="F265" s="294">
        <v>1.5624530000000001</v>
      </c>
      <c r="G265" s="291">
        <v>0.99987800000000004</v>
      </c>
      <c r="H265" s="287">
        <v>0.12</v>
      </c>
      <c r="I265" s="288">
        <v>6</v>
      </c>
      <c r="J265" s="287">
        <v>4.5999999999999999E-2</v>
      </c>
    </row>
    <row r="266" spans="1:10">
      <c r="A266" s="264">
        <v>84</v>
      </c>
      <c r="B266" s="285" t="s">
        <v>390</v>
      </c>
      <c r="C266" s="294">
        <v>3.0600209999999999</v>
      </c>
      <c r="D266" s="294">
        <v>7.4149629999999994E-2</v>
      </c>
      <c r="E266" s="294">
        <v>-1.455716</v>
      </c>
      <c r="F266" s="294">
        <v>1.5165770000000001</v>
      </c>
      <c r="G266" s="291">
        <v>0.99988900000000003</v>
      </c>
      <c r="H266" s="287">
        <v>0.1071</v>
      </c>
      <c r="I266" s="288">
        <v>2</v>
      </c>
      <c r="J266" s="287">
        <v>4.36E-2</v>
      </c>
    </row>
    <row r="267" spans="1:10">
      <c r="A267" s="264">
        <v>84</v>
      </c>
      <c r="B267" s="285" t="s">
        <v>391</v>
      </c>
      <c r="C267" s="294">
        <v>3.0601720000000001</v>
      </c>
      <c r="D267" s="294">
        <v>7.4058589999999994E-2</v>
      </c>
      <c r="E267" s="294">
        <v>-1.4555830000000001</v>
      </c>
      <c r="F267" s="294">
        <v>1.5165360000000001</v>
      </c>
      <c r="G267" s="291">
        <v>0.99988999999999995</v>
      </c>
      <c r="H267" s="287">
        <v>0.10639999999999999</v>
      </c>
      <c r="I267" s="288">
        <v>2</v>
      </c>
      <c r="J267" s="287">
        <v>4.3499999999999997E-2</v>
      </c>
    </row>
    <row r="268" spans="1:10">
      <c r="A268" s="264">
        <v>84</v>
      </c>
      <c r="B268" s="285" t="s">
        <v>392</v>
      </c>
      <c r="C268" s="294">
        <v>3.0550570000000001</v>
      </c>
      <c r="D268" s="294">
        <v>7.8415170000000006E-2</v>
      </c>
      <c r="E268" s="294">
        <v>-1.467185</v>
      </c>
      <c r="F268" s="294">
        <v>1.526267</v>
      </c>
      <c r="G268" s="291">
        <v>0.99988900000000003</v>
      </c>
      <c r="H268" s="287">
        <v>0.1045</v>
      </c>
      <c r="I268" s="288">
        <v>2</v>
      </c>
      <c r="J268" s="287">
        <v>4.36E-2</v>
      </c>
    </row>
    <row r="269" spans="1:10">
      <c r="A269" s="264">
        <v>85</v>
      </c>
      <c r="B269" s="285" t="s">
        <v>197</v>
      </c>
      <c r="C269" s="294">
        <v>3.0662699999999998</v>
      </c>
      <c r="D269" s="294">
        <v>6.8813120000000005E-2</v>
      </c>
      <c r="E269" s="294">
        <v>-1.4037930000000001</v>
      </c>
      <c r="F269" s="294">
        <v>1.446007</v>
      </c>
      <c r="G269" s="291">
        <v>0.99988100000000002</v>
      </c>
      <c r="H269" s="287">
        <v>0.14979999999999999</v>
      </c>
      <c r="I269" s="288">
        <v>2</v>
      </c>
      <c r="J269" s="287">
        <v>4.3200000000000002E-2</v>
      </c>
    </row>
    <row r="270" spans="1:10">
      <c r="A270" s="264">
        <v>85</v>
      </c>
      <c r="B270" s="285" t="s">
        <v>393</v>
      </c>
      <c r="C270" s="294">
        <v>3.0662590000000001</v>
      </c>
      <c r="D270" s="294">
        <v>6.8848380000000001E-2</v>
      </c>
      <c r="E270" s="294">
        <v>-1.4039649999999999</v>
      </c>
      <c r="F270" s="294">
        <v>1.446202</v>
      </c>
      <c r="G270" s="291">
        <v>0.99988100000000002</v>
      </c>
      <c r="H270" s="287">
        <v>0.14929999999999999</v>
      </c>
      <c r="I270" s="288">
        <v>2</v>
      </c>
      <c r="J270" s="287">
        <v>4.3099999999999999E-2</v>
      </c>
    </row>
    <row r="271" spans="1:10">
      <c r="A271" s="264">
        <v>85</v>
      </c>
      <c r="B271" s="285" t="s">
        <v>394</v>
      </c>
      <c r="C271" s="294">
        <v>3.0661269999999998</v>
      </c>
      <c r="D271" s="294">
        <v>6.9009399999999999E-2</v>
      </c>
      <c r="E271" s="294">
        <v>-1.4045570000000001</v>
      </c>
      <c r="F271" s="294">
        <v>1.4468129999999999</v>
      </c>
      <c r="G271" s="291">
        <v>0.99988200000000005</v>
      </c>
      <c r="H271" s="287">
        <v>0.14829999999999999</v>
      </c>
      <c r="I271" s="288">
        <v>2</v>
      </c>
      <c r="J271" s="287">
        <v>4.2999999999999997E-2</v>
      </c>
    </row>
    <row r="272" spans="1:10">
      <c r="A272" s="264">
        <v>85</v>
      </c>
      <c r="B272" s="285" t="s">
        <v>395</v>
      </c>
      <c r="C272" s="294">
        <v>3.0596030000000001</v>
      </c>
      <c r="D272" s="294">
        <v>7.4504600000000004E-2</v>
      </c>
      <c r="E272" s="294">
        <v>-1.4191020000000001</v>
      </c>
      <c r="F272" s="294">
        <v>1.4589719999999999</v>
      </c>
      <c r="G272" s="291">
        <v>0.99988299999999997</v>
      </c>
      <c r="H272" s="287">
        <v>0.14660000000000001</v>
      </c>
      <c r="I272" s="288">
        <v>2</v>
      </c>
      <c r="J272" s="287">
        <v>4.3099999999999999E-2</v>
      </c>
    </row>
    <row r="273" spans="1:10">
      <c r="A273" s="264">
        <v>85</v>
      </c>
      <c r="B273" s="285" t="s">
        <v>396</v>
      </c>
      <c r="C273" s="294">
        <v>3.066335</v>
      </c>
      <c r="D273" s="294">
        <v>6.8751019999999996E-2</v>
      </c>
      <c r="E273" s="294">
        <v>-1.403613</v>
      </c>
      <c r="F273" s="294">
        <v>1.4458519999999999</v>
      </c>
      <c r="G273" s="291">
        <v>0.99988100000000002</v>
      </c>
      <c r="H273" s="287">
        <v>0.14990000000000001</v>
      </c>
      <c r="I273" s="288">
        <v>2</v>
      </c>
      <c r="J273" s="287">
        <v>4.3200000000000002E-2</v>
      </c>
    </row>
    <row r="274" spans="1:10">
      <c r="A274" s="264">
        <v>87</v>
      </c>
      <c r="B274" s="285" t="s">
        <v>198</v>
      </c>
      <c r="C274" s="294">
        <v>3.1282369999999999</v>
      </c>
      <c r="D274" s="294">
        <v>1.59983E-2</v>
      </c>
      <c r="E274" s="294">
        <v>-1.1902649999999999</v>
      </c>
      <c r="F274" s="294">
        <v>1.2157830000000001</v>
      </c>
      <c r="G274" s="291">
        <v>0.99980800000000003</v>
      </c>
      <c r="H274" s="287">
        <v>0.2319</v>
      </c>
      <c r="I274" s="288">
        <v>2</v>
      </c>
      <c r="J274" s="287">
        <v>5.0700000000000002E-2</v>
      </c>
    </row>
    <row r="275" spans="1:10">
      <c r="A275" s="264">
        <v>88</v>
      </c>
      <c r="B275" s="285" t="s">
        <v>397</v>
      </c>
      <c r="C275" s="294">
        <v>3.1825230000000002</v>
      </c>
      <c r="D275" s="294">
        <v>-2.9824389999999999E-2</v>
      </c>
      <c r="E275" s="294">
        <v>-1.0340769999999999</v>
      </c>
      <c r="F275" s="294">
        <v>1.0613840000000001</v>
      </c>
      <c r="G275" s="291">
        <v>0.99974700000000005</v>
      </c>
      <c r="H275" s="287">
        <v>0.26960000000000001</v>
      </c>
      <c r="I275" s="288">
        <v>2</v>
      </c>
      <c r="J275" s="287">
        <v>5.91E-2</v>
      </c>
    </row>
    <row r="276" spans="1:10">
      <c r="A276" s="264">
        <v>89</v>
      </c>
      <c r="B276" s="285" t="s">
        <v>398</v>
      </c>
      <c r="C276" s="294">
        <v>3.2509519999999998</v>
      </c>
      <c r="D276" s="294">
        <v>-8.7147429999999998E-2</v>
      </c>
      <c r="E276" s="294">
        <v>-0.84937790000000002</v>
      </c>
      <c r="F276" s="294">
        <v>0.88493230000000001</v>
      </c>
      <c r="G276" s="291">
        <v>0.99967200000000001</v>
      </c>
      <c r="H276" s="287">
        <v>0.30399999999999999</v>
      </c>
      <c r="I276" s="288">
        <v>2</v>
      </c>
      <c r="J276" s="287">
        <v>6.9699999999999998E-2</v>
      </c>
    </row>
    <row r="277" spans="1:10">
      <c r="A277" s="264">
        <v>90</v>
      </c>
      <c r="B277" s="285" t="s">
        <v>399</v>
      </c>
      <c r="C277" s="294">
        <v>3.3303669999999999</v>
      </c>
      <c r="D277" s="294">
        <v>-0.15313109999999999</v>
      </c>
      <c r="E277" s="294">
        <v>-0.64454049999999996</v>
      </c>
      <c r="F277" s="294">
        <v>0.69412399999999996</v>
      </c>
      <c r="G277" s="291">
        <v>0.99959100000000001</v>
      </c>
      <c r="H277" s="287">
        <v>0.33379999999999999</v>
      </c>
      <c r="I277" s="288">
        <v>2</v>
      </c>
      <c r="J277" s="287">
        <v>8.0500000000000002E-2</v>
      </c>
    </row>
    <row r="278" spans="1:10">
      <c r="A278" s="264">
        <v>90</v>
      </c>
      <c r="B278" s="285" t="s">
        <v>199</v>
      </c>
      <c r="C278" s="294">
        <v>3.3308279999999999</v>
      </c>
      <c r="D278" s="294">
        <v>-0.15347350000000001</v>
      </c>
      <c r="E278" s="294">
        <v>-0.64378860000000004</v>
      </c>
      <c r="F278" s="294">
        <v>0.69361030000000001</v>
      </c>
      <c r="G278" s="291">
        <v>0.99959200000000004</v>
      </c>
      <c r="H278" s="287">
        <v>0.33360000000000001</v>
      </c>
      <c r="I278" s="288">
        <v>2</v>
      </c>
      <c r="J278" s="287">
        <v>8.0399999999999999E-2</v>
      </c>
    </row>
    <row r="279" spans="1:10">
      <c r="A279" s="264">
        <v>90</v>
      </c>
      <c r="B279" s="285" t="s">
        <v>200</v>
      </c>
      <c r="C279" s="294">
        <v>3.3321390000000002</v>
      </c>
      <c r="D279" s="294">
        <v>-0.15462290000000001</v>
      </c>
      <c r="E279" s="294">
        <v>-0.64013609999999999</v>
      </c>
      <c r="F279" s="294">
        <v>0.69001599999999996</v>
      </c>
      <c r="G279" s="291">
        <v>0.99958899999999995</v>
      </c>
      <c r="H279" s="287">
        <v>0.33450000000000002</v>
      </c>
      <c r="I279" s="288">
        <v>2</v>
      </c>
      <c r="J279" s="287">
        <v>8.0799999999999997E-2</v>
      </c>
    </row>
    <row r="280" spans="1:10">
      <c r="A280" s="264">
        <v>91</v>
      </c>
      <c r="B280" s="285" t="s">
        <v>400</v>
      </c>
      <c r="C280" s="294">
        <v>3.4212539999999998</v>
      </c>
      <c r="D280" s="294">
        <v>-0.22794320000000001</v>
      </c>
      <c r="E280" s="294">
        <v>-0.41936669999999998</v>
      </c>
      <c r="F280" s="294">
        <v>0.4888749</v>
      </c>
      <c r="G280" s="291">
        <v>0.99950700000000003</v>
      </c>
      <c r="H280" s="287">
        <v>0.35880000000000001</v>
      </c>
      <c r="I280" s="288">
        <v>2</v>
      </c>
      <c r="J280" s="287">
        <v>9.0700000000000003E-2</v>
      </c>
    </row>
    <row r="281" spans="1:10">
      <c r="A281" s="264">
        <v>91</v>
      </c>
      <c r="B281" s="285" t="s">
        <v>201</v>
      </c>
      <c r="C281" s="294">
        <v>3.4227940000000001</v>
      </c>
      <c r="D281" s="294">
        <v>-0.22927790000000001</v>
      </c>
      <c r="E281" s="294">
        <v>-0.41525980000000001</v>
      </c>
      <c r="F281" s="294">
        <v>0.4849369</v>
      </c>
      <c r="G281" s="291">
        <v>0.99950399999999995</v>
      </c>
      <c r="H281" s="287">
        <v>0.35949999999999999</v>
      </c>
      <c r="I281" s="288">
        <v>2</v>
      </c>
      <c r="J281" s="287">
        <v>9.11E-2</v>
      </c>
    </row>
    <row r="282" spans="1:10">
      <c r="A282" s="264">
        <v>91</v>
      </c>
      <c r="B282" s="285" t="s">
        <v>202</v>
      </c>
      <c r="C282" s="294">
        <v>3.4244949999999998</v>
      </c>
      <c r="D282" s="294">
        <v>-0.23075409999999999</v>
      </c>
      <c r="E282" s="294">
        <v>-0.41064230000000002</v>
      </c>
      <c r="F282" s="294">
        <v>0.48044989999999999</v>
      </c>
      <c r="G282" s="291">
        <v>0.99950099999999997</v>
      </c>
      <c r="H282" s="287">
        <v>0.36030000000000001</v>
      </c>
      <c r="I282" s="288">
        <v>2</v>
      </c>
      <c r="J282" s="287">
        <v>9.1499999999999998E-2</v>
      </c>
    </row>
    <row r="283" spans="1:10">
      <c r="A283" s="264">
        <v>92</v>
      </c>
      <c r="B283" s="285" t="s">
        <v>401</v>
      </c>
      <c r="C283" s="294">
        <v>3.520632</v>
      </c>
      <c r="D283" s="294">
        <v>-0.30908629999999998</v>
      </c>
      <c r="E283" s="294">
        <v>-0.18026490000000001</v>
      </c>
      <c r="F283" s="294">
        <v>0.27434049999999999</v>
      </c>
      <c r="G283" s="291">
        <v>0.99942299999999995</v>
      </c>
      <c r="H283" s="287">
        <v>0.3795</v>
      </c>
      <c r="I283" s="288">
        <v>2</v>
      </c>
      <c r="J283" s="287">
        <v>0.10100000000000001</v>
      </c>
    </row>
    <row r="284" spans="1:10">
      <c r="A284" s="264">
        <v>92</v>
      </c>
      <c r="B284" s="285" t="s">
        <v>203</v>
      </c>
      <c r="C284" s="294">
        <v>3.5223399999999998</v>
      </c>
      <c r="D284" s="294">
        <v>-0.31055480000000002</v>
      </c>
      <c r="E284" s="294">
        <v>-0.1758391</v>
      </c>
      <c r="F284" s="294">
        <v>0.2701711</v>
      </c>
      <c r="G284" s="291">
        <v>0.99941999999999998</v>
      </c>
      <c r="H284" s="287">
        <v>0.37990000000000002</v>
      </c>
      <c r="I284" s="288">
        <v>2</v>
      </c>
      <c r="J284" s="287">
        <v>0.1013</v>
      </c>
    </row>
    <row r="285" spans="1:10">
      <c r="A285" s="264">
        <v>92</v>
      </c>
      <c r="B285" s="285" t="s">
        <v>204</v>
      </c>
      <c r="C285" s="294">
        <v>3.5242140000000002</v>
      </c>
      <c r="D285" s="294">
        <v>-0.3121681</v>
      </c>
      <c r="E285" s="294">
        <v>-0.1709011</v>
      </c>
      <c r="F285" s="294">
        <v>0.26546029999999998</v>
      </c>
      <c r="G285" s="291">
        <v>0.999417</v>
      </c>
      <c r="H285" s="287">
        <v>0.38040000000000002</v>
      </c>
      <c r="I285" s="288">
        <v>2</v>
      </c>
      <c r="J285" s="287">
        <v>0.1017</v>
      </c>
    </row>
    <row r="286" spans="1:10">
      <c r="A286" s="264">
        <v>92</v>
      </c>
      <c r="B286" s="285" t="s">
        <v>205</v>
      </c>
      <c r="C286" s="294">
        <v>3.5261779999999998</v>
      </c>
      <c r="D286" s="294">
        <v>-0.31386229999999998</v>
      </c>
      <c r="E286" s="294">
        <v>-0.165633</v>
      </c>
      <c r="F286" s="294">
        <v>0.26037090000000002</v>
      </c>
      <c r="G286" s="291">
        <v>0.999413</v>
      </c>
      <c r="H286" s="287">
        <v>0.38090000000000002</v>
      </c>
      <c r="I286" s="288">
        <v>2</v>
      </c>
      <c r="J286" s="287">
        <v>0.1022</v>
      </c>
    </row>
    <row r="287" spans="1:10">
      <c r="A287" s="264">
        <v>93</v>
      </c>
      <c r="B287" s="285" t="s">
        <v>402</v>
      </c>
      <c r="C287" s="294">
        <v>3.6274139999999999</v>
      </c>
      <c r="D287" s="294">
        <v>-0.3954879</v>
      </c>
      <c r="E287" s="294">
        <v>6.9600449999999994E-2</v>
      </c>
      <c r="F287" s="294">
        <v>5.3393379999999997E-2</v>
      </c>
      <c r="G287" s="291">
        <v>0.99934400000000001</v>
      </c>
      <c r="H287" s="287">
        <v>0.3952</v>
      </c>
      <c r="I287" s="288">
        <v>2</v>
      </c>
      <c r="J287" s="287">
        <v>0.11020000000000001</v>
      </c>
    </row>
    <row r="288" spans="1:10">
      <c r="A288" s="264">
        <v>93</v>
      </c>
      <c r="B288" s="285" t="s">
        <v>206</v>
      </c>
      <c r="C288" s="294">
        <v>3.6292279999999999</v>
      </c>
      <c r="D288" s="294">
        <v>-0.39703660000000002</v>
      </c>
      <c r="E288" s="294">
        <v>7.4202950000000004E-2</v>
      </c>
      <c r="F288" s="294">
        <v>4.9111700000000001E-2</v>
      </c>
      <c r="G288" s="291">
        <v>0.99934100000000003</v>
      </c>
      <c r="H288" s="287">
        <v>0.39539999999999997</v>
      </c>
      <c r="I288" s="288">
        <v>2</v>
      </c>
      <c r="J288" s="287">
        <v>0.1105</v>
      </c>
    </row>
    <row r="289" spans="1:10">
      <c r="A289" s="264">
        <v>93</v>
      </c>
      <c r="B289" s="285" t="s">
        <v>207</v>
      </c>
      <c r="C289" s="294">
        <v>3.6311960000000001</v>
      </c>
      <c r="D289" s="294">
        <v>-0.3987213</v>
      </c>
      <c r="E289" s="294">
        <v>7.9287419999999997E-2</v>
      </c>
      <c r="F289" s="294">
        <v>4.4322340000000002E-2</v>
      </c>
      <c r="G289" s="291">
        <v>0.99933799999999995</v>
      </c>
      <c r="H289" s="287">
        <v>0.39560000000000001</v>
      </c>
      <c r="I289" s="288">
        <v>2</v>
      </c>
      <c r="J289" s="287">
        <v>0.1108</v>
      </c>
    </row>
    <row r="290" spans="1:10">
      <c r="A290" s="264">
        <v>93</v>
      </c>
      <c r="B290" s="285" t="s">
        <v>208</v>
      </c>
      <c r="C290" s="294">
        <v>3.6332409999999999</v>
      </c>
      <c r="D290" s="294">
        <v>-0.40047670000000002</v>
      </c>
      <c r="E290" s="294">
        <v>8.4671949999999996E-2</v>
      </c>
      <c r="F290" s="294">
        <v>3.9184950000000003E-2</v>
      </c>
      <c r="G290" s="291">
        <v>0.99933499999999997</v>
      </c>
      <c r="H290" s="287">
        <v>0.3957</v>
      </c>
      <c r="I290" s="288">
        <v>2</v>
      </c>
      <c r="J290" s="287">
        <v>0.11119999999999999</v>
      </c>
    </row>
    <row r="291" spans="1:10">
      <c r="A291" s="264">
        <v>93</v>
      </c>
      <c r="B291" s="285" t="s">
        <v>209</v>
      </c>
      <c r="C291" s="294">
        <v>3.6353049999999998</v>
      </c>
      <c r="D291" s="294">
        <v>-0.40225240000000001</v>
      </c>
      <c r="E291" s="294">
        <v>9.0217839999999994E-2</v>
      </c>
      <c r="F291" s="294">
        <v>3.3819689999999999E-2</v>
      </c>
      <c r="G291" s="291">
        <v>0.999332</v>
      </c>
      <c r="H291" s="287">
        <v>0.39579999999999999</v>
      </c>
      <c r="I291" s="288">
        <v>2</v>
      </c>
      <c r="J291" s="287">
        <v>0.1115</v>
      </c>
    </row>
    <row r="292" spans="1:10">
      <c r="A292" s="264">
        <v>94</v>
      </c>
      <c r="B292" s="285" t="s">
        <v>403</v>
      </c>
      <c r="C292" s="294">
        <v>3.7399339999999999</v>
      </c>
      <c r="D292" s="294">
        <v>-0.48566480000000001</v>
      </c>
      <c r="E292" s="294">
        <v>0.32614199999999999</v>
      </c>
      <c r="F292" s="294">
        <v>-0.17048459999999999</v>
      </c>
      <c r="G292" s="291">
        <v>0.99927299999999997</v>
      </c>
      <c r="H292" s="287">
        <v>0.40589999999999998</v>
      </c>
      <c r="I292" s="288">
        <v>2</v>
      </c>
      <c r="J292" s="287">
        <v>0.11840000000000001</v>
      </c>
    </row>
    <row r="293" spans="1:10">
      <c r="A293" s="264">
        <v>94</v>
      </c>
      <c r="B293" s="285" t="s">
        <v>210</v>
      </c>
      <c r="C293" s="294">
        <v>3.7417899999999999</v>
      </c>
      <c r="D293" s="294">
        <v>-0.4872398</v>
      </c>
      <c r="E293" s="294">
        <v>0.33077899999999999</v>
      </c>
      <c r="F293" s="294">
        <v>-0.17475950000000001</v>
      </c>
      <c r="G293" s="291">
        <v>0.99926999999999999</v>
      </c>
      <c r="H293" s="287">
        <v>0.40579999999999999</v>
      </c>
      <c r="I293" s="288">
        <v>2</v>
      </c>
      <c r="J293" s="287">
        <v>0.1187</v>
      </c>
    </row>
    <row r="294" spans="1:10">
      <c r="A294" s="264">
        <v>94</v>
      </c>
      <c r="B294" s="285" t="s">
        <v>211</v>
      </c>
      <c r="C294" s="294">
        <v>3.7437770000000001</v>
      </c>
      <c r="D294" s="294">
        <v>-0.48893229999999999</v>
      </c>
      <c r="E294" s="294">
        <v>0.33584269999999999</v>
      </c>
      <c r="F294" s="294">
        <v>-0.17948819999999999</v>
      </c>
      <c r="G294" s="291">
        <v>0.99926800000000005</v>
      </c>
      <c r="H294" s="287">
        <v>0.40570000000000001</v>
      </c>
      <c r="I294" s="288">
        <v>2</v>
      </c>
      <c r="J294" s="287">
        <v>0.11899999999999999</v>
      </c>
    </row>
    <row r="295" spans="1:10">
      <c r="A295" s="264">
        <v>94</v>
      </c>
      <c r="B295" s="285" t="s">
        <v>212</v>
      </c>
      <c r="C295" s="294">
        <v>3.7458179999999999</v>
      </c>
      <c r="D295" s="294">
        <v>-0.49067709999999998</v>
      </c>
      <c r="E295" s="294">
        <v>0.34115430000000002</v>
      </c>
      <c r="F295" s="294">
        <v>-0.18451600000000001</v>
      </c>
      <c r="G295" s="291">
        <v>0.99926599999999999</v>
      </c>
      <c r="H295" s="287">
        <v>0.40550000000000003</v>
      </c>
      <c r="I295" s="288">
        <v>2</v>
      </c>
      <c r="J295" s="287">
        <v>0.1192</v>
      </c>
    </row>
    <row r="296" spans="1:10">
      <c r="A296" s="264">
        <v>94</v>
      </c>
      <c r="B296" s="285" t="s">
        <v>213</v>
      </c>
      <c r="C296" s="294">
        <v>3.7478500000000001</v>
      </c>
      <c r="D296" s="294">
        <v>-0.49242180000000002</v>
      </c>
      <c r="E296" s="294">
        <v>0.3465723</v>
      </c>
      <c r="F296" s="294">
        <v>-0.189722</v>
      </c>
      <c r="G296" s="291">
        <v>0.99926400000000004</v>
      </c>
      <c r="H296" s="287">
        <v>0.40510000000000002</v>
      </c>
      <c r="I296" s="288">
        <v>2</v>
      </c>
      <c r="J296" s="287">
        <v>0.1195</v>
      </c>
    </row>
    <row r="297" spans="1:10">
      <c r="A297" s="264">
        <v>95</v>
      </c>
      <c r="B297" s="285" t="s">
        <v>404</v>
      </c>
      <c r="C297" s="294">
        <v>3.8549829999999998</v>
      </c>
      <c r="D297" s="294">
        <v>-0.57684919999999995</v>
      </c>
      <c r="E297" s="294">
        <v>0.58164309999999997</v>
      </c>
      <c r="F297" s="294">
        <v>-0.39054270000000002</v>
      </c>
      <c r="G297" s="291">
        <v>0.99921499999999996</v>
      </c>
      <c r="H297" s="287">
        <v>0.41170000000000001</v>
      </c>
      <c r="I297" s="288">
        <v>2</v>
      </c>
      <c r="J297" s="287">
        <v>0.12529999999999999</v>
      </c>
    </row>
    <row r="298" spans="1:10">
      <c r="A298" s="264">
        <v>95</v>
      </c>
      <c r="B298" s="285" t="s">
        <v>214</v>
      </c>
      <c r="C298" s="294">
        <v>3.856608</v>
      </c>
      <c r="D298" s="294">
        <v>-0.57821579999999995</v>
      </c>
      <c r="E298" s="294">
        <v>0.58557579999999998</v>
      </c>
      <c r="F298" s="294">
        <v>-0.39409630000000001</v>
      </c>
      <c r="G298" s="291">
        <v>0.99921300000000002</v>
      </c>
      <c r="H298" s="287">
        <v>0.41139999999999999</v>
      </c>
      <c r="I298" s="288">
        <v>2</v>
      </c>
      <c r="J298" s="287">
        <v>0.1255</v>
      </c>
    </row>
    <row r="299" spans="1:10">
      <c r="A299" s="264">
        <v>95</v>
      </c>
      <c r="B299" s="285" t="s">
        <v>215</v>
      </c>
      <c r="C299" s="294">
        <v>3.8584420000000001</v>
      </c>
      <c r="D299" s="294">
        <v>-0.57976450000000002</v>
      </c>
      <c r="E299" s="294">
        <v>0.59010890000000005</v>
      </c>
      <c r="F299" s="294">
        <v>-0.39824900000000002</v>
      </c>
      <c r="G299" s="291">
        <v>0.99921199999999999</v>
      </c>
      <c r="H299" s="287">
        <v>0.41110000000000002</v>
      </c>
      <c r="I299" s="288">
        <v>2</v>
      </c>
      <c r="J299" s="287">
        <v>0.12559999999999999</v>
      </c>
    </row>
    <row r="300" spans="1:10">
      <c r="A300" s="264">
        <v>95</v>
      </c>
      <c r="B300" s="285" t="s">
        <v>216</v>
      </c>
      <c r="C300" s="294">
        <v>3.860376</v>
      </c>
      <c r="D300" s="294">
        <v>-0.58140440000000004</v>
      </c>
      <c r="E300" s="294">
        <v>0.5949932</v>
      </c>
      <c r="F300" s="294">
        <v>-0.40278530000000001</v>
      </c>
      <c r="G300" s="291">
        <v>0.99921099999999996</v>
      </c>
      <c r="H300" s="287">
        <v>0.41060000000000002</v>
      </c>
      <c r="I300" s="288">
        <v>2</v>
      </c>
      <c r="J300" s="287">
        <v>0.1258</v>
      </c>
    </row>
    <row r="301" spans="1:10">
      <c r="A301" s="264">
        <v>95</v>
      </c>
      <c r="B301" s="285" t="s">
        <v>217</v>
      </c>
      <c r="C301" s="294">
        <v>3.8623310000000002</v>
      </c>
      <c r="D301" s="294">
        <v>-0.58307129999999996</v>
      </c>
      <c r="E301" s="294">
        <v>0.60005580000000003</v>
      </c>
      <c r="F301" s="294">
        <v>-0.40755760000000002</v>
      </c>
      <c r="G301" s="291">
        <v>0.99920900000000001</v>
      </c>
      <c r="H301" s="287">
        <v>0.41</v>
      </c>
      <c r="I301" s="288">
        <v>2</v>
      </c>
      <c r="J301" s="287">
        <v>0.126</v>
      </c>
    </row>
    <row r="302" spans="1:10">
      <c r="A302" s="264">
        <v>96</v>
      </c>
      <c r="B302" s="285" t="s">
        <v>405</v>
      </c>
      <c r="C302" s="294">
        <v>3.9758499999999999</v>
      </c>
      <c r="D302" s="294">
        <v>-0.67176170000000002</v>
      </c>
      <c r="E302" s="294">
        <v>0.84421670000000004</v>
      </c>
      <c r="F302" s="294">
        <v>-0.61436710000000005</v>
      </c>
      <c r="G302" s="291">
        <v>0.99916899999999997</v>
      </c>
      <c r="H302" s="287">
        <v>0.41170000000000001</v>
      </c>
      <c r="I302" s="288">
        <v>2</v>
      </c>
      <c r="J302" s="287">
        <v>0.13100000000000001</v>
      </c>
    </row>
    <row r="303" spans="1:10">
      <c r="A303" s="264">
        <v>96</v>
      </c>
      <c r="B303" s="285" t="s">
        <v>218</v>
      </c>
      <c r="C303" s="294">
        <v>3.9776030000000002</v>
      </c>
      <c r="D303" s="294">
        <v>-0.67323409999999995</v>
      </c>
      <c r="E303" s="294">
        <v>0.8485144</v>
      </c>
      <c r="F303" s="294">
        <v>-0.61828810000000001</v>
      </c>
      <c r="G303" s="291">
        <v>0.99916799999999995</v>
      </c>
      <c r="H303" s="287">
        <v>0.41110000000000002</v>
      </c>
      <c r="I303" s="288">
        <v>2</v>
      </c>
      <c r="J303" s="287">
        <v>0.13109999999999999</v>
      </c>
    </row>
    <row r="304" spans="1:10">
      <c r="A304" s="264">
        <v>97</v>
      </c>
      <c r="B304" s="285" t="s">
        <v>406</v>
      </c>
      <c r="C304" s="294">
        <v>4.096114</v>
      </c>
      <c r="D304" s="294">
        <v>-0.76497899999999996</v>
      </c>
      <c r="E304" s="294">
        <v>1.0985689999999999</v>
      </c>
      <c r="F304" s="294">
        <v>-0.82842150000000003</v>
      </c>
      <c r="G304" s="291">
        <v>0.99914099999999995</v>
      </c>
      <c r="H304" s="287">
        <v>0.40679999999999999</v>
      </c>
      <c r="I304" s="288">
        <v>2</v>
      </c>
      <c r="J304" s="287">
        <v>0.13519999999999999</v>
      </c>
    </row>
    <row r="305" spans="1:10">
      <c r="A305" s="264">
        <v>97</v>
      </c>
      <c r="B305" s="285" t="s">
        <v>219</v>
      </c>
      <c r="C305" s="294">
        <v>4.097728</v>
      </c>
      <c r="D305" s="294">
        <v>-0.76632869999999997</v>
      </c>
      <c r="E305" s="294">
        <v>1.102511</v>
      </c>
      <c r="F305" s="294">
        <v>-0.83201179999999997</v>
      </c>
      <c r="G305" s="291">
        <v>0.99914099999999995</v>
      </c>
      <c r="H305" s="287">
        <v>0.40600000000000003</v>
      </c>
      <c r="I305" s="288">
        <v>2</v>
      </c>
      <c r="J305" s="287">
        <v>0.13519999999999999</v>
      </c>
    </row>
    <row r="306" spans="1:10">
      <c r="A306" s="264">
        <v>98</v>
      </c>
      <c r="B306" s="285" t="s">
        <v>407</v>
      </c>
      <c r="C306" s="294">
        <v>4.2145640000000002</v>
      </c>
      <c r="D306" s="294">
        <v>-0.85549969999999997</v>
      </c>
      <c r="E306" s="294">
        <v>1.3421799999999999</v>
      </c>
      <c r="F306" s="294">
        <v>-1.0307569999999999</v>
      </c>
      <c r="G306" s="291">
        <v>0.99912999999999996</v>
      </c>
      <c r="H306" s="287">
        <v>0.39779999999999999</v>
      </c>
      <c r="I306" s="288">
        <v>2</v>
      </c>
      <c r="J306" s="287">
        <v>0.1384</v>
      </c>
    </row>
    <row r="307" spans="1:10">
      <c r="A307" s="264">
        <v>98</v>
      </c>
      <c r="B307" s="285" t="s">
        <v>220</v>
      </c>
      <c r="C307" s="294">
        <v>4.2159339999999998</v>
      </c>
      <c r="D307" s="294">
        <v>-0.8566319</v>
      </c>
      <c r="E307" s="294">
        <v>1.3454189999999999</v>
      </c>
      <c r="F307" s="294">
        <v>-1.0336540000000001</v>
      </c>
      <c r="G307" s="291">
        <v>0.99912999999999996</v>
      </c>
      <c r="H307" s="287">
        <v>0.39689999999999998</v>
      </c>
      <c r="I307" s="288">
        <v>2</v>
      </c>
      <c r="J307" s="287">
        <v>0.1384</v>
      </c>
    </row>
    <row r="308" spans="1:10">
      <c r="A308" s="264">
        <v>98</v>
      </c>
      <c r="B308" s="285" t="s">
        <v>221</v>
      </c>
      <c r="C308" s="294">
        <v>4.2173600000000002</v>
      </c>
      <c r="D308" s="294">
        <v>-0.85781790000000002</v>
      </c>
      <c r="E308" s="294">
        <v>1.3489</v>
      </c>
      <c r="F308" s="294">
        <v>-1.0368269999999999</v>
      </c>
      <c r="G308" s="291">
        <v>0.99913099999999999</v>
      </c>
      <c r="H308" s="287">
        <v>0.39579999999999999</v>
      </c>
      <c r="I308" s="288">
        <v>2</v>
      </c>
      <c r="J308" s="287">
        <v>0.1384</v>
      </c>
    </row>
    <row r="309" spans="1:10">
      <c r="A309" s="264">
        <v>99</v>
      </c>
      <c r="B309" s="285" t="s">
        <v>408</v>
      </c>
      <c r="C309" s="294">
        <v>4.3327429999999998</v>
      </c>
      <c r="D309" s="294">
        <v>-0.94459510000000002</v>
      </c>
      <c r="E309" s="294">
        <v>1.579026</v>
      </c>
      <c r="F309" s="294">
        <v>-1.2252069999999999</v>
      </c>
      <c r="G309" s="291">
        <v>0.99913600000000002</v>
      </c>
      <c r="H309" s="287">
        <v>0.38319999999999999</v>
      </c>
      <c r="I309" s="288">
        <v>2</v>
      </c>
      <c r="J309" s="287">
        <v>0.1404</v>
      </c>
    </row>
    <row r="310" spans="1:10">
      <c r="A310" s="264">
        <v>99</v>
      </c>
      <c r="B310" s="285" t="s">
        <v>222</v>
      </c>
      <c r="C310" s="294">
        <v>4.333939</v>
      </c>
      <c r="D310" s="294">
        <v>-0.94557590000000002</v>
      </c>
      <c r="E310" s="294">
        <v>1.581844</v>
      </c>
      <c r="F310" s="294">
        <v>-1.2277279999999999</v>
      </c>
      <c r="G310" s="291">
        <v>0.99913799999999997</v>
      </c>
      <c r="H310" s="287">
        <v>0.3821</v>
      </c>
      <c r="I310" s="288">
        <v>2</v>
      </c>
      <c r="J310" s="287">
        <v>0.1404</v>
      </c>
    </row>
    <row r="311" spans="1:10">
      <c r="A311" s="264">
        <v>100</v>
      </c>
      <c r="B311" s="285" t="s">
        <v>409</v>
      </c>
      <c r="C311" s="294">
        <v>4.44787</v>
      </c>
      <c r="D311" s="294">
        <v>-1.0299689999999999</v>
      </c>
      <c r="E311" s="294">
        <v>1.8029010000000001</v>
      </c>
      <c r="F311" s="294">
        <v>-1.4065080000000001</v>
      </c>
      <c r="G311" s="291">
        <v>0.99916000000000005</v>
      </c>
      <c r="H311" s="287">
        <v>0.36399999999999999</v>
      </c>
      <c r="I311" s="288">
        <v>2</v>
      </c>
      <c r="J311" s="287">
        <v>0.14080000000000001</v>
      </c>
    </row>
    <row r="312" spans="1:10">
      <c r="A312" s="264">
        <v>100</v>
      </c>
      <c r="B312" s="285" t="s">
        <v>223</v>
      </c>
      <c r="C312" s="294">
        <v>4.4488560000000001</v>
      </c>
      <c r="D312" s="294">
        <v>-1.03077</v>
      </c>
      <c r="E312" s="294">
        <v>1.8052239999999999</v>
      </c>
      <c r="F312" s="294">
        <v>-1.408595</v>
      </c>
      <c r="G312" s="291">
        <v>0.99916199999999999</v>
      </c>
      <c r="H312" s="287">
        <v>0.36280000000000001</v>
      </c>
      <c r="I312" s="288">
        <v>2</v>
      </c>
      <c r="J312" s="287">
        <v>0.14069999999999999</v>
      </c>
    </row>
    <row r="313" spans="1:10">
      <c r="A313" s="264">
        <v>101</v>
      </c>
      <c r="B313" s="285" t="s">
        <v>410</v>
      </c>
      <c r="C313" s="294">
        <v>4.5587799999999996</v>
      </c>
      <c r="D313" s="294">
        <v>-1.1106819999999999</v>
      </c>
      <c r="E313" s="294">
        <v>2.0114899999999998</v>
      </c>
      <c r="F313" s="294">
        <v>-1.5728869999999999</v>
      </c>
      <c r="G313" s="291">
        <v>0.99919899999999995</v>
      </c>
      <c r="H313" s="287">
        <v>0.34050000000000002</v>
      </c>
      <c r="I313" s="288">
        <v>2</v>
      </c>
      <c r="J313" s="287">
        <v>0.13950000000000001</v>
      </c>
    </row>
    <row r="314" spans="1:10">
      <c r="A314" s="264">
        <v>101</v>
      </c>
      <c r="B314" s="285" t="s">
        <v>224</v>
      </c>
      <c r="C314" s="294">
        <v>4.559526</v>
      </c>
      <c r="D314" s="294">
        <v>-1.11128</v>
      </c>
      <c r="E314" s="294">
        <v>2.013261</v>
      </c>
      <c r="F314" s="294">
        <v>-1.5744929999999999</v>
      </c>
      <c r="G314" s="291">
        <v>0.99920100000000001</v>
      </c>
      <c r="H314" s="287">
        <v>0.33910000000000001</v>
      </c>
      <c r="I314" s="288">
        <v>2</v>
      </c>
      <c r="J314" s="287">
        <v>0.1394</v>
      </c>
    </row>
    <row r="315" spans="1:10">
      <c r="A315" s="264">
        <v>102</v>
      </c>
      <c r="B315" s="285" t="s">
        <v>411</v>
      </c>
      <c r="C315" s="294">
        <v>4.6644310000000004</v>
      </c>
      <c r="D315" s="294">
        <v>-1.1859150000000001</v>
      </c>
      <c r="E315" s="294">
        <v>2.2028270000000001</v>
      </c>
      <c r="F315" s="294">
        <v>-1.722882</v>
      </c>
      <c r="G315" s="291">
        <v>0.999251</v>
      </c>
      <c r="H315" s="287">
        <v>0.31309999999999999</v>
      </c>
      <c r="I315" s="288">
        <v>2</v>
      </c>
      <c r="J315" s="287">
        <v>0.13669999999999999</v>
      </c>
    </row>
    <row r="316" spans="1:10">
      <c r="A316" s="264">
        <v>102</v>
      </c>
      <c r="B316" s="285" t="s">
        <v>225</v>
      </c>
      <c r="C316" s="294">
        <v>4.6649139999999996</v>
      </c>
      <c r="D316" s="294">
        <v>-1.1862919999999999</v>
      </c>
      <c r="E316" s="294">
        <v>2.2040030000000002</v>
      </c>
      <c r="F316" s="294">
        <v>-1.7239739999999999</v>
      </c>
      <c r="G316" s="291">
        <v>0.99925399999999998</v>
      </c>
      <c r="H316" s="287">
        <v>0.31159999999999999</v>
      </c>
      <c r="I316" s="288">
        <v>2</v>
      </c>
      <c r="J316" s="287">
        <v>0.13650000000000001</v>
      </c>
    </row>
    <row r="317" spans="1:10">
      <c r="A317" s="264">
        <v>103</v>
      </c>
      <c r="B317" s="285" t="s">
        <v>412</v>
      </c>
      <c r="C317" s="294">
        <v>4.7641210000000003</v>
      </c>
      <c r="D317" s="294">
        <v>-1.255115</v>
      </c>
      <c r="E317" s="294">
        <v>2.3758430000000001</v>
      </c>
      <c r="F317" s="294">
        <v>-1.8558950000000001</v>
      </c>
      <c r="G317" s="291">
        <v>0.99931599999999998</v>
      </c>
      <c r="H317" s="287">
        <v>0.30780000000000002</v>
      </c>
      <c r="I317" s="288">
        <v>6</v>
      </c>
      <c r="J317" s="287">
        <v>0.13239999999999999</v>
      </c>
    </row>
    <row r="318" spans="1:10">
      <c r="A318" s="264">
        <v>104</v>
      </c>
      <c r="B318" s="285" t="s">
        <v>413</v>
      </c>
      <c r="C318" s="294">
        <v>4.8560230000000004</v>
      </c>
      <c r="D318" s="294">
        <v>-1.316872</v>
      </c>
      <c r="E318" s="294">
        <v>2.526964</v>
      </c>
      <c r="F318" s="294">
        <v>-1.96909</v>
      </c>
      <c r="G318" s="291">
        <v>0.99938899999999997</v>
      </c>
      <c r="H318" s="287">
        <v>0.30580000000000002</v>
      </c>
      <c r="I318" s="288">
        <v>6</v>
      </c>
      <c r="J318" s="287">
        <v>0.12759999999999999</v>
      </c>
    </row>
    <row r="319" spans="1:10">
      <c r="A319" s="264">
        <v>105</v>
      </c>
      <c r="B319" s="285" t="s">
        <v>414</v>
      </c>
      <c r="C319" s="294">
        <v>4.939317</v>
      </c>
      <c r="D319" s="294">
        <v>-1.3705970000000001</v>
      </c>
      <c r="E319" s="294">
        <v>2.6549119999999999</v>
      </c>
      <c r="F319" s="294">
        <v>-2.0616300000000001</v>
      </c>
      <c r="G319" s="291">
        <v>0.99946699999999999</v>
      </c>
      <c r="H319" s="287">
        <v>0.30030000000000001</v>
      </c>
      <c r="I319" s="288">
        <v>6</v>
      </c>
      <c r="J319" s="287">
        <v>0.12130000000000001</v>
      </c>
    </row>
    <row r="320" spans="1:10">
      <c r="A320" s="264">
        <v>106</v>
      </c>
      <c r="B320" s="285" t="s">
        <v>415</v>
      </c>
      <c r="C320" s="294">
        <v>5.0133939999999999</v>
      </c>
      <c r="D320" s="294">
        <v>-1.4158820000000001</v>
      </c>
      <c r="E320" s="294">
        <v>2.7589039999999998</v>
      </c>
      <c r="F320" s="294">
        <v>-2.1331030000000002</v>
      </c>
      <c r="G320" s="291">
        <v>0.99954399999999999</v>
      </c>
      <c r="H320" s="287">
        <v>0.29139999999999999</v>
      </c>
      <c r="I320" s="288">
        <v>6</v>
      </c>
      <c r="J320" s="287">
        <v>0.1134</v>
      </c>
    </row>
    <row r="321" spans="1:10">
      <c r="A321" s="264">
        <v>107</v>
      </c>
      <c r="B321" s="285" t="s">
        <v>416</v>
      </c>
      <c r="C321" s="294">
        <v>5.0778610000000004</v>
      </c>
      <c r="D321" s="294">
        <v>-1.452507</v>
      </c>
      <c r="E321" s="294">
        <v>2.8386559999999998</v>
      </c>
      <c r="F321" s="294">
        <v>-2.1835170000000002</v>
      </c>
      <c r="G321" s="291">
        <v>0.99961900000000004</v>
      </c>
      <c r="H321" s="287">
        <v>0.2792</v>
      </c>
      <c r="I321" s="288">
        <v>6</v>
      </c>
      <c r="J321" s="287">
        <v>0.1045</v>
      </c>
    </row>
    <row r="322" spans="1:10">
      <c r="A322" s="264">
        <v>108</v>
      </c>
      <c r="B322" s="285" t="s">
        <v>417</v>
      </c>
      <c r="C322" s="294">
        <v>5.1324899999999998</v>
      </c>
      <c r="D322" s="294">
        <v>-1.4803900000000001</v>
      </c>
      <c r="E322" s="294">
        <v>2.894253</v>
      </c>
      <c r="F322" s="294">
        <v>-2.2131859999999999</v>
      </c>
      <c r="G322" s="291">
        <v>0.99968800000000002</v>
      </c>
      <c r="H322" s="287">
        <v>0.26379999999999998</v>
      </c>
      <c r="I322" s="288">
        <v>6</v>
      </c>
      <c r="J322" s="287">
        <v>9.5699999999999993E-2</v>
      </c>
    </row>
    <row r="323" spans="1:10">
      <c r="A323" s="264">
        <v>112</v>
      </c>
      <c r="B323" s="285" t="s">
        <v>418</v>
      </c>
      <c r="C323" s="294">
        <v>5.2664289999999996</v>
      </c>
      <c r="D323" s="294">
        <v>-1.517571</v>
      </c>
      <c r="E323" s="294">
        <v>2.9142320000000002</v>
      </c>
      <c r="F323" s="294">
        <v>-2.1604350000000001</v>
      </c>
      <c r="G323" s="291">
        <v>0.99985599999999997</v>
      </c>
      <c r="H323" s="287">
        <v>0.1772</v>
      </c>
      <c r="I323" s="288">
        <v>6</v>
      </c>
      <c r="J323" s="287">
        <v>6.9699999999999998E-2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942A-E3D1-44BE-9CC4-56C614C277CA}">
  <dimension ref="A1:L323"/>
  <sheetViews>
    <sheetView workbookViewId="0">
      <selection activeCell="A3" sqref="A3"/>
    </sheetView>
  </sheetViews>
  <sheetFormatPr defaultRowHeight="15"/>
  <cols>
    <col min="1" max="1" width="9.140625" style="264"/>
    <col min="2" max="2" width="9.5703125" style="285" customWidth="1"/>
    <col min="3" max="3" width="11.7109375" style="285" customWidth="1"/>
    <col min="4" max="4" width="13.140625" style="285" customWidth="1"/>
    <col min="5" max="6" width="13.5703125" style="285" customWidth="1"/>
    <col min="7" max="7" width="14.5703125" style="285" customWidth="1"/>
    <col min="8" max="8" width="13.28515625" style="285" customWidth="1"/>
    <col min="9" max="9" width="12.140625" style="285" customWidth="1"/>
    <col min="10" max="10" width="7.28515625" style="285" customWidth="1"/>
    <col min="11" max="11" width="11.28515625" style="285" customWidth="1"/>
  </cols>
  <sheetData>
    <row r="1" spans="1:12">
      <c r="A1" s="281" t="s">
        <v>503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</row>
    <row r="2" spans="1:12">
      <c r="A2" s="265"/>
      <c r="B2" s="266" t="s">
        <v>502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</row>
    <row r="4" spans="1:12">
      <c r="A4" s="82" t="s">
        <v>0</v>
      </c>
      <c r="B4" s="289" t="s">
        <v>499</v>
      </c>
      <c r="C4" s="82" t="s">
        <v>495</v>
      </c>
      <c r="D4" s="82" t="s">
        <v>475</v>
      </c>
      <c r="E4" s="82" t="s">
        <v>496</v>
      </c>
      <c r="F4" s="82" t="s">
        <v>497</v>
      </c>
      <c r="G4" s="124" t="s">
        <v>481</v>
      </c>
      <c r="H4" s="292" t="s">
        <v>498</v>
      </c>
      <c r="I4" s="82" t="s">
        <v>489</v>
      </c>
      <c r="J4" s="82" t="s">
        <v>484</v>
      </c>
      <c r="K4" s="82" t="s">
        <v>490</v>
      </c>
    </row>
    <row r="5" spans="1:12">
      <c r="A5" s="264">
        <v>3</v>
      </c>
      <c r="B5" s="285" t="s">
        <v>2</v>
      </c>
      <c r="C5" s="293">
        <v>1.6276250000000001</v>
      </c>
      <c r="D5" s="293">
        <v>-3.3098450000000001</v>
      </c>
      <c r="E5" s="293">
        <v>5.8599449999999997</v>
      </c>
      <c r="F5" s="293">
        <v>-6.4863439999999999</v>
      </c>
      <c r="G5" s="295">
        <v>3.0807539999999998E-3</v>
      </c>
      <c r="H5" s="291">
        <v>1</v>
      </c>
      <c r="I5" s="287">
        <v>0</v>
      </c>
      <c r="J5" s="288">
        <v>6</v>
      </c>
      <c r="K5" s="287">
        <v>0</v>
      </c>
    </row>
    <row r="6" spans="1:12">
      <c r="A6" s="264">
        <v>4</v>
      </c>
      <c r="B6" s="285" t="s">
        <v>298</v>
      </c>
      <c r="C6" s="293">
        <v>1.775833</v>
      </c>
      <c r="D6" s="293">
        <v>-2.563809</v>
      </c>
      <c r="E6" s="293">
        <v>3.5936319999999999</v>
      </c>
      <c r="F6" s="293">
        <v>-3.2188859999999999</v>
      </c>
      <c r="G6" s="295">
        <v>1.2633900000000001E-3</v>
      </c>
      <c r="H6" s="291">
        <v>1</v>
      </c>
      <c r="I6" s="287">
        <v>0</v>
      </c>
      <c r="J6" s="288">
        <v>2</v>
      </c>
      <c r="K6" s="287">
        <v>0</v>
      </c>
    </row>
    <row r="7" spans="1:12">
      <c r="A7" s="264">
        <v>5</v>
      </c>
      <c r="B7" s="285" t="s">
        <v>3</v>
      </c>
      <c r="C7" s="293">
        <v>1.730135</v>
      </c>
      <c r="D7" s="293">
        <v>-1.8968229999999999</v>
      </c>
      <c r="E7" s="293">
        <v>1.6614709999999999</v>
      </c>
      <c r="F7" s="293">
        <v>-0.52578440000000004</v>
      </c>
      <c r="G7" s="295">
        <v>-1.969741E-4</v>
      </c>
      <c r="H7" s="291">
        <v>1</v>
      </c>
      <c r="I7" s="287">
        <v>0</v>
      </c>
      <c r="J7" s="288">
        <v>2</v>
      </c>
      <c r="K7" s="287">
        <v>0</v>
      </c>
    </row>
    <row r="8" spans="1:12">
      <c r="A8" s="264">
        <v>5</v>
      </c>
      <c r="B8" s="285" t="s">
        <v>4</v>
      </c>
      <c r="C8" s="293">
        <v>1.709946</v>
      </c>
      <c r="D8" s="293">
        <v>-1.895618</v>
      </c>
      <c r="E8" s="293">
        <v>1.661565</v>
      </c>
      <c r="F8" s="293">
        <v>-0.53043850000000003</v>
      </c>
      <c r="G8" s="295">
        <v>-1.9234159999999999E-4</v>
      </c>
      <c r="H8" s="291">
        <v>1</v>
      </c>
      <c r="I8" s="287">
        <v>0</v>
      </c>
      <c r="J8" s="288">
        <v>2</v>
      </c>
      <c r="K8" s="287">
        <v>0</v>
      </c>
    </row>
    <row r="9" spans="1:12">
      <c r="A9" s="264">
        <v>5</v>
      </c>
      <c r="B9" s="285" t="s">
        <v>5</v>
      </c>
      <c r="C9" s="293">
        <v>1.676269</v>
      </c>
      <c r="D9" s="293">
        <v>-1.895017</v>
      </c>
      <c r="E9" s="293">
        <v>1.668167</v>
      </c>
      <c r="F9" s="293">
        <v>-0.54979069999999997</v>
      </c>
      <c r="G9" s="295">
        <v>-1.7722960000000001E-4</v>
      </c>
      <c r="H9" s="291">
        <v>1</v>
      </c>
      <c r="I9" s="287">
        <v>0</v>
      </c>
      <c r="J9" s="288">
        <v>2</v>
      </c>
      <c r="K9" s="287">
        <v>0</v>
      </c>
    </row>
    <row r="10" spans="1:12">
      <c r="A10" s="264">
        <v>6</v>
      </c>
      <c r="B10" s="285" t="s">
        <v>6</v>
      </c>
      <c r="C10" s="293">
        <v>1.504888</v>
      </c>
      <c r="D10" s="293">
        <v>-1.302562</v>
      </c>
      <c r="E10" s="293">
        <v>3.4255319999999999E-2</v>
      </c>
      <c r="F10" s="293">
        <v>1.645219</v>
      </c>
      <c r="G10" s="295">
        <v>-1.333381E-3</v>
      </c>
      <c r="H10" s="291">
        <v>1</v>
      </c>
      <c r="I10" s="287">
        <v>1E-4</v>
      </c>
      <c r="J10" s="288">
        <v>2</v>
      </c>
      <c r="K10" s="287">
        <v>0</v>
      </c>
    </row>
    <row r="11" spans="1:12">
      <c r="A11" s="264">
        <v>6</v>
      </c>
      <c r="B11" s="285" t="s">
        <v>7</v>
      </c>
      <c r="C11" s="293">
        <v>1.5194939999999999</v>
      </c>
      <c r="D11" s="293">
        <v>-1.3025409999999999</v>
      </c>
      <c r="E11" s="293">
        <v>2.732122E-2</v>
      </c>
      <c r="F11" s="293">
        <v>1.6630069999999999</v>
      </c>
      <c r="G11" s="295">
        <v>-1.3466190000000001E-3</v>
      </c>
      <c r="H11" s="291">
        <v>1</v>
      </c>
      <c r="I11" s="287">
        <v>1E-4</v>
      </c>
      <c r="J11" s="288">
        <v>2</v>
      </c>
      <c r="K11" s="287">
        <v>0</v>
      </c>
    </row>
    <row r="12" spans="1:12">
      <c r="A12" s="264">
        <v>6</v>
      </c>
      <c r="B12" s="285" t="s">
        <v>8</v>
      </c>
      <c r="C12" s="293">
        <v>1.502407</v>
      </c>
      <c r="D12" s="293">
        <v>-1.3129440000000001</v>
      </c>
      <c r="E12" s="293">
        <v>7.5131859999999995E-2</v>
      </c>
      <c r="F12" s="293">
        <v>1.5761499999999999</v>
      </c>
      <c r="G12" s="295">
        <v>-1.2907870000000001E-3</v>
      </c>
      <c r="H12" s="291">
        <v>1</v>
      </c>
      <c r="I12" s="287">
        <v>1E-4</v>
      </c>
      <c r="J12" s="288">
        <v>2</v>
      </c>
      <c r="K12" s="287">
        <v>0</v>
      </c>
    </row>
    <row r="13" spans="1:12">
      <c r="A13" s="264">
        <v>6</v>
      </c>
      <c r="B13" s="285" t="s">
        <v>9</v>
      </c>
      <c r="C13" s="293">
        <v>1.480423</v>
      </c>
      <c r="D13" s="293">
        <v>-1.3325499999999999</v>
      </c>
      <c r="E13" s="293">
        <v>0.16252330000000001</v>
      </c>
      <c r="F13" s="293">
        <v>1.419788</v>
      </c>
      <c r="G13" s="295">
        <v>-1.1912139999999999E-3</v>
      </c>
      <c r="H13" s="291">
        <v>1</v>
      </c>
      <c r="I13" s="287">
        <v>1E-4</v>
      </c>
      <c r="J13" s="288">
        <v>2</v>
      </c>
      <c r="K13" s="287">
        <v>0</v>
      </c>
    </row>
    <row r="14" spans="1:12">
      <c r="A14" s="264">
        <v>6</v>
      </c>
      <c r="B14" s="285" t="s">
        <v>306</v>
      </c>
      <c r="C14" s="293">
        <v>1.474064</v>
      </c>
      <c r="D14" s="293">
        <v>-1.309415</v>
      </c>
      <c r="E14" s="293">
        <v>7.4204049999999994E-2</v>
      </c>
      <c r="F14" s="293">
        <v>1.5662959999999999</v>
      </c>
      <c r="G14" s="295">
        <v>-1.2804680000000001E-3</v>
      </c>
      <c r="H14" s="291">
        <v>1</v>
      </c>
      <c r="I14" s="287">
        <v>1E-4</v>
      </c>
      <c r="J14" s="288">
        <v>2</v>
      </c>
      <c r="K14" s="287">
        <v>0</v>
      </c>
    </row>
    <row r="15" spans="1:12">
      <c r="A15" s="264">
        <v>7</v>
      </c>
      <c r="B15" s="285" t="s">
        <v>10</v>
      </c>
      <c r="C15" s="293">
        <v>1.2406550000000001</v>
      </c>
      <c r="D15" s="293">
        <v>-0.80626100000000001</v>
      </c>
      <c r="E15" s="293">
        <v>-1.222987</v>
      </c>
      <c r="F15" s="293">
        <v>3.216707</v>
      </c>
      <c r="G15" s="295">
        <v>-2.11145E-3</v>
      </c>
      <c r="H15" s="291">
        <v>1</v>
      </c>
      <c r="I15" s="287">
        <v>2.0000000000000001E-4</v>
      </c>
      <c r="J15" s="288">
        <v>2</v>
      </c>
      <c r="K15" s="287">
        <v>1E-4</v>
      </c>
    </row>
    <row r="16" spans="1:12">
      <c r="A16" s="264">
        <v>7</v>
      </c>
      <c r="B16" s="285" t="s">
        <v>11</v>
      </c>
      <c r="C16" s="293">
        <v>1.246453</v>
      </c>
      <c r="D16" s="293">
        <v>-0.79991440000000003</v>
      </c>
      <c r="E16" s="293">
        <v>-1.2527440000000001</v>
      </c>
      <c r="F16" s="293">
        <v>3.2706710000000001</v>
      </c>
      <c r="G16" s="295">
        <v>-2.1459029999999998E-3</v>
      </c>
      <c r="H16" s="291">
        <v>1</v>
      </c>
      <c r="I16" s="287">
        <v>2.0000000000000001E-4</v>
      </c>
      <c r="J16" s="288">
        <v>2</v>
      </c>
      <c r="K16" s="287">
        <v>1E-4</v>
      </c>
    </row>
    <row r="17" spans="1:11">
      <c r="A17" s="264">
        <v>7</v>
      </c>
      <c r="B17" s="285" t="s">
        <v>12</v>
      </c>
      <c r="C17" s="293">
        <v>1.2573430000000001</v>
      </c>
      <c r="D17" s="293">
        <v>-0.79462869999999997</v>
      </c>
      <c r="E17" s="293">
        <v>-1.2816399999999999</v>
      </c>
      <c r="F17" s="293">
        <v>3.3260450000000001</v>
      </c>
      <c r="G17" s="295">
        <v>-2.1822679999999998E-3</v>
      </c>
      <c r="H17" s="291">
        <v>1</v>
      </c>
      <c r="I17" s="287">
        <v>2.9999999999999997E-4</v>
      </c>
      <c r="J17" s="288">
        <v>2</v>
      </c>
      <c r="K17" s="287">
        <v>1E-4</v>
      </c>
    </row>
    <row r="18" spans="1:11">
      <c r="A18" s="264">
        <v>7</v>
      </c>
      <c r="B18" s="285" t="s">
        <v>13</v>
      </c>
      <c r="C18" s="293">
        <v>1.2607269999999999</v>
      </c>
      <c r="D18" s="293">
        <v>-0.83207070000000005</v>
      </c>
      <c r="E18" s="293">
        <v>-1.1312249999999999</v>
      </c>
      <c r="F18" s="293">
        <v>3.0711529999999998</v>
      </c>
      <c r="G18" s="295">
        <v>-2.025532E-3</v>
      </c>
      <c r="H18" s="291">
        <v>1</v>
      </c>
      <c r="I18" s="287">
        <v>2.0000000000000001E-4</v>
      </c>
      <c r="J18" s="288">
        <v>2</v>
      </c>
      <c r="K18" s="287">
        <v>1E-4</v>
      </c>
    </row>
    <row r="19" spans="1:11">
      <c r="A19" s="264">
        <v>7</v>
      </c>
      <c r="B19" s="285" t="s">
        <v>14</v>
      </c>
      <c r="C19" s="293">
        <v>1.272986</v>
      </c>
      <c r="D19" s="293">
        <v>-0.89186430000000005</v>
      </c>
      <c r="E19" s="293">
        <v>-0.89315080000000002</v>
      </c>
      <c r="F19" s="293">
        <v>2.669896</v>
      </c>
      <c r="G19" s="295">
        <v>-1.7796870000000001E-3</v>
      </c>
      <c r="H19" s="291">
        <v>1</v>
      </c>
      <c r="I19" s="287">
        <v>2.0000000000000001E-4</v>
      </c>
      <c r="J19" s="288">
        <v>2</v>
      </c>
      <c r="K19" s="287">
        <v>1E-4</v>
      </c>
    </row>
    <row r="20" spans="1:11">
      <c r="A20" s="264">
        <v>8</v>
      </c>
      <c r="B20" s="285" t="s">
        <v>15</v>
      </c>
      <c r="C20" s="293">
        <v>0.98160849999999999</v>
      </c>
      <c r="D20" s="293">
        <v>-0.40911350000000002</v>
      </c>
      <c r="E20" s="293">
        <v>-2.125991</v>
      </c>
      <c r="F20" s="293">
        <v>4.2361230000000001</v>
      </c>
      <c r="G20" s="295">
        <v>-2.5695969999999999E-3</v>
      </c>
      <c r="H20" s="291">
        <v>1</v>
      </c>
      <c r="I20" s="287">
        <v>4.0000000000000002E-4</v>
      </c>
      <c r="J20" s="288">
        <v>2</v>
      </c>
      <c r="K20" s="287">
        <v>1E-4</v>
      </c>
    </row>
    <row r="21" spans="1:11">
      <c r="A21" s="264">
        <v>8</v>
      </c>
      <c r="B21" s="285" t="s">
        <v>16</v>
      </c>
      <c r="C21" s="293">
        <v>0.97949629999999999</v>
      </c>
      <c r="D21" s="293">
        <v>-0.39696169999999997</v>
      </c>
      <c r="E21" s="293">
        <v>-2.175583</v>
      </c>
      <c r="F21" s="293">
        <v>4.3201039999999997</v>
      </c>
      <c r="G21" s="295">
        <v>-2.620963E-3</v>
      </c>
      <c r="H21" s="291">
        <v>1</v>
      </c>
      <c r="I21" s="287">
        <v>4.0000000000000002E-4</v>
      </c>
      <c r="J21" s="288">
        <v>2</v>
      </c>
      <c r="K21" s="287">
        <v>1E-4</v>
      </c>
    </row>
    <row r="22" spans="1:11">
      <c r="A22" s="264">
        <v>8</v>
      </c>
      <c r="B22" s="285" t="s">
        <v>326</v>
      </c>
      <c r="C22" s="293">
        <v>0.98878339999999998</v>
      </c>
      <c r="D22" s="293">
        <v>-0.42671009999999998</v>
      </c>
      <c r="E22" s="293">
        <v>-2.057528</v>
      </c>
      <c r="F22" s="293">
        <v>4.122865</v>
      </c>
      <c r="G22" s="295">
        <v>-2.5012709999999998E-3</v>
      </c>
      <c r="H22" s="291">
        <v>1</v>
      </c>
      <c r="I22" s="287">
        <v>2.9999999999999997E-4</v>
      </c>
      <c r="J22" s="288">
        <v>2</v>
      </c>
      <c r="K22" s="287">
        <v>1E-4</v>
      </c>
    </row>
    <row r="23" spans="1:11">
      <c r="A23" s="264">
        <v>9</v>
      </c>
      <c r="B23" s="285" t="s">
        <v>328</v>
      </c>
      <c r="C23" s="293">
        <v>0.76833839999999998</v>
      </c>
      <c r="D23" s="293">
        <v>-0.13112460000000001</v>
      </c>
      <c r="E23" s="293">
        <v>-2.6154850000000001</v>
      </c>
      <c r="F23" s="293">
        <v>4.6244730000000001</v>
      </c>
      <c r="G23" s="295">
        <v>-2.6686050000000001E-3</v>
      </c>
      <c r="H23" s="291">
        <v>1</v>
      </c>
      <c r="I23" s="287">
        <v>4.0000000000000002E-4</v>
      </c>
      <c r="J23" s="288">
        <v>2</v>
      </c>
      <c r="K23" s="287">
        <v>1E-4</v>
      </c>
    </row>
    <row r="24" spans="1:11">
      <c r="A24" s="264">
        <v>11</v>
      </c>
      <c r="B24" s="285" t="s">
        <v>17</v>
      </c>
      <c r="C24" s="293">
        <v>0.46586680000000003</v>
      </c>
      <c r="D24" s="293">
        <v>0.2047863</v>
      </c>
      <c r="E24" s="293">
        <v>-2.8980570000000001</v>
      </c>
      <c r="F24" s="293">
        <v>4.4112970000000002</v>
      </c>
      <c r="G24" s="295">
        <v>-2.334633E-3</v>
      </c>
      <c r="H24" s="291">
        <v>1</v>
      </c>
      <c r="I24" s="287">
        <v>2.9999999999999997E-4</v>
      </c>
      <c r="J24" s="288">
        <v>6</v>
      </c>
      <c r="K24" s="287">
        <v>1E-4</v>
      </c>
    </row>
    <row r="25" spans="1:11">
      <c r="A25" s="264">
        <v>12</v>
      </c>
      <c r="B25" s="285" t="s">
        <v>329</v>
      </c>
      <c r="C25" s="293">
        <v>0.4291913</v>
      </c>
      <c r="D25" s="293">
        <v>0.221389</v>
      </c>
      <c r="E25" s="293">
        <v>-2.5428060000000001</v>
      </c>
      <c r="F25" s="293">
        <v>3.573969</v>
      </c>
      <c r="G25" s="295">
        <v>-1.7633830000000001E-3</v>
      </c>
      <c r="H25" s="291">
        <v>1</v>
      </c>
      <c r="I25" s="287">
        <v>2.9999999999999997E-4</v>
      </c>
      <c r="J25" s="288">
        <v>2</v>
      </c>
      <c r="K25" s="287">
        <v>1E-4</v>
      </c>
    </row>
    <row r="26" spans="1:11">
      <c r="A26" s="264">
        <v>13</v>
      </c>
      <c r="B26" s="285" t="s">
        <v>18</v>
      </c>
      <c r="C26" s="293">
        <v>0.4720683</v>
      </c>
      <c r="D26" s="293">
        <v>0.14542099999999999</v>
      </c>
      <c r="E26" s="293">
        <v>-1.880835</v>
      </c>
      <c r="F26" s="293">
        <v>2.2805550000000001</v>
      </c>
      <c r="G26" s="295">
        <v>-9.3809000000000004E-4</v>
      </c>
      <c r="H26" s="291">
        <v>0.99999899999999997</v>
      </c>
      <c r="I26" s="287">
        <v>1.1999999999999999E-3</v>
      </c>
      <c r="J26" s="288">
        <v>2</v>
      </c>
      <c r="K26" s="287">
        <v>2.0000000000000001E-4</v>
      </c>
    </row>
    <row r="27" spans="1:11">
      <c r="A27" s="264">
        <v>13</v>
      </c>
      <c r="B27" s="285" t="s">
        <v>330</v>
      </c>
      <c r="C27" s="293">
        <v>0.5012894</v>
      </c>
      <c r="D27" s="293">
        <v>0.1167832</v>
      </c>
      <c r="E27" s="293">
        <v>-1.789477</v>
      </c>
      <c r="F27" s="293">
        <v>2.150566</v>
      </c>
      <c r="G27" s="295">
        <v>-8.6859749999999999E-4</v>
      </c>
      <c r="H27" s="291">
        <v>0.99999899999999997</v>
      </c>
      <c r="I27" s="287">
        <v>1.1999999999999999E-3</v>
      </c>
      <c r="J27" s="288">
        <v>2</v>
      </c>
      <c r="K27" s="287">
        <v>2.9999999999999997E-4</v>
      </c>
    </row>
    <row r="28" spans="1:11">
      <c r="A28" s="264">
        <v>14</v>
      </c>
      <c r="B28" s="285" t="s">
        <v>19</v>
      </c>
      <c r="C28" s="293">
        <v>0.67025889999999999</v>
      </c>
      <c r="D28" s="293">
        <v>-9.2634850000000005E-2</v>
      </c>
      <c r="E28" s="293">
        <v>-0.68379690000000004</v>
      </c>
      <c r="F28" s="293">
        <v>0.1988113</v>
      </c>
      <c r="G28" s="295">
        <v>3.2147540000000002E-4</v>
      </c>
      <c r="H28" s="291">
        <v>0.99999700000000002</v>
      </c>
      <c r="I28" s="287">
        <v>2.5999999999999999E-3</v>
      </c>
      <c r="J28" s="288">
        <v>2</v>
      </c>
      <c r="K28" s="287">
        <v>5.9999999999999995E-4</v>
      </c>
    </row>
    <row r="29" spans="1:11">
      <c r="A29" s="264">
        <v>14</v>
      </c>
      <c r="B29" s="285" t="s">
        <v>20</v>
      </c>
      <c r="C29" s="293">
        <v>0.66185890000000003</v>
      </c>
      <c r="D29" s="293">
        <v>-8.4318340000000006E-2</v>
      </c>
      <c r="E29" s="293">
        <v>-0.71108389999999999</v>
      </c>
      <c r="F29" s="293">
        <v>0.23854249999999999</v>
      </c>
      <c r="G29" s="295">
        <v>2.9981849999999999E-4</v>
      </c>
      <c r="H29" s="291">
        <v>0.99999700000000002</v>
      </c>
      <c r="I29" s="287">
        <v>2.5999999999999999E-3</v>
      </c>
      <c r="J29" s="288">
        <v>2</v>
      </c>
      <c r="K29" s="287">
        <v>5.9999999999999995E-4</v>
      </c>
    </row>
    <row r="30" spans="1:11">
      <c r="A30" s="264">
        <v>14</v>
      </c>
      <c r="B30" s="285" t="s">
        <v>21</v>
      </c>
      <c r="C30" s="293">
        <v>0.67871199999999998</v>
      </c>
      <c r="D30" s="293">
        <v>-9.9521460000000006E-2</v>
      </c>
      <c r="E30" s="293">
        <v>-0.66628430000000005</v>
      </c>
      <c r="F30" s="293">
        <v>0.17941380000000001</v>
      </c>
      <c r="G30" s="295">
        <v>3.2928500000000002E-4</v>
      </c>
      <c r="H30" s="291">
        <v>0.99999700000000002</v>
      </c>
      <c r="I30" s="287">
        <v>2.5999999999999999E-3</v>
      </c>
      <c r="J30" s="288">
        <v>2</v>
      </c>
      <c r="K30" s="287">
        <v>5.9999999999999995E-4</v>
      </c>
    </row>
    <row r="31" spans="1:11">
      <c r="A31" s="264">
        <v>14</v>
      </c>
      <c r="B31" s="285" t="s">
        <v>22</v>
      </c>
      <c r="C31" s="293">
        <v>0.70246310000000001</v>
      </c>
      <c r="D31" s="293">
        <v>-0.1208074</v>
      </c>
      <c r="E31" s="293">
        <v>-0.6041012</v>
      </c>
      <c r="F31" s="293">
        <v>9.8101759999999996E-2</v>
      </c>
      <c r="G31" s="295">
        <v>3.6941669999999998E-4</v>
      </c>
      <c r="H31" s="291">
        <v>0.99999700000000002</v>
      </c>
      <c r="I31" s="287">
        <v>2.5999999999999999E-3</v>
      </c>
      <c r="J31" s="288">
        <v>2</v>
      </c>
      <c r="K31" s="287">
        <v>5.9999999999999995E-4</v>
      </c>
    </row>
    <row r="32" spans="1:11">
      <c r="A32" s="264">
        <v>14</v>
      </c>
      <c r="B32" s="285" t="s">
        <v>331</v>
      </c>
      <c r="C32" s="293">
        <v>0.69415300000000002</v>
      </c>
      <c r="D32" s="293">
        <v>-0.1152543</v>
      </c>
      <c r="E32" s="293">
        <v>-0.61316669999999995</v>
      </c>
      <c r="F32" s="293">
        <v>0.10026409999999999</v>
      </c>
      <c r="G32" s="295">
        <v>3.7325059999999998E-4</v>
      </c>
      <c r="H32" s="291">
        <v>0.99999700000000002</v>
      </c>
      <c r="I32" s="287">
        <v>2.5999999999999999E-3</v>
      </c>
      <c r="J32" s="288">
        <v>2</v>
      </c>
      <c r="K32" s="287">
        <v>5.9999999999999995E-4</v>
      </c>
    </row>
    <row r="33" spans="1:11">
      <c r="A33" s="264">
        <v>15</v>
      </c>
      <c r="B33" s="285" t="s">
        <v>23</v>
      </c>
      <c r="C33" s="293">
        <v>1.022721</v>
      </c>
      <c r="D33" s="293">
        <v>-0.48154540000000001</v>
      </c>
      <c r="E33" s="293">
        <v>1.0002230000000001</v>
      </c>
      <c r="F33" s="293">
        <v>-2.585737</v>
      </c>
      <c r="G33" s="295">
        <v>1.9605550000000001E-3</v>
      </c>
      <c r="H33" s="291">
        <v>0.99998900000000002</v>
      </c>
      <c r="I33" s="287">
        <v>4.5999999999999999E-3</v>
      </c>
      <c r="J33" s="288">
        <v>2</v>
      </c>
      <c r="K33" s="287">
        <v>1.1999999999999999E-3</v>
      </c>
    </row>
    <row r="34" spans="1:11">
      <c r="A34" s="264">
        <v>15</v>
      </c>
      <c r="B34" s="285" t="s">
        <v>24</v>
      </c>
      <c r="C34" s="293">
        <v>1.0137529999999999</v>
      </c>
      <c r="D34" s="293">
        <v>-0.47310180000000002</v>
      </c>
      <c r="E34" s="293">
        <v>0.97334580000000004</v>
      </c>
      <c r="F34" s="293">
        <v>-2.5475780000000001</v>
      </c>
      <c r="G34" s="295">
        <v>1.940191E-3</v>
      </c>
      <c r="H34" s="291">
        <v>0.99998900000000002</v>
      </c>
      <c r="I34" s="287">
        <v>4.5999999999999999E-3</v>
      </c>
      <c r="J34" s="288">
        <v>2</v>
      </c>
      <c r="K34" s="287">
        <v>1.1999999999999999E-3</v>
      </c>
    </row>
    <row r="35" spans="1:11">
      <c r="A35" s="264">
        <v>15</v>
      </c>
      <c r="B35" s="285" t="s">
        <v>25</v>
      </c>
      <c r="C35" s="293">
        <v>1.0011410000000001</v>
      </c>
      <c r="D35" s="293">
        <v>-0.46095789999999998</v>
      </c>
      <c r="E35" s="293">
        <v>0.93355929999999998</v>
      </c>
      <c r="F35" s="293">
        <v>-2.4896750000000001</v>
      </c>
      <c r="G35" s="295">
        <v>1.908636E-3</v>
      </c>
      <c r="H35" s="291">
        <v>0.99998900000000002</v>
      </c>
      <c r="I35" s="287">
        <v>4.5999999999999999E-3</v>
      </c>
      <c r="J35" s="288">
        <v>2</v>
      </c>
      <c r="K35" s="287">
        <v>1.1999999999999999E-3</v>
      </c>
    </row>
    <row r="36" spans="1:11">
      <c r="A36" s="264">
        <v>15</v>
      </c>
      <c r="B36" s="285" t="s">
        <v>26</v>
      </c>
      <c r="C36" s="293">
        <v>1.0195350000000001</v>
      </c>
      <c r="D36" s="293">
        <v>-0.47527710000000001</v>
      </c>
      <c r="E36" s="293">
        <v>0.96744490000000005</v>
      </c>
      <c r="F36" s="293">
        <v>-2.523279</v>
      </c>
      <c r="G36" s="295">
        <v>1.919884E-3</v>
      </c>
      <c r="H36" s="291">
        <v>0.99999000000000005</v>
      </c>
      <c r="I36" s="287">
        <v>4.4999999999999997E-3</v>
      </c>
      <c r="J36" s="288">
        <v>2</v>
      </c>
      <c r="K36" s="287">
        <v>1.1999999999999999E-3</v>
      </c>
    </row>
    <row r="37" spans="1:11">
      <c r="A37" s="264">
        <v>15</v>
      </c>
      <c r="B37" s="285" t="s">
        <v>27</v>
      </c>
      <c r="C37" s="293">
        <v>1.0430109999999999</v>
      </c>
      <c r="D37" s="293">
        <v>-0.49319730000000001</v>
      </c>
      <c r="E37" s="293">
        <v>1.0081359999999999</v>
      </c>
      <c r="F37" s="293">
        <v>-2.5607160000000002</v>
      </c>
      <c r="G37" s="295">
        <v>1.930478E-3</v>
      </c>
      <c r="H37" s="291">
        <v>0.99999000000000005</v>
      </c>
      <c r="I37" s="287">
        <v>4.4000000000000003E-3</v>
      </c>
      <c r="J37" s="288">
        <v>2</v>
      </c>
      <c r="K37" s="287">
        <v>1.1000000000000001E-3</v>
      </c>
    </row>
    <row r="38" spans="1:11">
      <c r="A38" s="264">
        <v>16</v>
      </c>
      <c r="B38" s="285" t="s">
        <v>28</v>
      </c>
      <c r="C38" s="293">
        <v>1.5331090000000001</v>
      </c>
      <c r="D38" s="293">
        <v>-1.015706</v>
      </c>
      <c r="E38" s="293">
        <v>3.1347909999999999</v>
      </c>
      <c r="F38" s="293">
        <v>-5.9958330000000002</v>
      </c>
      <c r="G38" s="295">
        <v>3.925062E-3</v>
      </c>
      <c r="H38" s="291">
        <v>0.99997400000000003</v>
      </c>
      <c r="I38" s="287">
        <v>7.0000000000000001E-3</v>
      </c>
      <c r="J38" s="288">
        <v>2</v>
      </c>
      <c r="K38" s="287">
        <v>1.9E-3</v>
      </c>
    </row>
    <row r="39" spans="1:11">
      <c r="A39" s="264">
        <v>16</v>
      </c>
      <c r="B39" s="285" t="s">
        <v>29</v>
      </c>
      <c r="C39" s="293">
        <v>1.523987</v>
      </c>
      <c r="D39" s="293">
        <v>-1.0075559999999999</v>
      </c>
      <c r="E39" s="293">
        <v>3.1098690000000002</v>
      </c>
      <c r="F39" s="293">
        <v>-5.9616720000000001</v>
      </c>
      <c r="G39" s="295">
        <v>3.9073809999999997E-3</v>
      </c>
      <c r="H39" s="291">
        <v>0.99997400000000003</v>
      </c>
      <c r="I39" s="287">
        <v>7.0000000000000001E-3</v>
      </c>
      <c r="J39" s="288">
        <v>2</v>
      </c>
      <c r="K39" s="287">
        <v>1.9E-3</v>
      </c>
    </row>
    <row r="40" spans="1:11">
      <c r="A40" s="264">
        <v>16</v>
      </c>
      <c r="B40" s="285" t="s">
        <v>30</v>
      </c>
      <c r="C40" s="293">
        <v>1.5105120000000001</v>
      </c>
      <c r="D40" s="293">
        <v>-0.9951219</v>
      </c>
      <c r="E40" s="293">
        <v>3.070147</v>
      </c>
      <c r="F40" s="293">
        <v>-5.9050419999999999</v>
      </c>
      <c r="G40" s="295">
        <v>3.8770430000000002E-3</v>
      </c>
      <c r="H40" s="291">
        <v>0.99997400000000003</v>
      </c>
      <c r="I40" s="287">
        <v>7.0000000000000001E-3</v>
      </c>
      <c r="J40" s="288">
        <v>2</v>
      </c>
      <c r="K40" s="287">
        <v>1.9E-3</v>
      </c>
    </row>
    <row r="41" spans="1:11">
      <c r="A41" s="264">
        <v>16</v>
      </c>
      <c r="B41" s="285" t="s">
        <v>31</v>
      </c>
      <c r="C41" s="293">
        <v>1.4918229999999999</v>
      </c>
      <c r="D41" s="293">
        <v>-0.97751310000000002</v>
      </c>
      <c r="E41" s="293">
        <v>3.0123359999999999</v>
      </c>
      <c r="F41" s="293">
        <v>-5.820703</v>
      </c>
      <c r="G41" s="295">
        <v>3.830988E-3</v>
      </c>
      <c r="H41" s="291">
        <v>0.99997400000000003</v>
      </c>
      <c r="I41" s="287">
        <v>7.0000000000000001E-3</v>
      </c>
      <c r="J41" s="288">
        <v>2</v>
      </c>
      <c r="K41" s="287">
        <v>1.9E-3</v>
      </c>
    </row>
    <row r="42" spans="1:11">
      <c r="A42" s="264">
        <v>16</v>
      </c>
      <c r="B42" s="285" t="s">
        <v>32</v>
      </c>
      <c r="C42" s="293">
        <v>1.5038320000000001</v>
      </c>
      <c r="D42" s="293">
        <v>-0.98228190000000004</v>
      </c>
      <c r="E42" s="293">
        <v>3.0025539999999999</v>
      </c>
      <c r="F42" s="293">
        <v>-5.7761199999999997</v>
      </c>
      <c r="G42" s="295">
        <v>3.7932339999999999E-3</v>
      </c>
      <c r="H42" s="291">
        <v>0.99997599999999998</v>
      </c>
      <c r="I42" s="287">
        <v>6.7999999999999996E-3</v>
      </c>
      <c r="J42" s="288">
        <v>2</v>
      </c>
      <c r="K42" s="287">
        <v>1.8E-3</v>
      </c>
    </row>
    <row r="43" spans="1:11">
      <c r="A43" s="264">
        <v>16</v>
      </c>
      <c r="B43" s="285" t="s">
        <v>33</v>
      </c>
      <c r="C43" s="293">
        <v>1.517236</v>
      </c>
      <c r="D43" s="293">
        <v>-0.9863558</v>
      </c>
      <c r="E43" s="293">
        <v>2.9826609999999998</v>
      </c>
      <c r="F43" s="293">
        <v>-5.7074100000000003</v>
      </c>
      <c r="G43" s="295">
        <v>3.738145E-3</v>
      </c>
      <c r="H43" s="291">
        <v>0.99997800000000003</v>
      </c>
      <c r="I43" s="287">
        <v>6.4999999999999997E-3</v>
      </c>
      <c r="J43" s="288">
        <v>2</v>
      </c>
      <c r="K43" s="287">
        <v>1.8E-3</v>
      </c>
    </row>
    <row r="44" spans="1:11">
      <c r="A44" s="264">
        <v>17</v>
      </c>
      <c r="B44" s="285" t="s">
        <v>34</v>
      </c>
      <c r="C44" s="293">
        <v>2.1830059999999998</v>
      </c>
      <c r="D44" s="293">
        <v>-1.6673709999999999</v>
      </c>
      <c r="E44" s="293">
        <v>5.6013089999999996</v>
      </c>
      <c r="F44" s="293">
        <v>-9.8230489999999993</v>
      </c>
      <c r="G44" s="295">
        <v>6.0845689999999997E-3</v>
      </c>
      <c r="H44" s="291">
        <v>0.99995199999999995</v>
      </c>
      <c r="I44" s="287">
        <v>9.1999999999999998E-3</v>
      </c>
      <c r="J44" s="288">
        <v>2</v>
      </c>
      <c r="K44" s="287">
        <v>2.5999999999999999E-3</v>
      </c>
    </row>
    <row r="45" spans="1:11">
      <c r="A45" s="264">
        <v>17</v>
      </c>
      <c r="B45" s="285" t="s">
        <v>35</v>
      </c>
      <c r="C45" s="293">
        <v>2.174255</v>
      </c>
      <c r="D45" s="293">
        <v>-1.6600349999999999</v>
      </c>
      <c r="E45" s="293">
        <v>5.5801999999999996</v>
      </c>
      <c r="F45" s="293">
        <v>-9.7957520000000002</v>
      </c>
      <c r="G45" s="295">
        <v>6.0711910000000001E-3</v>
      </c>
      <c r="H45" s="291">
        <v>0.99995199999999995</v>
      </c>
      <c r="I45" s="287">
        <v>9.1999999999999998E-3</v>
      </c>
      <c r="J45" s="288">
        <v>2</v>
      </c>
      <c r="K45" s="287">
        <v>2.5999999999999999E-3</v>
      </c>
    </row>
    <row r="46" spans="1:11">
      <c r="A46" s="264">
        <v>17</v>
      </c>
      <c r="B46" s="285" t="s">
        <v>36</v>
      </c>
      <c r="C46" s="293">
        <v>2.160498</v>
      </c>
      <c r="D46" s="293">
        <v>-1.647907</v>
      </c>
      <c r="E46" s="293">
        <v>5.5427549999999997</v>
      </c>
      <c r="F46" s="293">
        <v>-9.7439070000000001</v>
      </c>
      <c r="G46" s="295">
        <v>6.0441009999999996E-3</v>
      </c>
      <c r="H46" s="291">
        <v>0.99995100000000003</v>
      </c>
      <c r="I46" s="287">
        <v>9.2999999999999992E-3</v>
      </c>
      <c r="J46" s="288">
        <v>2</v>
      </c>
      <c r="K46" s="287">
        <v>2.5999999999999999E-3</v>
      </c>
    </row>
    <row r="47" spans="1:11">
      <c r="A47" s="264">
        <v>17</v>
      </c>
      <c r="B47" s="285" t="s">
        <v>37</v>
      </c>
      <c r="C47" s="293">
        <v>2.1407280000000002</v>
      </c>
      <c r="D47" s="293">
        <v>-1.6299760000000001</v>
      </c>
      <c r="E47" s="293">
        <v>5.4852999999999996</v>
      </c>
      <c r="F47" s="293">
        <v>-9.6617470000000001</v>
      </c>
      <c r="G47" s="295">
        <v>5.9999759999999997E-3</v>
      </c>
      <c r="H47" s="291">
        <v>0.99995199999999995</v>
      </c>
      <c r="I47" s="287">
        <v>9.2999999999999992E-3</v>
      </c>
      <c r="J47" s="288">
        <v>2</v>
      </c>
      <c r="K47" s="287">
        <v>2.5999999999999999E-3</v>
      </c>
    </row>
    <row r="48" spans="1:11">
      <c r="A48" s="264">
        <v>17</v>
      </c>
      <c r="B48" s="285" t="s">
        <v>38</v>
      </c>
      <c r="C48" s="293">
        <v>2.1137790000000001</v>
      </c>
      <c r="D48" s="293">
        <v>-1.605084</v>
      </c>
      <c r="E48" s="293">
        <v>5.4036949999999999</v>
      </c>
      <c r="F48" s="293">
        <v>-9.5428239999999995</v>
      </c>
      <c r="G48" s="295">
        <v>5.9351179999999996E-3</v>
      </c>
      <c r="H48" s="291">
        <v>0.99995199999999995</v>
      </c>
      <c r="I48" s="287">
        <v>9.1999999999999998E-3</v>
      </c>
      <c r="J48" s="288">
        <v>2</v>
      </c>
      <c r="K48" s="287">
        <v>2.5999999999999999E-3</v>
      </c>
    </row>
    <row r="49" spans="1:11">
      <c r="A49" s="264">
        <v>17</v>
      </c>
      <c r="B49" s="285" t="s">
        <v>39</v>
      </c>
      <c r="C49" s="293">
        <v>2.1085669999999999</v>
      </c>
      <c r="D49" s="293">
        <v>-1.5892010000000001</v>
      </c>
      <c r="E49" s="293">
        <v>5.3100959999999997</v>
      </c>
      <c r="F49" s="293">
        <v>-9.3576650000000008</v>
      </c>
      <c r="G49" s="295">
        <v>5.8128950000000002E-3</v>
      </c>
      <c r="H49" s="291">
        <v>0.99995500000000004</v>
      </c>
      <c r="I49" s="287">
        <v>8.8999999999999999E-3</v>
      </c>
      <c r="J49" s="288">
        <v>2</v>
      </c>
      <c r="K49" s="287">
        <v>2.5000000000000001E-3</v>
      </c>
    </row>
    <row r="50" spans="1:11">
      <c r="A50" s="264">
        <v>17</v>
      </c>
      <c r="B50" s="285" t="s">
        <v>40</v>
      </c>
      <c r="C50" s="293">
        <v>2.0994609999999998</v>
      </c>
      <c r="D50" s="293">
        <v>-1.566894</v>
      </c>
      <c r="E50" s="293">
        <v>5.1848340000000004</v>
      </c>
      <c r="F50" s="293">
        <v>-9.1138940000000002</v>
      </c>
      <c r="G50" s="295">
        <v>5.6532709999999996E-3</v>
      </c>
      <c r="H50" s="291">
        <v>0.99995999999999996</v>
      </c>
      <c r="I50" s="287">
        <v>8.5000000000000006E-3</v>
      </c>
      <c r="J50" s="288">
        <v>2</v>
      </c>
      <c r="K50" s="287">
        <v>2.3999999999999998E-3</v>
      </c>
    </row>
    <row r="51" spans="1:11">
      <c r="A51" s="264">
        <v>17</v>
      </c>
      <c r="B51" s="285" t="s">
        <v>332</v>
      </c>
      <c r="C51" s="293">
        <v>2.188876</v>
      </c>
      <c r="D51" s="293">
        <v>-1.6712149999999999</v>
      </c>
      <c r="E51" s="293">
        <v>5.6078219999999996</v>
      </c>
      <c r="F51" s="293">
        <v>-9.8253780000000006</v>
      </c>
      <c r="G51" s="295">
        <v>6.0827190000000003E-3</v>
      </c>
      <c r="H51" s="291">
        <v>0.99995199999999995</v>
      </c>
      <c r="I51" s="287">
        <v>9.1999999999999998E-3</v>
      </c>
      <c r="J51" s="288">
        <v>2</v>
      </c>
      <c r="K51" s="287">
        <v>2.5999999999999999E-3</v>
      </c>
    </row>
    <row r="52" spans="1:11">
      <c r="A52" s="264">
        <v>19</v>
      </c>
      <c r="B52" s="285" t="s">
        <v>41</v>
      </c>
      <c r="C52" s="293">
        <v>3.696294</v>
      </c>
      <c r="D52" s="293">
        <v>-3.0849329999999999</v>
      </c>
      <c r="E52" s="293">
        <v>10.60106</v>
      </c>
      <c r="F52" s="293">
        <v>-17.19304</v>
      </c>
      <c r="G52" s="295">
        <v>1.007008E-2</v>
      </c>
      <c r="H52" s="291">
        <v>0.99991699999999994</v>
      </c>
      <c r="I52" s="287">
        <v>1.0999999999999999E-2</v>
      </c>
      <c r="J52" s="288">
        <v>2</v>
      </c>
      <c r="K52" s="287">
        <v>3.7000000000000002E-3</v>
      </c>
    </row>
    <row r="53" spans="1:11">
      <c r="A53" s="264">
        <v>20</v>
      </c>
      <c r="B53" s="285" t="s">
        <v>333</v>
      </c>
      <c r="C53" s="293">
        <v>4.3995519999999999</v>
      </c>
      <c r="D53" s="293">
        <v>-3.6817820000000001</v>
      </c>
      <c r="E53" s="293">
        <v>12.51033</v>
      </c>
      <c r="F53" s="293">
        <v>-19.74549</v>
      </c>
      <c r="G53" s="295">
        <v>1.132242E-2</v>
      </c>
      <c r="H53" s="291">
        <v>0.99992700000000001</v>
      </c>
      <c r="I53" s="287">
        <v>9.4999999999999998E-3</v>
      </c>
      <c r="J53" s="288">
        <v>2</v>
      </c>
      <c r="K53" s="287">
        <v>3.7000000000000002E-3</v>
      </c>
    </row>
    <row r="54" spans="1:11">
      <c r="A54" s="264">
        <v>21</v>
      </c>
      <c r="B54" s="285" t="s">
        <v>42</v>
      </c>
      <c r="C54" s="293">
        <v>4.9324219999999999</v>
      </c>
      <c r="D54" s="293">
        <v>-4.0704339999999997</v>
      </c>
      <c r="E54" s="293">
        <v>13.55442</v>
      </c>
      <c r="F54" s="293">
        <v>-20.823810000000002</v>
      </c>
      <c r="G54" s="295">
        <v>1.167898E-2</v>
      </c>
      <c r="H54" s="291">
        <v>0.99995500000000004</v>
      </c>
      <c r="I54" s="287">
        <v>8.0000000000000002E-3</v>
      </c>
      <c r="J54" s="288">
        <v>6</v>
      </c>
      <c r="K54" s="287">
        <v>3.2000000000000002E-3</v>
      </c>
    </row>
    <row r="55" spans="1:11">
      <c r="A55" s="264">
        <v>21</v>
      </c>
      <c r="B55" s="285" t="s">
        <v>43</v>
      </c>
      <c r="C55" s="293">
        <v>4.9238980000000003</v>
      </c>
      <c r="D55" s="293">
        <v>-4.0609909999999996</v>
      </c>
      <c r="E55" s="293">
        <v>13.51807</v>
      </c>
      <c r="F55" s="293">
        <v>-20.765529999999998</v>
      </c>
      <c r="G55" s="295">
        <v>1.1645310000000001E-2</v>
      </c>
      <c r="H55" s="291">
        <v>0.99995500000000004</v>
      </c>
      <c r="I55" s="287">
        <v>7.9000000000000008E-3</v>
      </c>
      <c r="J55" s="288">
        <v>6</v>
      </c>
      <c r="K55" s="287">
        <v>3.2000000000000002E-3</v>
      </c>
    </row>
    <row r="56" spans="1:11">
      <c r="A56" s="264">
        <v>21</v>
      </c>
      <c r="B56" s="285" t="s">
        <v>44</v>
      </c>
      <c r="C56" s="293">
        <v>4.9557760000000002</v>
      </c>
      <c r="D56" s="293">
        <v>-4.0903669999999996</v>
      </c>
      <c r="E56" s="293">
        <v>13.61656</v>
      </c>
      <c r="F56" s="293">
        <v>-20.909220000000001</v>
      </c>
      <c r="G56" s="295">
        <v>1.1722750000000001E-2</v>
      </c>
      <c r="H56" s="291">
        <v>0.99995500000000004</v>
      </c>
      <c r="I56" s="287">
        <v>8.0000000000000002E-3</v>
      </c>
      <c r="J56" s="288">
        <v>6</v>
      </c>
      <c r="K56" s="287">
        <v>3.2000000000000002E-3</v>
      </c>
    </row>
    <row r="57" spans="1:11">
      <c r="A57" s="264">
        <v>22</v>
      </c>
      <c r="B57" s="285" t="s">
        <v>334</v>
      </c>
      <c r="C57" s="293">
        <v>5.2376180000000003</v>
      </c>
      <c r="D57" s="293">
        <v>-4.19679</v>
      </c>
      <c r="E57" s="293">
        <v>13.55499</v>
      </c>
      <c r="F57" s="293">
        <v>-20.178599999999999</v>
      </c>
      <c r="G57" s="295">
        <v>1.101332E-2</v>
      </c>
      <c r="H57" s="291">
        <v>0.99998100000000001</v>
      </c>
      <c r="I57" s="287">
        <v>6.1000000000000004E-3</v>
      </c>
      <c r="J57" s="288">
        <v>6</v>
      </c>
      <c r="K57" s="287">
        <v>2.2000000000000001E-3</v>
      </c>
    </row>
    <row r="58" spans="1:11">
      <c r="A58" s="264">
        <v>22</v>
      </c>
      <c r="B58" s="285" t="s">
        <v>45</v>
      </c>
      <c r="C58" s="293">
        <v>5.2634670000000003</v>
      </c>
      <c r="D58" s="293">
        <v>-4.2188309999999998</v>
      </c>
      <c r="E58" s="293">
        <v>13.623200000000001</v>
      </c>
      <c r="F58" s="293">
        <v>-20.270299999999999</v>
      </c>
      <c r="G58" s="295">
        <v>1.105885E-2</v>
      </c>
      <c r="H58" s="291">
        <v>0.99998100000000001</v>
      </c>
      <c r="I58" s="287">
        <v>6.1000000000000004E-3</v>
      </c>
      <c r="J58" s="288">
        <v>6</v>
      </c>
      <c r="K58" s="287">
        <v>2.2000000000000001E-3</v>
      </c>
    </row>
    <row r="59" spans="1:11">
      <c r="A59" s="264">
        <v>22</v>
      </c>
      <c r="B59" s="285" t="s">
        <v>46</v>
      </c>
      <c r="C59" s="293">
        <v>5.2998900000000004</v>
      </c>
      <c r="D59" s="293">
        <v>-4.249981</v>
      </c>
      <c r="E59" s="293">
        <v>13.719900000000001</v>
      </c>
      <c r="F59" s="293">
        <v>-20.400659999999998</v>
      </c>
      <c r="G59" s="295">
        <v>1.112374E-2</v>
      </c>
      <c r="H59" s="291">
        <v>0.99998100000000001</v>
      </c>
      <c r="I59" s="287">
        <v>6.1000000000000004E-3</v>
      </c>
      <c r="J59" s="288">
        <v>6</v>
      </c>
      <c r="K59" s="287">
        <v>2.2000000000000001E-3</v>
      </c>
    </row>
    <row r="60" spans="1:11">
      <c r="A60" s="264">
        <v>23</v>
      </c>
      <c r="B60" s="285" t="s">
        <v>47</v>
      </c>
      <c r="C60" s="293">
        <v>5.3123649999999998</v>
      </c>
      <c r="D60" s="293">
        <v>-4.0729639999999998</v>
      </c>
      <c r="E60" s="293">
        <v>12.604649999999999</v>
      </c>
      <c r="F60" s="293">
        <v>-18.01604</v>
      </c>
      <c r="G60" s="295">
        <v>9.4724739999999998E-3</v>
      </c>
      <c r="H60" s="291">
        <v>0.99999000000000005</v>
      </c>
      <c r="I60" s="287">
        <v>4.7000000000000002E-3</v>
      </c>
      <c r="J60" s="288">
        <v>2</v>
      </c>
      <c r="K60" s="287">
        <v>1.8E-3</v>
      </c>
    </row>
    <row r="61" spans="1:11">
      <c r="A61" s="264">
        <v>23</v>
      </c>
      <c r="B61" s="285" t="s">
        <v>48</v>
      </c>
      <c r="C61" s="293">
        <v>5.322114</v>
      </c>
      <c r="D61" s="293">
        <v>-4.0799760000000003</v>
      </c>
      <c r="E61" s="293">
        <v>12.621930000000001</v>
      </c>
      <c r="F61" s="293">
        <v>-18.032810000000001</v>
      </c>
      <c r="G61" s="295">
        <v>9.4773410000000002E-3</v>
      </c>
      <c r="H61" s="291">
        <v>0.99998900000000002</v>
      </c>
      <c r="I61" s="287">
        <v>4.7999999999999996E-3</v>
      </c>
      <c r="J61" s="288">
        <v>2</v>
      </c>
      <c r="K61" s="287">
        <v>1.8E-3</v>
      </c>
    </row>
    <row r="62" spans="1:11">
      <c r="A62" s="264">
        <v>23</v>
      </c>
      <c r="B62" s="285" t="s">
        <v>49</v>
      </c>
      <c r="C62" s="293">
        <v>5.3404749999999996</v>
      </c>
      <c r="D62" s="293">
        <v>-4.0934039999999996</v>
      </c>
      <c r="E62" s="293">
        <v>12.65587</v>
      </c>
      <c r="F62" s="293">
        <v>-18.067209999999999</v>
      </c>
      <c r="G62" s="295">
        <v>9.4883750000000003E-3</v>
      </c>
      <c r="H62" s="291">
        <v>0.99998900000000002</v>
      </c>
      <c r="I62" s="287">
        <v>5.0000000000000001E-3</v>
      </c>
      <c r="J62" s="288">
        <v>2</v>
      </c>
      <c r="K62" s="287">
        <v>1.8E-3</v>
      </c>
    </row>
    <row r="63" spans="1:11">
      <c r="A63" s="264">
        <v>23</v>
      </c>
      <c r="B63" s="285" t="s">
        <v>50</v>
      </c>
      <c r="C63" s="293">
        <v>5.366473</v>
      </c>
      <c r="D63" s="293">
        <v>-4.112527</v>
      </c>
      <c r="E63" s="293">
        <v>12.704610000000001</v>
      </c>
      <c r="F63" s="293">
        <v>-18.117249999999999</v>
      </c>
      <c r="G63" s="295">
        <v>9.5048619999999993E-3</v>
      </c>
      <c r="H63" s="291">
        <v>0.99998900000000002</v>
      </c>
      <c r="I63" s="287">
        <v>5.3E-3</v>
      </c>
      <c r="J63" s="288">
        <v>2</v>
      </c>
      <c r="K63" s="287">
        <v>1.8E-3</v>
      </c>
    </row>
    <row r="64" spans="1:11">
      <c r="A64" s="264">
        <v>23</v>
      </c>
      <c r="B64" s="285" t="s">
        <v>51</v>
      </c>
      <c r="C64" s="293">
        <v>5.3994759999999999</v>
      </c>
      <c r="D64" s="293">
        <v>-4.1368299999999998</v>
      </c>
      <c r="E64" s="293">
        <v>12.766629999999999</v>
      </c>
      <c r="F64" s="293">
        <v>-18.181000000000001</v>
      </c>
      <c r="G64" s="295">
        <v>9.5258870000000002E-3</v>
      </c>
      <c r="H64" s="291">
        <v>0.99998799999999999</v>
      </c>
      <c r="I64" s="287">
        <v>5.5999999999999999E-3</v>
      </c>
      <c r="J64" s="288">
        <v>2</v>
      </c>
      <c r="K64" s="287">
        <v>1.9E-3</v>
      </c>
    </row>
    <row r="65" spans="1:11">
      <c r="A65" s="264">
        <v>24</v>
      </c>
      <c r="B65" s="285" t="s">
        <v>52</v>
      </c>
      <c r="C65" s="293">
        <v>5.1858110000000002</v>
      </c>
      <c r="D65" s="293">
        <v>-3.7337389999999999</v>
      </c>
      <c r="E65" s="293">
        <v>10.85169</v>
      </c>
      <c r="F65" s="293">
        <v>-14.600440000000001</v>
      </c>
      <c r="G65" s="295">
        <v>7.2243400000000001E-3</v>
      </c>
      <c r="H65" s="291">
        <v>0.99997800000000003</v>
      </c>
      <c r="I65" s="287">
        <v>1.0500000000000001E-2</v>
      </c>
      <c r="J65" s="288">
        <v>2</v>
      </c>
      <c r="K65" s="287">
        <v>2.3999999999999998E-3</v>
      </c>
    </row>
    <row r="66" spans="1:11">
      <c r="A66" s="264">
        <v>24</v>
      </c>
      <c r="B66" s="285" t="s">
        <v>53</v>
      </c>
      <c r="C66" s="293">
        <v>5.1912750000000001</v>
      </c>
      <c r="D66" s="293">
        <v>-3.7359659999999999</v>
      </c>
      <c r="E66" s="293">
        <v>10.85037</v>
      </c>
      <c r="F66" s="293">
        <v>-14.586679999999999</v>
      </c>
      <c r="G66" s="295">
        <v>7.2111019999999996E-3</v>
      </c>
      <c r="H66" s="291">
        <v>0.99997800000000003</v>
      </c>
      <c r="I66" s="287">
        <v>1.06E-2</v>
      </c>
      <c r="J66" s="288">
        <v>2</v>
      </c>
      <c r="K66" s="287">
        <v>2.3999999999999998E-3</v>
      </c>
    </row>
    <row r="67" spans="1:11">
      <c r="A67" s="264">
        <v>24</v>
      </c>
      <c r="B67" s="285" t="s">
        <v>54</v>
      </c>
      <c r="C67" s="293">
        <v>5.2016960000000001</v>
      </c>
      <c r="D67" s="293">
        <v>-3.7406069999999998</v>
      </c>
      <c r="E67" s="293">
        <v>10.85036</v>
      </c>
      <c r="F67" s="293">
        <v>-14.565569999999999</v>
      </c>
      <c r="G67" s="295">
        <v>7.1893390000000003E-3</v>
      </c>
      <c r="H67" s="291">
        <v>0.999977</v>
      </c>
      <c r="I67" s="287">
        <v>1.0800000000000001E-2</v>
      </c>
      <c r="J67" s="288">
        <v>2</v>
      </c>
      <c r="K67" s="287">
        <v>2.5000000000000001E-3</v>
      </c>
    </row>
    <row r="68" spans="1:11">
      <c r="A68" s="264">
        <v>24</v>
      </c>
      <c r="B68" s="285" t="s">
        <v>55</v>
      </c>
      <c r="C68" s="293">
        <v>5.2165949999999999</v>
      </c>
      <c r="D68" s="293">
        <v>-3.7474310000000002</v>
      </c>
      <c r="E68" s="293">
        <v>10.851509999999999</v>
      </c>
      <c r="F68" s="293">
        <v>-14.53777</v>
      </c>
      <c r="G68" s="295">
        <v>7.1597989999999997E-3</v>
      </c>
      <c r="H68" s="291">
        <v>0.99997599999999998</v>
      </c>
      <c r="I68" s="287">
        <v>1.11E-2</v>
      </c>
      <c r="J68" s="288">
        <v>2</v>
      </c>
      <c r="K68" s="287">
        <v>2.5999999999999999E-3</v>
      </c>
    </row>
    <row r="69" spans="1:11">
      <c r="A69" s="264">
        <v>24</v>
      </c>
      <c r="B69" s="285" t="s">
        <v>56</v>
      </c>
      <c r="C69" s="293">
        <v>5.2355780000000003</v>
      </c>
      <c r="D69" s="293">
        <v>-3.756173</v>
      </c>
      <c r="E69" s="293">
        <v>10.853249999999999</v>
      </c>
      <c r="F69" s="293">
        <v>-14.50282</v>
      </c>
      <c r="G69" s="295">
        <v>7.1224280000000001E-3</v>
      </c>
      <c r="H69" s="291">
        <v>0.99997499999999995</v>
      </c>
      <c r="I69" s="287">
        <v>1.15E-2</v>
      </c>
      <c r="J69" s="288">
        <v>2</v>
      </c>
      <c r="K69" s="287">
        <v>2.7000000000000001E-3</v>
      </c>
    </row>
    <row r="70" spans="1:11">
      <c r="A70" s="264">
        <v>24</v>
      </c>
      <c r="B70" s="285" t="s">
        <v>57</v>
      </c>
      <c r="C70" s="293">
        <v>5.2583589999999996</v>
      </c>
      <c r="D70" s="293">
        <v>-3.7665709999999999</v>
      </c>
      <c r="E70" s="293">
        <v>10.854699999999999</v>
      </c>
      <c r="F70" s="293">
        <v>-14.459429999999999</v>
      </c>
      <c r="G70" s="295">
        <v>7.0765250000000002E-3</v>
      </c>
      <c r="H70" s="291">
        <v>0.999973</v>
      </c>
      <c r="I70" s="287">
        <v>1.2E-2</v>
      </c>
      <c r="J70" s="288">
        <v>2</v>
      </c>
      <c r="K70" s="287">
        <v>2.8E-3</v>
      </c>
    </row>
    <row r="71" spans="1:11">
      <c r="A71" s="264">
        <v>25</v>
      </c>
      <c r="B71" s="285" t="s">
        <v>58</v>
      </c>
      <c r="C71" s="293">
        <v>4.8886989999999999</v>
      </c>
      <c r="D71" s="293">
        <v>-3.2187920000000001</v>
      </c>
      <c r="E71" s="293">
        <v>8.4694230000000008</v>
      </c>
      <c r="F71" s="293">
        <v>-10.240740000000001</v>
      </c>
      <c r="G71" s="295">
        <v>4.4636859999999997E-3</v>
      </c>
      <c r="H71" s="291">
        <v>0.99995500000000004</v>
      </c>
      <c r="I71" s="287">
        <v>1.5800000000000002E-2</v>
      </c>
      <c r="J71" s="288">
        <v>2</v>
      </c>
      <c r="K71" s="287">
        <v>4.1000000000000003E-3</v>
      </c>
    </row>
    <row r="72" spans="1:11">
      <c r="A72" s="264">
        <v>25</v>
      </c>
      <c r="B72" s="285" t="s">
        <v>59</v>
      </c>
      <c r="C72" s="293">
        <v>4.8833120000000001</v>
      </c>
      <c r="D72" s="293">
        <v>-3.2150349999999999</v>
      </c>
      <c r="E72" s="293">
        <v>8.4618850000000005</v>
      </c>
      <c r="F72" s="293">
        <v>-10.23821</v>
      </c>
      <c r="G72" s="295">
        <v>4.4669289999999997E-3</v>
      </c>
      <c r="H72" s="291">
        <v>0.99995599999999996</v>
      </c>
      <c r="I72" s="287">
        <v>1.5599999999999999E-2</v>
      </c>
      <c r="J72" s="288">
        <v>2</v>
      </c>
      <c r="K72" s="287">
        <v>4.1000000000000003E-3</v>
      </c>
    </row>
    <row r="73" spans="1:11">
      <c r="A73" s="264">
        <v>25</v>
      </c>
      <c r="B73" s="285" t="s">
        <v>60</v>
      </c>
      <c r="C73" s="293">
        <v>4.8862259999999997</v>
      </c>
      <c r="D73" s="293">
        <v>-3.2116609999999999</v>
      </c>
      <c r="E73" s="293">
        <v>8.4318109999999997</v>
      </c>
      <c r="F73" s="293">
        <v>-10.16921</v>
      </c>
      <c r="G73" s="295">
        <v>4.4174770000000004E-3</v>
      </c>
      <c r="H73" s="291">
        <v>0.99995500000000004</v>
      </c>
      <c r="I73" s="287">
        <v>1.5900000000000001E-2</v>
      </c>
      <c r="J73" s="288">
        <v>2</v>
      </c>
      <c r="K73" s="287">
        <v>4.1999999999999997E-3</v>
      </c>
    </row>
    <row r="74" spans="1:11">
      <c r="A74" s="264">
        <v>25</v>
      </c>
      <c r="B74" s="285" t="s">
        <v>61</v>
      </c>
      <c r="C74" s="293">
        <v>4.8906580000000002</v>
      </c>
      <c r="D74" s="293">
        <v>-3.2072949999999998</v>
      </c>
      <c r="E74" s="293">
        <v>8.3909699999999994</v>
      </c>
      <c r="F74" s="293">
        <v>-10.07447</v>
      </c>
      <c r="G74" s="295">
        <v>4.3492230000000002E-3</v>
      </c>
      <c r="H74" s="291">
        <v>0.99995299999999998</v>
      </c>
      <c r="I74" s="287">
        <v>1.6199999999999999E-2</v>
      </c>
      <c r="J74" s="288">
        <v>2</v>
      </c>
      <c r="K74" s="287">
        <v>4.3E-3</v>
      </c>
    </row>
    <row r="75" spans="1:11">
      <c r="A75" s="264">
        <v>25</v>
      </c>
      <c r="B75" s="285" t="s">
        <v>62</v>
      </c>
      <c r="C75" s="293">
        <v>4.8964319999999999</v>
      </c>
      <c r="D75" s="293">
        <v>-3.2018979999999999</v>
      </c>
      <c r="E75" s="293">
        <v>8.3395949999999992</v>
      </c>
      <c r="F75" s="293">
        <v>-9.9547930000000004</v>
      </c>
      <c r="G75" s="295">
        <v>4.262839E-3</v>
      </c>
      <c r="H75" s="291">
        <v>0.99995100000000003</v>
      </c>
      <c r="I75" s="287">
        <v>1.66E-2</v>
      </c>
      <c r="J75" s="288">
        <v>2</v>
      </c>
      <c r="K75" s="287">
        <v>4.4000000000000003E-3</v>
      </c>
    </row>
    <row r="76" spans="1:11">
      <c r="A76" s="264">
        <v>25</v>
      </c>
      <c r="B76" s="285" t="s">
        <v>63</v>
      </c>
      <c r="C76" s="293">
        <v>4.9033559999999996</v>
      </c>
      <c r="D76" s="293">
        <v>-3.1953179999999999</v>
      </c>
      <c r="E76" s="293">
        <v>8.2772500000000004</v>
      </c>
      <c r="F76" s="293">
        <v>-9.809647</v>
      </c>
      <c r="G76" s="295">
        <v>4.1580710000000002E-3</v>
      </c>
      <c r="H76" s="291">
        <v>0.99994799999999995</v>
      </c>
      <c r="I76" s="287">
        <v>1.7100000000000001E-2</v>
      </c>
      <c r="J76" s="288">
        <v>2</v>
      </c>
      <c r="K76" s="287">
        <v>4.4999999999999997E-3</v>
      </c>
    </row>
    <row r="77" spans="1:11">
      <c r="A77" s="264">
        <v>25</v>
      </c>
      <c r="B77" s="285" t="s">
        <v>64</v>
      </c>
      <c r="C77" s="293">
        <v>4.9112200000000001</v>
      </c>
      <c r="D77" s="293">
        <v>-3.1873109999999998</v>
      </c>
      <c r="E77" s="293">
        <v>8.2029669999999992</v>
      </c>
      <c r="F77" s="293">
        <v>-9.6374019999999998</v>
      </c>
      <c r="G77" s="295">
        <v>4.033933E-3</v>
      </c>
      <c r="H77" s="291">
        <v>0.99994499999999997</v>
      </c>
      <c r="I77" s="287">
        <v>1.7600000000000001E-2</v>
      </c>
      <c r="J77" s="288">
        <v>2</v>
      </c>
      <c r="K77" s="287">
        <v>4.7000000000000002E-3</v>
      </c>
    </row>
    <row r="78" spans="1:11">
      <c r="A78" s="264">
        <v>26</v>
      </c>
      <c r="B78" s="285" t="s">
        <v>65</v>
      </c>
      <c r="C78" s="293">
        <v>4.451924</v>
      </c>
      <c r="D78" s="293">
        <v>-2.579793</v>
      </c>
      <c r="E78" s="293">
        <v>5.710356</v>
      </c>
      <c r="F78" s="293">
        <v>-5.4170449999999999</v>
      </c>
      <c r="G78" s="295">
        <v>1.505337E-3</v>
      </c>
      <c r="H78" s="291">
        <v>0.99993399999999999</v>
      </c>
      <c r="I78" s="287">
        <v>1.95E-2</v>
      </c>
      <c r="J78" s="288">
        <v>2</v>
      </c>
      <c r="K78" s="287">
        <v>5.7000000000000002E-3</v>
      </c>
    </row>
    <row r="79" spans="1:11">
      <c r="A79" s="264">
        <v>26</v>
      </c>
      <c r="B79" s="285" t="s">
        <v>66</v>
      </c>
      <c r="C79" s="293">
        <v>4.4497179999999998</v>
      </c>
      <c r="D79" s="293">
        <v>-2.5798049999999999</v>
      </c>
      <c r="E79" s="293">
        <v>5.7181170000000003</v>
      </c>
      <c r="F79" s="293">
        <v>-5.4403249999999996</v>
      </c>
      <c r="G79" s="295">
        <v>1.524133E-3</v>
      </c>
      <c r="H79" s="291">
        <v>0.99993500000000002</v>
      </c>
      <c r="I79" s="287">
        <v>1.9300000000000001E-2</v>
      </c>
      <c r="J79" s="288">
        <v>2</v>
      </c>
      <c r="K79" s="287">
        <v>5.7000000000000002E-3</v>
      </c>
    </row>
    <row r="80" spans="1:11">
      <c r="A80" s="264">
        <v>26</v>
      </c>
      <c r="B80" s="285" t="s">
        <v>67</v>
      </c>
      <c r="C80" s="293">
        <v>4.44618</v>
      </c>
      <c r="D80" s="293">
        <v>-2.5698150000000002</v>
      </c>
      <c r="E80" s="293">
        <v>5.664161</v>
      </c>
      <c r="F80" s="293">
        <v>-5.3345909999999996</v>
      </c>
      <c r="G80" s="295">
        <v>1.4541109999999999E-3</v>
      </c>
      <c r="H80" s="291">
        <v>0.99993399999999999</v>
      </c>
      <c r="I80" s="287">
        <v>1.9599999999999999E-2</v>
      </c>
      <c r="J80" s="288">
        <v>2</v>
      </c>
      <c r="K80" s="287">
        <v>5.7999999999999996E-3</v>
      </c>
    </row>
    <row r="81" spans="1:11">
      <c r="A81" s="264">
        <v>26</v>
      </c>
      <c r="B81" s="285" t="s">
        <v>68</v>
      </c>
      <c r="C81" s="293">
        <v>4.4416549999999999</v>
      </c>
      <c r="D81" s="293">
        <v>-2.55626</v>
      </c>
      <c r="E81" s="293">
        <v>5.5901350000000001</v>
      </c>
      <c r="F81" s="293">
        <v>-5.188796</v>
      </c>
      <c r="G81" s="295">
        <v>1.357278E-3</v>
      </c>
      <c r="H81" s="291">
        <v>0.99993200000000004</v>
      </c>
      <c r="I81" s="287">
        <v>1.9900000000000001E-2</v>
      </c>
      <c r="J81" s="288">
        <v>2</v>
      </c>
      <c r="K81" s="287">
        <v>5.8999999999999999E-3</v>
      </c>
    </row>
    <row r="82" spans="1:11">
      <c r="A82" s="264">
        <v>26</v>
      </c>
      <c r="B82" s="285" t="s">
        <v>69</v>
      </c>
      <c r="C82" s="293">
        <v>4.4361560000000004</v>
      </c>
      <c r="D82" s="293">
        <v>-2.539285</v>
      </c>
      <c r="E82" s="293">
        <v>5.4969229999999998</v>
      </c>
      <c r="F82" s="293">
        <v>-5.0047490000000003</v>
      </c>
      <c r="G82" s="295">
        <v>1.234855E-3</v>
      </c>
      <c r="H82" s="291">
        <v>0.99992999999999999</v>
      </c>
      <c r="I82" s="287">
        <v>2.0199999999999999E-2</v>
      </c>
      <c r="J82" s="288">
        <v>2</v>
      </c>
      <c r="K82" s="287">
        <v>6.0000000000000001E-3</v>
      </c>
    </row>
    <row r="83" spans="1:11">
      <c r="A83" s="264">
        <v>26</v>
      </c>
      <c r="B83" s="285" t="s">
        <v>70</v>
      </c>
      <c r="C83" s="293">
        <v>4.429608</v>
      </c>
      <c r="D83" s="293">
        <v>-2.5188670000000002</v>
      </c>
      <c r="E83" s="293">
        <v>5.3845879999999999</v>
      </c>
      <c r="F83" s="293">
        <v>-4.7827190000000002</v>
      </c>
      <c r="G83" s="295">
        <v>1.0870700000000001E-3</v>
      </c>
      <c r="H83" s="291">
        <v>0.99992700000000001</v>
      </c>
      <c r="I83" s="287">
        <v>2.07E-2</v>
      </c>
      <c r="J83" s="288">
        <v>2</v>
      </c>
      <c r="K83" s="287">
        <v>6.1999999999999998E-3</v>
      </c>
    </row>
    <row r="84" spans="1:11">
      <c r="A84" s="264">
        <v>27</v>
      </c>
      <c r="B84" s="285" t="s">
        <v>71</v>
      </c>
      <c r="C84" s="293">
        <v>3.9503379999999999</v>
      </c>
      <c r="D84" s="293">
        <v>-1.9028080000000001</v>
      </c>
      <c r="E84" s="293">
        <v>2.9180809999999999</v>
      </c>
      <c r="F84" s="293">
        <v>-0.703206</v>
      </c>
      <c r="G84" s="295">
        <v>-1.3069500000000001E-3</v>
      </c>
      <c r="H84" s="291">
        <v>0.99992400000000004</v>
      </c>
      <c r="I84" s="287">
        <v>2.1399999999999999E-2</v>
      </c>
      <c r="J84" s="288">
        <v>2</v>
      </c>
      <c r="K84" s="287">
        <v>6.8999999999999999E-3</v>
      </c>
    </row>
    <row r="85" spans="1:11">
      <c r="A85" s="264">
        <v>27</v>
      </c>
      <c r="B85" s="285" t="s">
        <v>72</v>
      </c>
      <c r="C85" s="293">
        <v>3.944912</v>
      </c>
      <c r="D85" s="293">
        <v>-1.8937729999999999</v>
      </c>
      <c r="E85" s="293">
        <v>2.8758300000000001</v>
      </c>
      <c r="F85" s="293">
        <v>-0.62609389999999998</v>
      </c>
      <c r="G85" s="295">
        <v>-1.3558540000000001E-3</v>
      </c>
      <c r="H85" s="291">
        <v>0.99992300000000001</v>
      </c>
      <c r="I85" s="287">
        <v>2.1499999999999998E-2</v>
      </c>
      <c r="J85" s="288">
        <v>2</v>
      </c>
      <c r="K85" s="287">
        <v>7.0000000000000001E-3</v>
      </c>
    </row>
    <row r="86" spans="1:11">
      <c r="A86" s="264">
        <v>27</v>
      </c>
      <c r="B86" s="285" t="s">
        <v>73</v>
      </c>
      <c r="C86" s="293">
        <v>3.936293</v>
      </c>
      <c r="D86" s="293">
        <v>-1.878857</v>
      </c>
      <c r="E86" s="293">
        <v>2.8051010000000001</v>
      </c>
      <c r="F86" s="293">
        <v>-0.49604330000000002</v>
      </c>
      <c r="G86" s="295">
        <v>-1.438712E-3</v>
      </c>
      <c r="H86" s="291">
        <v>0.99992199999999998</v>
      </c>
      <c r="I86" s="287">
        <v>2.1700000000000001E-2</v>
      </c>
      <c r="J86" s="288">
        <v>2</v>
      </c>
      <c r="K86" s="287">
        <v>7.0000000000000001E-3</v>
      </c>
    </row>
    <row r="87" spans="1:11">
      <c r="A87" s="264">
        <v>27</v>
      </c>
      <c r="B87" s="285" t="s">
        <v>74</v>
      </c>
      <c r="C87" s="293">
        <v>3.9247610000000002</v>
      </c>
      <c r="D87" s="293">
        <v>-1.858509</v>
      </c>
      <c r="E87" s="293">
        <v>2.7079589999999998</v>
      </c>
      <c r="F87" s="293">
        <v>-0.3167722</v>
      </c>
      <c r="G87" s="295">
        <v>-1.5531900000000001E-3</v>
      </c>
      <c r="H87" s="291">
        <v>0.99992099999999995</v>
      </c>
      <c r="I87" s="287">
        <v>2.1899999999999999E-2</v>
      </c>
      <c r="J87" s="288">
        <v>2</v>
      </c>
      <c r="K87" s="287">
        <v>7.1000000000000004E-3</v>
      </c>
    </row>
    <row r="88" spans="1:11">
      <c r="A88" s="264">
        <v>27</v>
      </c>
      <c r="B88" s="285" t="s">
        <v>75</v>
      </c>
      <c r="C88" s="293">
        <v>3.910479</v>
      </c>
      <c r="D88" s="293">
        <v>-1.833013</v>
      </c>
      <c r="E88" s="293">
        <v>2.5857519999999998</v>
      </c>
      <c r="F88" s="293">
        <v>-9.0765360000000003E-2</v>
      </c>
      <c r="G88" s="295">
        <v>-1.6977050000000001E-3</v>
      </c>
      <c r="H88" s="291">
        <v>0.999919</v>
      </c>
      <c r="I88" s="287">
        <v>2.2200000000000001E-2</v>
      </c>
      <c r="J88" s="288">
        <v>2</v>
      </c>
      <c r="K88" s="287">
        <v>7.3000000000000001E-3</v>
      </c>
    </row>
    <row r="89" spans="1:11">
      <c r="A89" s="264">
        <v>28</v>
      </c>
      <c r="B89" s="285" t="s">
        <v>76</v>
      </c>
      <c r="C89" s="293">
        <v>3.4261509999999999</v>
      </c>
      <c r="D89" s="293">
        <v>-1.2239910000000001</v>
      </c>
      <c r="E89" s="293">
        <v>0.20338030000000001</v>
      </c>
      <c r="F89" s="293">
        <v>3.7581229999999999</v>
      </c>
      <c r="G89" s="295">
        <v>-3.907453E-3</v>
      </c>
      <c r="H89" s="291">
        <v>0.99992300000000001</v>
      </c>
      <c r="I89" s="287">
        <v>2.1899999999999999E-2</v>
      </c>
      <c r="J89" s="288">
        <v>2</v>
      </c>
      <c r="K89" s="287">
        <v>7.7000000000000002E-3</v>
      </c>
    </row>
    <row r="90" spans="1:11">
      <c r="A90" s="264">
        <v>28</v>
      </c>
      <c r="B90" s="285" t="s">
        <v>77</v>
      </c>
      <c r="C90" s="293">
        <v>3.4185180000000002</v>
      </c>
      <c r="D90" s="293">
        <v>-1.212977</v>
      </c>
      <c r="E90" s="293">
        <v>0.15499270000000001</v>
      </c>
      <c r="F90" s="293">
        <v>3.843197</v>
      </c>
      <c r="G90" s="295">
        <v>-3.9600440000000002E-3</v>
      </c>
      <c r="H90" s="291">
        <v>0.99992300000000001</v>
      </c>
      <c r="I90" s="287">
        <v>2.1899999999999999E-2</v>
      </c>
      <c r="J90" s="288">
        <v>2</v>
      </c>
      <c r="K90" s="287">
        <v>7.7000000000000002E-3</v>
      </c>
    </row>
    <row r="91" spans="1:11">
      <c r="A91" s="264">
        <v>28</v>
      </c>
      <c r="B91" s="285" t="s">
        <v>78</v>
      </c>
      <c r="C91" s="293">
        <v>3.4062570000000001</v>
      </c>
      <c r="D91" s="293">
        <v>-1.194839</v>
      </c>
      <c r="E91" s="293">
        <v>7.4449899999999999E-2</v>
      </c>
      <c r="F91" s="293">
        <v>3.9856859999999998</v>
      </c>
      <c r="G91" s="295">
        <v>-4.0484800000000001E-3</v>
      </c>
      <c r="H91" s="291">
        <v>0.99992199999999998</v>
      </c>
      <c r="I91" s="287">
        <v>2.2100000000000002E-2</v>
      </c>
      <c r="J91" s="288">
        <v>2</v>
      </c>
      <c r="K91" s="287">
        <v>7.7999999999999996E-3</v>
      </c>
    </row>
    <row r="92" spans="1:11">
      <c r="A92" s="264">
        <v>28</v>
      </c>
      <c r="B92" s="285" t="s">
        <v>79</v>
      </c>
      <c r="C92" s="293">
        <v>3.3897499999999998</v>
      </c>
      <c r="D92" s="293">
        <v>-1.1700950000000001</v>
      </c>
      <c r="E92" s="293">
        <v>-3.6031399999999998E-2</v>
      </c>
      <c r="F92" s="293">
        <v>4.1817549999999999</v>
      </c>
      <c r="G92" s="295">
        <v>-4.1704159999999997E-3</v>
      </c>
      <c r="H92" s="291">
        <v>0.99992099999999995</v>
      </c>
      <c r="I92" s="287">
        <v>2.23E-2</v>
      </c>
      <c r="J92" s="288">
        <v>2</v>
      </c>
      <c r="K92" s="287">
        <v>7.9000000000000008E-3</v>
      </c>
    </row>
    <row r="93" spans="1:11">
      <c r="A93" s="264">
        <v>29</v>
      </c>
      <c r="B93" s="285" t="s">
        <v>80</v>
      </c>
      <c r="C93" s="293">
        <v>2.9199380000000001</v>
      </c>
      <c r="D93" s="293">
        <v>-0.5934509</v>
      </c>
      <c r="E93" s="293">
        <v>-2.22723</v>
      </c>
      <c r="F93" s="293">
        <v>7.6173229999999998</v>
      </c>
      <c r="G93" s="295">
        <v>-6.0860039999999999E-3</v>
      </c>
      <c r="H93" s="291">
        <v>0.99993200000000004</v>
      </c>
      <c r="I93" s="287">
        <v>2.0899999999999998E-2</v>
      </c>
      <c r="J93" s="288">
        <v>2</v>
      </c>
      <c r="K93" s="287">
        <v>7.9000000000000008E-3</v>
      </c>
    </row>
    <row r="94" spans="1:11">
      <c r="A94" s="264">
        <v>29</v>
      </c>
      <c r="B94" s="285" t="s">
        <v>81</v>
      </c>
      <c r="C94" s="293">
        <v>2.9108550000000002</v>
      </c>
      <c r="D94" s="293">
        <v>-0.58133619999999997</v>
      </c>
      <c r="E94" s="293">
        <v>-2.2782230000000001</v>
      </c>
      <c r="F94" s="293">
        <v>7.7044269999999999</v>
      </c>
      <c r="G94" s="295">
        <v>-6.1387079999999997E-3</v>
      </c>
      <c r="H94" s="291">
        <v>0.99993200000000004</v>
      </c>
      <c r="I94" s="287">
        <v>2.0899999999999998E-2</v>
      </c>
      <c r="J94" s="288">
        <v>2</v>
      </c>
      <c r="K94" s="287">
        <v>7.9000000000000008E-3</v>
      </c>
    </row>
    <row r="95" spans="1:11">
      <c r="A95" s="264">
        <v>29</v>
      </c>
      <c r="B95" s="285" t="s">
        <v>82</v>
      </c>
      <c r="C95" s="293">
        <v>2.8962910000000002</v>
      </c>
      <c r="D95" s="293">
        <v>-0.56150949999999999</v>
      </c>
      <c r="E95" s="293">
        <v>-2.3624809999999998</v>
      </c>
      <c r="F95" s="293">
        <v>7.8491720000000003</v>
      </c>
      <c r="G95" s="295">
        <v>-6.2266159999999999E-3</v>
      </c>
      <c r="H95" s="291">
        <v>0.99993100000000001</v>
      </c>
      <c r="I95" s="287">
        <v>2.1000000000000001E-2</v>
      </c>
      <c r="J95" s="288">
        <v>2</v>
      </c>
      <c r="K95" s="287">
        <v>8.0000000000000002E-3</v>
      </c>
    </row>
    <row r="96" spans="1:11">
      <c r="A96" s="264">
        <v>29</v>
      </c>
      <c r="B96" s="285" t="s">
        <v>83</v>
      </c>
      <c r="C96" s="293">
        <v>2.876681</v>
      </c>
      <c r="D96" s="293">
        <v>-0.53451249999999995</v>
      </c>
      <c r="E96" s="293">
        <v>-2.477792</v>
      </c>
      <c r="F96" s="293">
        <v>8.0478489999999994</v>
      </c>
      <c r="G96" s="295">
        <v>-6.3475069999999996E-3</v>
      </c>
      <c r="H96" s="291">
        <v>0.99992999999999999</v>
      </c>
      <c r="I96" s="287">
        <v>2.12E-2</v>
      </c>
      <c r="J96" s="288">
        <v>2</v>
      </c>
      <c r="K96" s="287">
        <v>8.0000000000000002E-3</v>
      </c>
    </row>
    <row r="97" spans="1:11">
      <c r="A97" s="264">
        <v>30</v>
      </c>
      <c r="B97" s="285" t="s">
        <v>335</v>
      </c>
      <c r="C97" s="293">
        <v>2.45126</v>
      </c>
      <c r="D97" s="293">
        <v>-2.9198080000000001E-2</v>
      </c>
      <c r="E97" s="293">
        <v>-4.315639</v>
      </c>
      <c r="F97" s="293">
        <v>10.7973</v>
      </c>
      <c r="G97" s="295">
        <v>-7.8069020000000001E-3</v>
      </c>
      <c r="H97" s="291">
        <v>0.999946</v>
      </c>
      <c r="I97" s="287">
        <v>1.8700000000000001E-2</v>
      </c>
      <c r="J97" s="288">
        <v>2</v>
      </c>
      <c r="K97" s="287">
        <v>7.6E-3</v>
      </c>
    </row>
    <row r="98" spans="1:11">
      <c r="A98" s="264">
        <v>31</v>
      </c>
      <c r="B98" s="285" t="s">
        <v>84</v>
      </c>
      <c r="C98" s="293">
        <v>2.0201989999999999</v>
      </c>
      <c r="D98" s="293">
        <v>0.4740492</v>
      </c>
      <c r="E98" s="293">
        <v>-6.1010419999999996</v>
      </c>
      <c r="F98" s="293">
        <v>13.39001</v>
      </c>
      <c r="G98" s="295">
        <v>-9.1385259999999992E-3</v>
      </c>
      <c r="H98" s="291">
        <v>0.99995999999999996</v>
      </c>
      <c r="I98" s="287">
        <v>1.7500000000000002E-2</v>
      </c>
      <c r="J98" s="288">
        <v>6</v>
      </c>
      <c r="K98" s="287">
        <v>7.0000000000000001E-3</v>
      </c>
    </row>
    <row r="99" spans="1:11">
      <c r="A99" s="264">
        <v>31</v>
      </c>
      <c r="B99" s="285" t="s">
        <v>85</v>
      </c>
      <c r="C99" s="293">
        <v>2.0291679999999999</v>
      </c>
      <c r="D99" s="293">
        <v>0.46255000000000002</v>
      </c>
      <c r="E99" s="293">
        <v>-6.0524310000000003</v>
      </c>
      <c r="F99" s="293">
        <v>13.30594</v>
      </c>
      <c r="G99" s="295">
        <v>-9.0871960000000005E-3</v>
      </c>
      <c r="H99" s="291">
        <v>0.99995999999999996</v>
      </c>
      <c r="I99" s="287">
        <v>1.7399999999999999E-2</v>
      </c>
      <c r="J99" s="288">
        <v>6</v>
      </c>
      <c r="K99" s="287">
        <v>7.0000000000000001E-3</v>
      </c>
    </row>
    <row r="100" spans="1:11">
      <c r="A100" s="264">
        <v>31</v>
      </c>
      <c r="B100" s="285" t="s">
        <v>86</v>
      </c>
      <c r="C100" s="293">
        <v>2.0424570000000002</v>
      </c>
      <c r="D100" s="293">
        <v>0.44554579999999999</v>
      </c>
      <c r="E100" s="293">
        <v>-5.9805479999999998</v>
      </c>
      <c r="F100" s="293">
        <v>13.181570000000001</v>
      </c>
      <c r="G100" s="295">
        <v>-9.0112149999999995E-3</v>
      </c>
      <c r="H100" s="291">
        <v>0.99996099999999999</v>
      </c>
      <c r="I100" s="287">
        <v>1.7299999999999999E-2</v>
      </c>
      <c r="J100" s="288">
        <v>6</v>
      </c>
      <c r="K100" s="287">
        <v>6.8999999999999999E-3</v>
      </c>
    </row>
    <row r="101" spans="1:11">
      <c r="A101" s="264">
        <v>32</v>
      </c>
      <c r="B101" s="285" t="s">
        <v>87</v>
      </c>
      <c r="C101" s="293">
        <v>1.6712750000000001</v>
      </c>
      <c r="D101" s="293">
        <v>0.86216870000000001</v>
      </c>
      <c r="E101" s="293">
        <v>-7.363772</v>
      </c>
      <c r="F101" s="293">
        <v>15.029489999999999</v>
      </c>
      <c r="G101" s="295">
        <v>-9.8650230000000005E-3</v>
      </c>
      <c r="H101" s="291">
        <v>0.99997400000000003</v>
      </c>
      <c r="I101" s="287">
        <v>1.61E-2</v>
      </c>
      <c r="J101" s="288">
        <v>6</v>
      </c>
      <c r="K101" s="287">
        <v>6.0000000000000001E-3</v>
      </c>
    </row>
    <row r="102" spans="1:11">
      <c r="A102" s="264">
        <v>32</v>
      </c>
      <c r="B102" s="285" t="s">
        <v>88</v>
      </c>
      <c r="C102" s="293">
        <v>1.6736409999999999</v>
      </c>
      <c r="D102" s="293">
        <v>0.85952810000000002</v>
      </c>
      <c r="E102" s="293">
        <v>-7.3551080000000004</v>
      </c>
      <c r="F102" s="293">
        <v>15.01829</v>
      </c>
      <c r="G102" s="295">
        <v>-9.859942E-3</v>
      </c>
      <c r="H102" s="291">
        <v>0.99997400000000003</v>
      </c>
      <c r="I102" s="287">
        <v>1.61E-2</v>
      </c>
      <c r="J102" s="288">
        <v>6</v>
      </c>
      <c r="K102" s="287">
        <v>6.0000000000000001E-3</v>
      </c>
    </row>
    <row r="103" spans="1:11">
      <c r="A103" s="264">
        <v>32</v>
      </c>
      <c r="B103" s="285" t="s">
        <v>89</v>
      </c>
      <c r="C103" s="293">
        <v>1.6873</v>
      </c>
      <c r="D103" s="293">
        <v>0.84275829999999996</v>
      </c>
      <c r="E103" s="293">
        <v>-7.2863309999999997</v>
      </c>
      <c r="F103" s="293">
        <v>14.90216</v>
      </c>
      <c r="G103" s="295">
        <v>-9.7904180000000004E-3</v>
      </c>
      <c r="H103" s="291">
        <v>0.99997400000000003</v>
      </c>
      <c r="I103" s="287">
        <v>1.6E-2</v>
      </c>
      <c r="J103" s="288">
        <v>6</v>
      </c>
      <c r="K103" s="287">
        <v>6.0000000000000001E-3</v>
      </c>
    </row>
    <row r="104" spans="1:11">
      <c r="A104" s="264">
        <v>32</v>
      </c>
      <c r="B104" s="285" t="s">
        <v>90</v>
      </c>
      <c r="C104" s="293">
        <v>1.7057580000000001</v>
      </c>
      <c r="D104" s="293">
        <v>0.82014370000000003</v>
      </c>
      <c r="E104" s="293">
        <v>-7.193638</v>
      </c>
      <c r="F104" s="293">
        <v>14.74567</v>
      </c>
      <c r="G104" s="295">
        <v>-9.6967230000000008E-3</v>
      </c>
      <c r="H104" s="291">
        <v>0.99997499999999995</v>
      </c>
      <c r="I104" s="287">
        <v>1.5900000000000001E-2</v>
      </c>
      <c r="J104" s="288">
        <v>6</v>
      </c>
      <c r="K104" s="287">
        <v>6.0000000000000001E-3</v>
      </c>
    </row>
    <row r="105" spans="1:11">
      <c r="A105" s="264">
        <v>33</v>
      </c>
      <c r="B105" s="285" t="s">
        <v>336</v>
      </c>
      <c r="C105" s="293">
        <v>1.400728</v>
      </c>
      <c r="D105" s="293">
        <v>1.14585</v>
      </c>
      <c r="E105" s="293">
        <v>-8.1707230000000006</v>
      </c>
      <c r="F105" s="293">
        <v>15.863810000000001</v>
      </c>
      <c r="G105" s="295">
        <v>-1.009343E-2</v>
      </c>
      <c r="H105" s="291">
        <v>0.99998500000000001</v>
      </c>
      <c r="I105" s="287">
        <v>1.3899999999999999E-2</v>
      </c>
      <c r="J105" s="288">
        <v>6</v>
      </c>
      <c r="K105" s="287">
        <v>4.7999999999999996E-3</v>
      </c>
    </row>
    <row r="106" spans="1:11">
      <c r="A106" s="264">
        <v>33</v>
      </c>
      <c r="B106" s="285" t="s">
        <v>91</v>
      </c>
      <c r="C106" s="293">
        <v>1.4050959999999999</v>
      </c>
      <c r="D106" s="293">
        <v>1.1411</v>
      </c>
      <c r="E106" s="293">
        <v>-8.1549800000000001</v>
      </c>
      <c r="F106" s="293">
        <v>15.8428</v>
      </c>
      <c r="G106" s="295">
        <v>-1.0083440000000001E-2</v>
      </c>
      <c r="H106" s="291">
        <v>0.99998500000000001</v>
      </c>
      <c r="I106" s="287">
        <v>1.3899999999999999E-2</v>
      </c>
      <c r="J106" s="288">
        <v>6</v>
      </c>
      <c r="K106" s="287">
        <v>4.7999999999999996E-3</v>
      </c>
    </row>
    <row r="107" spans="1:11">
      <c r="A107" s="264">
        <v>33</v>
      </c>
      <c r="B107" s="285" t="s">
        <v>337</v>
      </c>
      <c r="C107" s="293">
        <v>1.4469449999999999</v>
      </c>
      <c r="D107" s="293">
        <v>1.091669</v>
      </c>
      <c r="E107" s="293">
        <v>-7.9582940000000004</v>
      </c>
      <c r="F107" s="293">
        <v>15.51909</v>
      </c>
      <c r="G107" s="295">
        <v>-9.8938959999999992E-3</v>
      </c>
      <c r="H107" s="291">
        <v>0.99998500000000001</v>
      </c>
      <c r="I107" s="287">
        <v>1.37E-2</v>
      </c>
      <c r="J107" s="288">
        <v>6</v>
      </c>
      <c r="K107" s="287">
        <v>4.7999999999999996E-3</v>
      </c>
    </row>
    <row r="108" spans="1:11">
      <c r="A108" s="264">
        <v>34</v>
      </c>
      <c r="B108" s="285" t="s">
        <v>338</v>
      </c>
      <c r="C108" s="293">
        <v>1.2059759999999999</v>
      </c>
      <c r="D108" s="293">
        <v>1.3313410000000001</v>
      </c>
      <c r="E108" s="293">
        <v>-8.5573090000000001</v>
      </c>
      <c r="F108" s="293">
        <v>15.968260000000001</v>
      </c>
      <c r="G108" s="295">
        <v>-9.8777380000000005E-3</v>
      </c>
      <c r="H108" s="291">
        <v>0.99999300000000002</v>
      </c>
      <c r="I108" s="287">
        <v>1.09E-2</v>
      </c>
      <c r="J108" s="288">
        <v>6</v>
      </c>
      <c r="K108" s="287">
        <v>3.5000000000000001E-3</v>
      </c>
    </row>
    <row r="109" spans="1:11">
      <c r="A109" s="264">
        <v>34</v>
      </c>
      <c r="B109" s="285" t="s">
        <v>339</v>
      </c>
      <c r="C109" s="293">
        <v>1.2163520000000001</v>
      </c>
      <c r="D109" s="293">
        <v>1.3205180000000001</v>
      </c>
      <c r="E109" s="293">
        <v>-8.522786</v>
      </c>
      <c r="F109" s="293">
        <v>15.92404</v>
      </c>
      <c r="G109" s="295">
        <v>-9.8576749999999998E-3</v>
      </c>
      <c r="H109" s="291">
        <v>0.99999300000000002</v>
      </c>
      <c r="I109" s="287">
        <v>1.0999999999999999E-2</v>
      </c>
      <c r="J109" s="288">
        <v>6</v>
      </c>
      <c r="K109" s="287">
        <v>3.5000000000000001E-3</v>
      </c>
    </row>
    <row r="110" spans="1:11">
      <c r="A110" s="264">
        <v>34</v>
      </c>
      <c r="B110" s="285" t="s">
        <v>340</v>
      </c>
      <c r="C110" s="293">
        <v>1.266861</v>
      </c>
      <c r="D110" s="293">
        <v>1.2629239999999999</v>
      </c>
      <c r="E110" s="293">
        <v>-8.3006689999999992</v>
      </c>
      <c r="F110" s="293">
        <v>15.56873</v>
      </c>
      <c r="G110" s="295">
        <v>-9.6549900000000004E-3</v>
      </c>
      <c r="H110" s="291">
        <v>0.99999300000000002</v>
      </c>
      <c r="I110" s="287">
        <v>1.0800000000000001E-2</v>
      </c>
      <c r="J110" s="288">
        <v>6</v>
      </c>
      <c r="K110" s="287">
        <v>3.5000000000000001E-3</v>
      </c>
    </row>
    <row r="111" spans="1:11">
      <c r="A111" s="264">
        <v>35</v>
      </c>
      <c r="B111" s="285" t="s">
        <v>92</v>
      </c>
      <c r="C111" s="293">
        <v>1.086128</v>
      </c>
      <c r="D111" s="293">
        <v>1.4229130000000001</v>
      </c>
      <c r="E111" s="293">
        <v>-8.5540009999999995</v>
      </c>
      <c r="F111" s="293">
        <v>15.41499</v>
      </c>
      <c r="G111" s="295">
        <v>-9.2723409999999999E-3</v>
      </c>
      <c r="H111" s="291">
        <v>0.99999700000000002</v>
      </c>
      <c r="I111" s="287">
        <v>7.4999999999999997E-3</v>
      </c>
      <c r="J111" s="288">
        <v>6</v>
      </c>
      <c r="K111" s="287">
        <v>2.5000000000000001E-3</v>
      </c>
    </row>
    <row r="112" spans="1:11">
      <c r="A112" s="264">
        <v>35</v>
      </c>
      <c r="B112" s="285" t="s">
        <v>341</v>
      </c>
      <c r="C112" s="293">
        <v>1.0917650000000001</v>
      </c>
      <c r="D112" s="293">
        <v>1.417408</v>
      </c>
      <c r="E112" s="293">
        <v>-8.5384239999999991</v>
      </c>
      <c r="F112" s="293">
        <v>15.39833</v>
      </c>
      <c r="G112" s="295">
        <v>-9.2666350000000005E-3</v>
      </c>
      <c r="H112" s="291">
        <v>0.99999700000000002</v>
      </c>
      <c r="I112" s="287">
        <v>7.6E-3</v>
      </c>
      <c r="J112" s="288">
        <v>6</v>
      </c>
      <c r="K112" s="287">
        <v>2.5000000000000001E-3</v>
      </c>
    </row>
    <row r="113" spans="1:11">
      <c r="A113" s="264">
        <v>35</v>
      </c>
      <c r="B113" s="285" t="s">
        <v>93</v>
      </c>
      <c r="C113" s="293">
        <v>1.0976109999999999</v>
      </c>
      <c r="D113" s="293">
        <v>1.411572</v>
      </c>
      <c r="E113" s="293">
        <v>-8.520664</v>
      </c>
      <c r="F113" s="293">
        <v>15.37683</v>
      </c>
      <c r="G113" s="295">
        <v>-9.2575639999999994E-3</v>
      </c>
      <c r="H113" s="291">
        <v>0.99999700000000002</v>
      </c>
      <c r="I113" s="287">
        <v>7.6E-3</v>
      </c>
      <c r="J113" s="288">
        <v>6</v>
      </c>
      <c r="K113" s="287">
        <v>2.5000000000000001E-3</v>
      </c>
    </row>
    <row r="114" spans="1:11">
      <c r="A114" s="264">
        <v>35</v>
      </c>
      <c r="B114" s="285" t="s">
        <v>94</v>
      </c>
      <c r="C114" s="293">
        <v>1.1057790000000001</v>
      </c>
      <c r="D114" s="293">
        <v>1.403386</v>
      </c>
      <c r="E114" s="293">
        <v>-8.4953140000000005</v>
      </c>
      <c r="F114" s="293">
        <v>15.3453</v>
      </c>
      <c r="G114" s="295">
        <v>-9.2437639999999998E-3</v>
      </c>
      <c r="H114" s="291">
        <v>0.99999700000000002</v>
      </c>
      <c r="I114" s="287">
        <v>7.6E-3</v>
      </c>
      <c r="J114" s="288">
        <v>6</v>
      </c>
      <c r="K114" s="287">
        <v>2.5000000000000001E-3</v>
      </c>
    </row>
    <row r="115" spans="1:11">
      <c r="A115" s="264">
        <v>35</v>
      </c>
      <c r="B115" s="285" t="s">
        <v>342</v>
      </c>
      <c r="C115" s="293">
        <v>1.1629700000000001</v>
      </c>
      <c r="D115" s="293">
        <v>1.340471</v>
      </c>
      <c r="E115" s="293">
        <v>-8.2609999999999992</v>
      </c>
      <c r="F115" s="293">
        <v>14.983040000000001</v>
      </c>
      <c r="G115" s="295">
        <v>-9.0438749999999998E-3</v>
      </c>
      <c r="H115" s="291">
        <v>0.99999700000000002</v>
      </c>
      <c r="I115" s="287">
        <v>7.4999999999999997E-3</v>
      </c>
      <c r="J115" s="288">
        <v>6</v>
      </c>
      <c r="K115" s="287">
        <v>2.5000000000000001E-3</v>
      </c>
    </row>
    <row r="116" spans="1:11">
      <c r="A116" s="264">
        <v>35</v>
      </c>
      <c r="B116" s="285" t="s">
        <v>343</v>
      </c>
      <c r="C116" s="293">
        <v>1.0865860000000001</v>
      </c>
      <c r="D116" s="293">
        <v>1.4222060000000001</v>
      </c>
      <c r="E116" s="293">
        <v>-8.549747</v>
      </c>
      <c r="F116" s="293">
        <v>15.405939999999999</v>
      </c>
      <c r="G116" s="295">
        <v>-9.2661870000000004E-3</v>
      </c>
      <c r="H116" s="291">
        <v>0.99999700000000002</v>
      </c>
      <c r="I116" s="287">
        <v>7.4999999999999997E-3</v>
      </c>
      <c r="J116" s="288">
        <v>6</v>
      </c>
      <c r="K116" s="287">
        <v>2.5000000000000001E-3</v>
      </c>
    </row>
    <row r="117" spans="1:11">
      <c r="A117" s="264">
        <v>36</v>
      </c>
      <c r="B117" s="285" t="s">
        <v>344</v>
      </c>
      <c r="C117" s="293">
        <v>1.0436719999999999</v>
      </c>
      <c r="D117" s="293">
        <v>1.422196</v>
      </c>
      <c r="E117" s="293">
        <v>-8.1876809999999995</v>
      </c>
      <c r="F117" s="293">
        <v>14.27894</v>
      </c>
      <c r="G117" s="295">
        <v>-8.3366480000000003E-3</v>
      </c>
      <c r="H117" s="291">
        <v>0.99999700000000002</v>
      </c>
      <c r="I117" s="287">
        <v>7.1000000000000004E-3</v>
      </c>
      <c r="J117" s="288">
        <v>2</v>
      </c>
      <c r="K117" s="287">
        <v>2.3E-3</v>
      </c>
    </row>
    <row r="118" spans="1:11">
      <c r="A118" s="264">
        <v>37</v>
      </c>
      <c r="B118" s="285" t="s">
        <v>95</v>
      </c>
      <c r="C118" s="293">
        <v>1.0671949999999999</v>
      </c>
      <c r="D118" s="293">
        <v>1.3438619999999999</v>
      </c>
      <c r="E118" s="293">
        <v>-7.5183330000000002</v>
      </c>
      <c r="F118" s="293">
        <v>12.66234</v>
      </c>
      <c r="G118" s="295">
        <v>-7.133393E-3</v>
      </c>
      <c r="H118" s="291">
        <v>0.99999499999999997</v>
      </c>
      <c r="I118" s="287">
        <v>1.2200000000000001E-2</v>
      </c>
      <c r="J118" s="288">
        <v>2</v>
      </c>
      <c r="K118" s="287">
        <v>2.8E-3</v>
      </c>
    </row>
    <row r="119" spans="1:11">
      <c r="A119" s="264">
        <v>38</v>
      </c>
      <c r="B119" s="285" t="s">
        <v>345</v>
      </c>
      <c r="C119" s="293">
        <v>1.1601870000000001</v>
      </c>
      <c r="D119" s="293">
        <v>1.1887030000000001</v>
      </c>
      <c r="E119" s="293">
        <v>-6.5695860000000001</v>
      </c>
      <c r="F119" s="293">
        <v>10.63218</v>
      </c>
      <c r="G119" s="295">
        <v>-5.7146799999999998E-3</v>
      </c>
      <c r="H119" s="291">
        <v>0.99999000000000005</v>
      </c>
      <c r="I119" s="287">
        <v>1.7500000000000002E-2</v>
      </c>
      <c r="J119" s="288">
        <v>2</v>
      </c>
      <c r="K119" s="287">
        <v>4.1999999999999997E-3</v>
      </c>
    </row>
    <row r="120" spans="1:11">
      <c r="A120" s="264">
        <v>39</v>
      </c>
      <c r="B120" s="285" t="s">
        <v>346</v>
      </c>
      <c r="C120" s="293">
        <v>1.320368</v>
      </c>
      <c r="D120" s="293">
        <v>0.96262020000000004</v>
      </c>
      <c r="E120" s="293">
        <v>-5.3752269999999998</v>
      </c>
      <c r="F120" s="293">
        <v>8.2578200000000006</v>
      </c>
      <c r="G120" s="295">
        <v>-4.1276999999999998E-3</v>
      </c>
      <c r="H120" s="291">
        <v>0.99998399999999998</v>
      </c>
      <c r="I120" s="287">
        <v>2.29E-2</v>
      </c>
      <c r="J120" s="288">
        <v>2</v>
      </c>
      <c r="K120" s="287">
        <v>5.7999999999999996E-3</v>
      </c>
    </row>
    <row r="121" spans="1:11">
      <c r="A121" s="264">
        <v>39</v>
      </c>
      <c r="B121" s="285" t="s">
        <v>96</v>
      </c>
      <c r="C121" s="293">
        <v>1.3165849999999999</v>
      </c>
      <c r="D121" s="293">
        <v>0.96582480000000004</v>
      </c>
      <c r="E121" s="293">
        <v>-5.3826179999999999</v>
      </c>
      <c r="F121" s="293">
        <v>8.2625340000000005</v>
      </c>
      <c r="G121" s="295">
        <v>-4.126907E-3</v>
      </c>
      <c r="H121" s="291">
        <v>0.99998299999999996</v>
      </c>
      <c r="I121" s="287">
        <v>2.29E-2</v>
      </c>
      <c r="J121" s="288">
        <v>2</v>
      </c>
      <c r="K121" s="287">
        <v>5.7999999999999996E-3</v>
      </c>
    </row>
    <row r="122" spans="1:11">
      <c r="A122" s="264">
        <v>40</v>
      </c>
      <c r="B122" s="285" t="s">
        <v>97</v>
      </c>
      <c r="C122" s="293">
        <v>1.538006</v>
      </c>
      <c r="D122" s="293">
        <v>0.67797130000000005</v>
      </c>
      <c r="E122" s="293">
        <v>-3.9854400000000001</v>
      </c>
      <c r="F122" s="293">
        <v>5.6214430000000002</v>
      </c>
      <c r="G122" s="295">
        <v>-2.4195430000000001E-3</v>
      </c>
      <c r="H122" s="291">
        <v>0.99997400000000003</v>
      </c>
      <c r="I122" s="287">
        <v>2.8400000000000002E-2</v>
      </c>
      <c r="J122" s="288">
        <v>2</v>
      </c>
      <c r="K122" s="287">
        <v>7.4999999999999997E-3</v>
      </c>
    </row>
    <row r="123" spans="1:11">
      <c r="A123" s="264">
        <v>40</v>
      </c>
      <c r="B123" s="285" t="s">
        <v>98</v>
      </c>
      <c r="C123" s="293">
        <v>1.5392749999999999</v>
      </c>
      <c r="D123" s="293">
        <v>0.67708829999999998</v>
      </c>
      <c r="E123" s="293">
        <v>-3.9843419999999998</v>
      </c>
      <c r="F123" s="293">
        <v>5.6233089999999999</v>
      </c>
      <c r="G123" s="295">
        <v>-2.4225969999999999E-3</v>
      </c>
      <c r="H123" s="291">
        <v>0.99997499999999995</v>
      </c>
      <c r="I123" s="287">
        <v>2.8299999999999999E-2</v>
      </c>
      <c r="J123" s="288">
        <v>2</v>
      </c>
      <c r="K123" s="287">
        <v>7.4999999999999997E-3</v>
      </c>
    </row>
    <row r="124" spans="1:11">
      <c r="A124" s="264">
        <v>40</v>
      </c>
      <c r="B124" s="285" t="s">
        <v>99</v>
      </c>
      <c r="C124" s="293">
        <v>1.5364409999999999</v>
      </c>
      <c r="D124" s="293">
        <v>0.67915709999999996</v>
      </c>
      <c r="E124" s="293">
        <v>-3.9872359999999998</v>
      </c>
      <c r="F124" s="293">
        <v>5.6207339999999997</v>
      </c>
      <c r="G124" s="295">
        <v>-2.4176079999999999E-3</v>
      </c>
      <c r="H124" s="291">
        <v>0.99997400000000003</v>
      </c>
      <c r="I124" s="287">
        <v>2.8400000000000002E-2</v>
      </c>
      <c r="J124" s="288">
        <v>2</v>
      </c>
      <c r="K124" s="287">
        <v>7.6E-3</v>
      </c>
    </row>
    <row r="125" spans="1:11">
      <c r="A125" s="264">
        <v>40</v>
      </c>
      <c r="B125" s="285" t="s">
        <v>100</v>
      </c>
      <c r="C125" s="293">
        <v>1.532543</v>
      </c>
      <c r="D125" s="293">
        <v>0.68208190000000002</v>
      </c>
      <c r="E125" s="293">
        <v>-3.9917889999999998</v>
      </c>
      <c r="F125" s="293">
        <v>5.6184640000000003</v>
      </c>
      <c r="G125" s="295">
        <v>-2.411645E-3</v>
      </c>
      <c r="H125" s="291">
        <v>0.99997400000000003</v>
      </c>
      <c r="I125" s="287">
        <v>2.8500000000000001E-2</v>
      </c>
      <c r="J125" s="288">
        <v>2</v>
      </c>
      <c r="K125" s="287">
        <v>7.6E-3</v>
      </c>
    </row>
    <row r="126" spans="1:11">
      <c r="A126" s="264">
        <v>41</v>
      </c>
      <c r="B126" s="285" t="s">
        <v>347</v>
      </c>
      <c r="C126" s="293">
        <v>1.8119670000000001</v>
      </c>
      <c r="D126" s="293">
        <v>0.33973900000000001</v>
      </c>
      <c r="E126" s="293">
        <v>-2.432204</v>
      </c>
      <c r="F126" s="293">
        <v>2.791725</v>
      </c>
      <c r="G126" s="295">
        <v>-6.3792639999999995E-4</v>
      </c>
      <c r="H126" s="291">
        <v>0.99996399999999996</v>
      </c>
      <c r="I126" s="287">
        <v>3.3700000000000001E-2</v>
      </c>
      <c r="J126" s="288">
        <v>2</v>
      </c>
      <c r="K126" s="287">
        <v>9.2999999999999992E-3</v>
      </c>
    </row>
    <row r="127" spans="1:11">
      <c r="A127" s="264">
        <v>41</v>
      </c>
      <c r="B127" s="285" t="s">
        <v>101</v>
      </c>
      <c r="C127" s="293">
        <v>1.8100830000000001</v>
      </c>
      <c r="D127" s="293">
        <v>0.34069850000000002</v>
      </c>
      <c r="E127" s="293">
        <v>-2.4307799999999999</v>
      </c>
      <c r="F127" s="293">
        <v>2.7822439999999999</v>
      </c>
      <c r="G127" s="295">
        <v>-6.2900260000000002E-4</v>
      </c>
      <c r="H127" s="291">
        <v>0.99996300000000005</v>
      </c>
      <c r="I127" s="287">
        <v>3.3799999999999997E-2</v>
      </c>
      <c r="J127" s="288">
        <v>2</v>
      </c>
      <c r="K127" s="287">
        <v>9.2999999999999992E-3</v>
      </c>
    </row>
    <row r="128" spans="1:11">
      <c r="A128" s="264">
        <v>41</v>
      </c>
      <c r="B128" s="285" t="s">
        <v>102</v>
      </c>
      <c r="C128" s="293">
        <v>1.8073889999999999</v>
      </c>
      <c r="D128" s="293">
        <v>0.34222089999999999</v>
      </c>
      <c r="E128" s="293">
        <v>-2.4299200000000001</v>
      </c>
      <c r="F128" s="293">
        <v>2.771407</v>
      </c>
      <c r="G128" s="295">
        <v>-6.182122E-4</v>
      </c>
      <c r="H128" s="291">
        <v>0.99996300000000005</v>
      </c>
      <c r="I128" s="287">
        <v>3.4000000000000002E-2</v>
      </c>
      <c r="J128" s="288">
        <v>2</v>
      </c>
      <c r="K128" s="287">
        <v>9.2999999999999992E-3</v>
      </c>
    </row>
    <row r="129" spans="1:11">
      <c r="A129" s="264">
        <v>41</v>
      </c>
      <c r="B129" s="285" t="s">
        <v>103</v>
      </c>
      <c r="C129" s="293">
        <v>1.8038559999999999</v>
      </c>
      <c r="D129" s="293">
        <v>0.34438029999999997</v>
      </c>
      <c r="E129" s="293">
        <v>-2.430078</v>
      </c>
      <c r="F129" s="293">
        <v>2.7601830000000001</v>
      </c>
      <c r="G129" s="295">
        <v>-6.0623600000000001E-4</v>
      </c>
      <c r="H129" s="291">
        <v>0.99996300000000005</v>
      </c>
      <c r="I129" s="287">
        <v>3.4099999999999998E-2</v>
      </c>
      <c r="J129" s="288">
        <v>2</v>
      </c>
      <c r="K129" s="287">
        <v>9.4000000000000004E-3</v>
      </c>
    </row>
    <row r="130" spans="1:11">
      <c r="A130" s="264">
        <v>42</v>
      </c>
      <c r="B130" s="285" t="s">
        <v>104</v>
      </c>
      <c r="C130" s="293">
        <v>2.1335289999999998</v>
      </c>
      <c r="D130" s="293">
        <v>-4.1430979999999999E-2</v>
      </c>
      <c r="E130" s="293">
        <v>-0.75737810000000005</v>
      </c>
      <c r="F130" s="293">
        <v>-0.16609789999999999</v>
      </c>
      <c r="G130" s="295">
        <v>1.18217E-3</v>
      </c>
      <c r="H130" s="291">
        <v>0.99995100000000003</v>
      </c>
      <c r="I130" s="287">
        <v>3.8899999999999997E-2</v>
      </c>
      <c r="J130" s="288">
        <v>2</v>
      </c>
      <c r="K130" s="287">
        <v>1.0999999999999999E-2</v>
      </c>
    </row>
    <row r="131" spans="1:11">
      <c r="A131" s="264">
        <v>42</v>
      </c>
      <c r="B131" s="285" t="s">
        <v>105</v>
      </c>
      <c r="C131" s="293">
        <v>2.1331250000000002</v>
      </c>
      <c r="D131" s="293">
        <v>-4.175131E-2</v>
      </c>
      <c r="E131" s="293">
        <v>-0.75281419999999999</v>
      </c>
      <c r="F131" s="293">
        <v>-0.1780592</v>
      </c>
      <c r="G131" s="295">
        <v>1.1912789999999999E-3</v>
      </c>
      <c r="H131" s="291">
        <v>0.99995100000000003</v>
      </c>
      <c r="I131" s="287">
        <v>3.9E-2</v>
      </c>
      <c r="J131" s="288">
        <v>2</v>
      </c>
      <c r="K131" s="287">
        <v>1.0999999999999999E-2</v>
      </c>
    </row>
    <row r="132" spans="1:11">
      <c r="A132" s="264">
        <v>42</v>
      </c>
      <c r="B132" s="285" t="s">
        <v>106</v>
      </c>
      <c r="C132" s="293">
        <v>2.1322040000000002</v>
      </c>
      <c r="D132" s="293">
        <v>-4.1886420000000001E-2</v>
      </c>
      <c r="E132" s="293">
        <v>-0.74721559999999998</v>
      </c>
      <c r="F132" s="293">
        <v>-0.19410659999999999</v>
      </c>
      <c r="G132" s="295">
        <v>1.2038929999999999E-3</v>
      </c>
      <c r="H132" s="291">
        <v>0.99995100000000003</v>
      </c>
      <c r="I132" s="287">
        <v>3.9100000000000003E-2</v>
      </c>
      <c r="J132" s="288">
        <v>2</v>
      </c>
      <c r="K132" s="287">
        <v>1.0999999999999999E-2</v>
      </c>
    </row>
    <row r="133" spans="1:11">
      <c r="A133" s="264">
        <v>42</v>
      </c>
      <c r="B133" s="285" t="s">
        <v>107</v>
      </c>
      <c r="C133" s="293">
        <v>2.1306889999999998</v>
      </c>
      <c r="D133" s="293">
        <v>-4.1699920000000001E-2</v>
      </c>
      <c r="E133" s="293">
        <v>-0.74131130000000001</v>
      </c>
      <c r="F133" s="293">
        <v>-0.21277840000000001</v>
      </c>
      <c r="G133" s="295">
        <v>1.2190250000000001E-3</v>
      </c>
      <c r="H133" s="291">
        <v>0.99995000000000001</v>
      </c>
      <c r="I133" s="287">
        <v>3.9300000000000002E-2</v>
      </c>
      <c r="J133" s="288">
        <v>2</v>
      </c>
      <c r="K133" s="287">
        <v>1.11E-2</v>
      </c>
    </row>
    <row r="134" spans="1:11">
      <c r="A134" s="264">
        <v>42</v>
      </c>
      <c r="B134" s="285" t="s">
        <v>108</v>
      </c>
      <c r="C134" s="293">
        <v>2.1284879999999999</v>
      </c>
      <c r="D134" s="293">
        <v>-4.1056769999999999E-2</v>
      </c>
      <c r="E134" s="293">
        <v>-0.73576299999999994</v>
      </c>
      <c r="F134" s="293">
        <v>-0.23280239999999999</v>
      </c>
      <c r="G134" s="295">
        <v>1.235835E-3</v>
      </c>
      <c r="H134" s="291">
        <v>0.99995000000000001</v>
      </c>
      <c r="I134" s="287">
        <v>3.9399999999999998E-2</v>
      </c>
      <c r="J134" s="288">
        <v>2</v>
      </c>
      <c r="K134" s="287">
        <v>1.11E-2</v>
      </c>
    </row>
    <row r="135" spans="1:11">
      <c r="A135" s="264">
        <v>42</v>
      </c>
      <c r="B135" s="285" t="s">
        <v>109</v>
      </c>
      <c r="C135" s="293">
        <v>2.1254919999999999</v>
      </c>
      <c r="D135" s="293">
        <v>-3.9813639999999997E-2</v>
      </c>
      <c r="E135" s="293">
        <v>-0.7312111</v>
      </c>
      <c r="F135" s="293">
        <v>-0.25300990000000001</v>
      </c>
      <c r="G135" s="295">
        <v>1.2535720000000001E-3</v>
      </c>
      <c r="H135" s="291">
        <v>0.99995000000000001</v>
      </c>
      <c r="I135" s="287">
        <v>3.9600000000000003E-2</v>
      </c>
      <c r="J135" s="288">
        <v>2</v>
      </c>
      <c r="K135" s="287">
        <v>1.12E-2</v>
      </c>
    </row>
    <row r="136" spans="1:11">
      <c r="A136" s="264">
        <v>43</v>
      </c>
      <c r="B136" s="285" t="s">
        <v>110</v>
      </c>
      <c r="C136" s="293">
        <v>2.4975580000000002</v>
      </c>
      <c r="D136" s="293">
        <v>-0.46098040000000001</v>
      </c>
      <c r="E136" s="293">
        <v>1.0293110000000001</v>
      </c>
      <c r="F136" s="293">
        <v>-3.2492220000000001</v>
      </c>
      <c r="G136" s="295">
        <v>3.0461569999999999E-3</v>
      </c>
      <c r="H136" s="291">
        <v>0.99993699999999996</v>
      </c>
      <c r="I136" s="287">
        <v>4.3999999999999997E-2</v>
      </c>
      <c r="J136" s="288">
        <v>2</v>
      </c>
      <c r="K136" s="287">
        <v>1.2699999999999999E-2</v>
      </c>
    </row>
    <row r="137" spans="1:11">
      <c r="A137" s="264">
        <v>43</v>
      </c>
      <c r="B137" s="285" t="s">
        <v>111</v>
      </c>
      <c r="C137" s="293">
        <v>2.4965679999999999</v>
      </c>
      <c r="D137" s="293">
        <v>-0.45911039999999997</v>
      </c>
      <c r="E137" s="293">
        <v>1.0187850000000001</v>
      </c>
      <c r="F137" s="293">
        <v>-3.2271640000000001</v>
      </c>
      <c r="G137" s="295">
        <v>3.0307200000000002E-3</v>
      </c>
      <c r="H137" s="291">
        <v>0.99993699999999996</v>
      </c>
      <c r="I137" s="287">
        <v>4.3900000000000002E-2</v>
      </c>
      <c r="J137" s="288">
        <v>2</v>
      </c>
      <c r="K137" s="287">
        <v>1.2699999999999999E-2</v>
      </c>
    </row>
    <row r="138" spans="1:11">
      <c r="A138" s="264">
        <v>43</v>
      </c>
      <c r="B138" s="285" t="s">
        <v>112</v>
      </c>
      <c r="C138" s="293">
        <v>2.4966149999999998</v>
      </c>
      <c r="D138" s="293">
        <v>-0.46031529999999998</v>
      </c>
      <c r="E138" s="293">
        <v>1.0283720000000001</v>
      </c>
      <c r="F138" s="293">
        <v>-3.2493669999999999</v>
      </c>
      <c r="G138" s="295">
        <v>3.0467369999999999E-3</v>
      </c>
      <c r="H138" s="291">
        <v>0.99993699999999996</v>
      </c>
      <c r="I138" s="287">
        <v>4.3999999999999997E-2</v>
      </c>
      <c r="J138" s="288">
        <v>2</v>
      </c>
      <c r="K138" s="287">
        <v>1.2699999999999999E-2</v>
      </c>
    </row>
    <row r="139" spans="1:11">
      <c r="A139" s="264">
        <v>43</v>
      </c>
      <c r="B139" s="285" t="s">
        <v>113</v>
      </c>
      <c r="C139" s="293">
        <v>2.4962420000000001</v>
      </c>
      <c r="D139" s="293">
        <v>-0.46138940000000001</v>
      </c>
      <c r="E139" s="293">
        <v>1.038924</v>
      </c>
      <c r="F139" s="293">
        <v>-3.2751000000000001</v>
      </c>
      <c r="G139" s="295">
        <v>3.0657050000000002E-3</v>
      </c>
      <c r="H139" s="291">
        <v>0.99993600000000005</v>
      </c>
      <c r="I139" s="287">
        <v>4.4200000000000003E-2</v>
      </c>
      <c r="J139" s="288">
        <v>2</v>
      </c>
      <c r="K139" s="287">
        <v>1.2800000000000001E-2</v>
      </c>
    </row>
    <row r="140" spans="1:11">
      <c r="A140" s="264">
        <v>43</v>
      </c>
      <c r="B140" s="285" t="s">
        <v>114</v>
      </c>
      <c r="C140" s="293">
        <v>2.4953059999999998</v>
      </c>
      <c r="D140" s="293">
        <v>-0.46214470000000002</v>
      </c>
      <c r="E140" s="293">
        <v>1.0495989999999999</v>
      </c>
      <c r="F140" s="293">
        <v>-3.302835</v>
      </c>
      <c r="G140" s="295">
        <v>3.086648E-3</v>
      </c>
      <c r="H140" s="291">
        <v>0.99993600000000005</v>
      </c>
      <c r="I140" s="287">
        <v>4.4299999999999999E-2</v>
      </c>
      <c r="J140" s="288">
        <v>2</v>
      </c>
      <c r="K140" s="287">
        <v>1.2800000000000001E-2</v>
      </c>
    </row>
    <row r="141" spans="1:11">
      <c r="A141" s="264">
        <v>43</v>
      </c>
      <c r="B141" s="285" t="s">
        <v>115</v>
      </c>
      <c r="C141" s="293">
        <v>2.4936500000000001</v>
      </c>
      <c r="D141" s="293">
        <v>-0.46239560000000002</v>
      </c>
      <c r="E141" s="293">
        <v>1.059612</v>
      </c>
      <c r="F141" s="293">
        <v>-3.331188</v>
      </c>
      <c r="G141" s="295">
        <v>3.1086999999999998E-3</v>
      </c>
      <c r="H141" s="291">
        <v>0.99993500000000002</v>
      </c>
      <c r="I141" s="287">
        <v>4.4499999999999998E-2</v>
      </c>
      <c r="J141" s="288">
        <v>2</v>
      </c>
      <c r="K141" s="287">
        <v>1.29E-2</v>
      </c>
    </row>
    <row r="142" spans="1:11">
      <c r="A142" s="264">
        <v>43</v>
      </c>
      <c r="B142" s="285" t="s">
        <v>116</v>
      </c>
      <c r="C142" s="293">
        <v>2.4911080000000001</v>
      </c>
      <c r="D142" s="293">
        <v>-0.46194970000000002</v>
      </c>
      <c r="E142" s="293">
        <v>1.068184</v>
      </c>
      <c r="F142" s="293">
        <v>-3.3588290000000001</v>
      </c>
      <c r="G142" s="295">
        <v>3.1310470000000001E-3</v>
      </c>
      <c r="H142" s="291">
        <v>0.99993500000000002</v>
      </c>
      <c r="I142" s="287">
        <v>4.4699999999999997E-2</v>
      </c>
      <c r="J142" s="288">
        <v>2</v>
      </c>
      <c r="K142" s="287">
        <v>1.29E-2</v>
      </c>
    </row>
    <row r="143" spans="1:11">
      <c r="A143" s="264">
        <v>44</v>
      </c>
      <c r="B143" s="285" t="s">
        <v>117</v>
      </c>
      <c r="C143" s="293">
        <v>2.8937789999999999</v>
      </c>
      <c r="D143" s="293">
        <v>-0.90107720000000002</v>
      </c>
      <c r="E143" s="293">
        <v>2.8339439999999998</v>
      </c>
      <c r="F143" s="293">
        <v>-6.2717169999999998</v>
      </c>
      <c r="G143" s="295">
        <v>4.8300679999999999E-3</v>
      </c>
      <c r="H143" s="291">
        <v>0.99992300000000001</v>
      </c>
      <c r="I143" s="287">
        <v>4.8000000000000001E-2</v>
      </c>
      <c r="J143" s="288">
        <v>2</v>
      </c>
      <c r="K143" s="287">
        <v>1.43E-2</v>
      </c>
    </row>
    <row r="144" spans="1:11">
      <c r="A144" s="264">
        <v>44</v>
      </c>
      <c r="B144" s="285" t="s">
        <v>118</v>
      </c>
      <c r="C144" s="293">
        <v>2.894857</v>
      </c>
      <c r="D144" s="293">
        <v>-0.90303489999999997</v>
      </c>
      <c r="E144" s="293">
        <v>2.8446959999999999</v>
      </c>
      <c r="F144" s="293">
        <v>-6.2934060000000001</v>
      </c>
      <c r="G144" s="295">
        <v>4.8446660000000001E-3</v>
      </c>
      <c r="H144" s="291">
        <v>0.99992300000000001</v>
      </c>
      <c r="I144" s="287">
        <v>4.8099999999999997E-2</v>
      </c>
      <c r="J144" s="288">
        <v>2</v>
      </c>
      <c r="K144" s="287">
        <v>1.43E-2</v>
      </c>
    </row>
    <row r="145" spans="1:11">
      <c r="A145" s="264">
        <v>44</v>
      </c>
      <c r="B145" s="285" t="s">
        <v>119</v>
      </c>
      <c r="C145" s="293">
        <v>2.8958560000000002</v>
      </c>
      <c r="D145" s="293">
        <v>-0.90526169999999995</v>
      </c>
      <c r="E145" s="293">
        <v>2.8579979999999998</v>
      </c>
      <c r="F145" s="293">
        <v>-6.3212109999999999</v>
      </c>
      <c r="G145" s="295">
        <v>4.8637159999999997E-3</v>
      </c>
      <c r="H145" s="291">
        <v>0.99992300000000001</v>
      </c>
      <c r="I145" s="287">
        <v>4.82E-2</v>
      </c>
      <c r="J145" s="288">
        <v>2</v>
      </c>
      <c r="K145" s="287">
        <v>1.43E-2</v>
      </c>
    </row>
    <row r="146" spans="1:11">
      <c r="A146" s="264">
        <v>44</v>
      </c>
      <c r="B146" s="285" t="s">
        <v>120</v>
      </c>
      <c r="C146" s="293">
        <v>2.8965700000000001</v>
      </c>
      <c r="D146" s="293">
        <v>-0.90749990000000003</v>
      </c>
      <c r="E146" s="293">
        <v>2.872725</v>
      </c>
      <c r="F146" s="293">
        <v>-6.3531219999999999</v>
      </c>
      <c r="G146" s="295">
        <v>4.8859519999999998E-3</v>
      </c>
      <c r="H146" s="291">
        <v>0.99992199999999998</v>
      </c>
      <c r="I146" s="287">
        <v>4.8399999999999999E-2</v>
      </c>
      <c r="J146" s="288">
        <v>2</v>
      </c>
      <c r="K146" s="287">
        <v>1.44E-2</v>
      </c>
    </row>
    <row r="147" spans="1:11">
      <c r="A147" s="264">
        <v>44</v>
      </c>
      <c r="B147" s="285" t="s">
        <v>121</v>
      </c>
      <c r="C147" s="293">
        <v>2.8968069999999999</v>
      </c>
      <c r="D147" s="293">
        <v>-0.90951689999999996</v>
      </c>
      <c r="E147" s="293">
        <v>2.8878889999999999</v>
      </c>
      <c r="F147" s="293">
        <v>-6.3874019999999998</v>
      </c>
      <c r="G147" s="295">
        <v>4.9102929999999996E-3</v>
      </c>
      <c r="H147" s="291">
        <v>0.99992199999999998</v>
      </c>
      <c r="I147" s="287">
        <v>4.8599999999999997E-2</v>
      </c>
      <c r="J147" s="288">
        <v>2</v>
      </c>
      <c r="K147" s="287">
        <v>1.44E-2</v>
      </c>
    </row>
    <row r="148" spans="1:11">
      <c r="A148" s="264">
        <v>44</v>
      </c>
      <c r="B148" s="285" t="s">
        <v>122</v>
      </c>
      <c r="C148" s="293">
        <v>2.8963739999999998</v>
      </c>
      <c r="D148" s="293">
        <v>-0.9110897</v>
      </c>
      <c r="E148" s="293">
        <v>2.9025780000000001</v>
      </c>
      <c r="F148" s="293">
        <v>-6.4224839999999999</v>
      </c>
      <c r="G148" s="295">
        <v>4.9357749999999999E-3</v>
      </c>
      <c r="H148" s="291">
        <v>0.99992099999999995</v>
      </c>
      <c r="I148" s="287">
        <v>4.8800000000000003E-2</v>
      </c>
      <c r="J148" s="288">
        <v>2</v>
      </c>
      <c r="K148" s="287">
        <v>1.4500000000000001E-2</v>
      </c>
    </row>
    <row r="149" spans="1:11">
      <c r="A149" s="264">
        <v>44</v>
      </c>
      <c r="B149" s="285" t="s">
        <v>123</v>
      </c>
      <c r="C149" s="293">
        <v>2.8950719999999999</v>
      </c>
      <c r="D149" s="293">
        <v>-0.91199660000000005</v>
      </c>
      <c r="E149" s="293">
        <v>2.9159139999999999</v>
      </c>
      <c r="F149" s="293">
        <v>-6.4568919999999999</v>
      </c>
      <c r="G149" s="295">
        <v>4.9615040000000003E-3</v>
      </c>
      <c r="H149" s="291">
        <v>0.99992000000000003</v>
      </c>
      <c r="I149" s="287">
        <v>4.9000000000000002E-2</v>
      </c>
      <c r="J149" s="288">
        <v>2</v>
      </c>
      <c r="K149" s="287">
        <v>1.46E-2</v>
      </c>
    </row>
    <row r="150" spans="1:11">
      <c r="A150" s="264">
        <v>44</v>
      </c>
      <c r="B150" s="285" t="s">
        <v>124</v>
      </c>
      <c r="C150" s="293">
        <v>2.8926859999999999</v>
      </c>
      <c r="D150" s="293">
        <v>-0.91200680000000001</v>
      </c>
      <c r="E150" s="293">
        <v>2.9270079999999998</v>
      </c>
      <c r="F150" s="293">
        <v>-6.4891639999999997</v>
      </c>
      <c r="G150" s="295">
        <v>4.9866069999999997E-3</v>
      </c>
      <c r="H150" s="291">
        <v>0.99992000000000003</v>
      </c>
      <c r="I150" s="287">
        <v>4.9200000000000001E-2</v>
      </c>
      <c r="J150" s="288">
        <v>2</v>
      </c>
      <c r="K150" s="287">
        <v>1.46E-2</v>
      </c>
    </row>
    <row r="151" spans="1:11">
      <c r="A151" s="264">
        <v>45</v>
      </c>
      <c r="B151" s="285" t="s">
        <v>125</v>
      </c>
      <c r="C151" s="293">
        <v>3.3172190000000001</v>
      </c>
      <c r="D151" s="293">
        <v>-1.3601639999999999</v>
      </c>
      <c r="E151" s="293">
        <v>4.6693860000000003</v>
      </c>
      <c r="F151" s="293">
        <v>-9.283156</v>
      </c>
      <c r="G151" s="295">
        <v>6.5776050000000003E-3</v>
      </c>
      <c r="H151" s="291">
        <v>0.99990999999999997</v>
      </c>
      <c r="I151" s="287">
        <v>5.1200000000000002E-2</v>
      </c>
      <c r="J151" s="288">
        <v>2</v>
      </c>
      <c r="K151" s="287">
        <v>1.5699999999999999E-2</v>
      </c>
    </row>
    <row r="152" spans="1:11">
      <c r="A152" s="264">
        <v>45</v>
      </c>
      <c r="B152" s="285" t="s">
        <v>126</v>
      </c>
      <c r="C152" s="293">
        <v>3.3190539999999999</v>
      </c>
      <c r="D152" s="293">
        <v>-1.3629199999999999</v>
      </c>
      <c r="E152" s="293">
        <v>4.6830309999999997</v>
      </c>
      <c r="F152" s="293">
        <v>-9.3092269999999999</v>
      </c>
      <c r="G152" s="295">
        <v>6.5945939999999996E-3</v>
      </c>
      <c r="H152" s="291">
        <v>0.99990999999999997</v>
      </c>
      <c r="I152" s="287">
        <v>5.1299999999999998E-2</v>
      </c>
      <c r="J152" s="288">
        <v>2</v>
      </c>
      <c r="K152" s="287">
        <v>1.5800000000000002E-2</v>
      </c>
    </row>
    <row r="153" spans="1:11">
      <c r="A153" s="264">
        <v>45</v>
      </c>
      <c r="B153" s="285" t="s">
        <v>127</v>
      </c>
      <c r="C153" s="293">
        <v>3.3209550000000001</v>
      </c>
      <c r="D153" s="293">
        <v>-1.366088</v>
      </c>
      <c r="E153" s="293">
        <v>4.6996520000000004</v>
      </c>
      <c r="F153" s="293">
        <v>-9.3418869999999998</v>
      </c>
      <c r="G153" s="295">
        <v>6.6161930000000002E-3</v>
      </c>
      <c r="H153" s="291">
        <v>0.99990900000000005</v>
      </c>
      <c r="I153" s="287">
        <v>5.1499999999999997E-2</v>
      </c>
      <c r="J153" s="288">
        <v>2</v>
      </c>
      <c r="K153" s="287">
        <v>1.5800000000000002E-2</v>
      </c>
    </row>
    <row r="154" spans="1:11">
      <c r="A154" s="264">
        <v>45</v>
      </c>
      <c r="B154" s="285" t="s">
        <v>128</v>
      </c>
      <c r="C154" s="293">
        <v>3.3226689999999999</v>
      </c>
      <c r="D154" s="293">
        <v>-1.3693649999999999</v>
      </c>
      <c r="E154" s="293">
        <v>4.7179799999999998</v>
      </c>
      <c r="F154" s="293">
        <v>-9.378933</v>
      </c>
      <c r="G154" s="295">
        <v>6.6410430000000001E-3</v>
      </c>
      <c r="H154" s="291">
        <v>0.99990900000000005</v>
      </c>
      <c r="I154" s="287">
        <v>5.16E-2</v>
      </c>
      <c r="J154" s="288">
        <v>2</v>
      </c>
      <c r="K154" s="287">
        <v>1.5900000000000001E-2</v>
      </c>
    </row>
    <row r="155" spans="1:11">
      <c r="A155" s="264">
        <v>45</v>
      </c>
      <c r="B155" s="285" t="s">
        <v>129</v>
      </c>
      <c r="C155" s="293">
        <v>3.323963</v>
      </c>
      <c r="D155" s="293">
        <v>-1.3724810000000001</v>
      </c>
      <c r="E155" s="293">
        <v>4.7369089999999998</v>
      </c>
      <c r="F155" s="293">
        <v>-9.4184680000000007</v>
      </c>
      <c r="G155" s="295">
        <v>6.6679799999999996E-3</v>
      </c>
      <c r="H155" s="291">
        <v>0.99990800000000002</v>
      </c>
      <c r="I155" s="287">
        <v>5.1799999999999999E-2</v>
      </c>
      <c r="J155" s="288">
        <v>2</v>
      </c>
      <c r="K155" s="287">
        <v>1.5900000000000001E-2</v>
      </c>
    </row>
    <row r="156" spans="1:11">
      <c r="A156" s="264">
        <v>45</v>
      </c>
      <c r="B156" s="285" t="s">
        <v>130</v>
      </c>
      <c r="C156" s="293">
        <v>3.3246099999999998</v>
      </c>
      <c r="D156" s="293">
        <v>-1.375183</v>
      </c>
      <c r="E156" s="293">
        <v>4.7554299999999996</v>
      </c>
      <c r="F156" s="293">
        <v>-9.4587909999999997</v>
      </c>
      <c r="G156" s="295">
        <v>6.6959749999999998E-3</v>
      </c>
      <c r="H156" s="291">
        <v>0.99990800000000002</v>
      </c>
      <c r="I156" s="287">
        <v>5.1900000000000002E-2</v>
      </c>
      <c r="J156" s="288">
        <v>2</v>
      </c>
      <c r="K156" s="287">
        <v>1.6E-2</v>
      </c>
    </row>
    <row r="157" spans="1:11">
      <c r="A157" s="264">
        <v>46</v>
      </c>
      <c r="B157" s="285" t="s">
        <v>348</v>
      </c>
      <c r="C157" s="293">
        <v>3.7586590000000002</v>
      </c>
      <c r="D157" s="293">
        <v>-1.8268070000000001</v>
      </c>
      <c r="E157" s="293">
        <v>6.4876680000000002</v>
      </c>
      <c r="F157" s="293">
        <v>-12.201180000000001</v>
      </c>
      <c r="G157" s="295">
        <v>8.2388300000000008E-3</v>
      </c>
      <c r="H157" s="291">
        <v>0.99989899999999998</v>
      </c>
      <c r="I157" s="287">
        <v>5.3199999999999997E-2</v>
      </c>
      <c r="J157" s="288">
        <v>2</v>
      </c>
      <c r="K157" s="287">
        <v>1.7000000000000001E-2</v>
      </c>
    </row>
    <row r="158" spans="1:11">
      <c r="A158" s="264">
        <v>46</v>
      </c>
      <c r="B158" s="285" t="s">
        <v>349</v>
      </c>
      <c r="C158" s="293">
        <v>3.7639719999999999</v>
      </c>
      <c r="D158" s="293">
        <v>-1.834954</v>
      </c>
      <c r="E158" s="293">
        <v>6.5283110000000004</v>
      </c>
      <c r="F158" s="293">
        <v>-12.278700000000001</v>
      </c>
      <c r="G158" s="295">
        <v>8.2890749999999999E-3</v>
      </c>
      <c r="H158" s="291">
        <v>0.99989799999999995</v>
      </c>
      <c r="I158" s="287">
        <v>5.3400000000000003E-2</v>
      </c>
      <c r="J158" s="288">
        <v>2</v>
      </c>
      <c r="K158" s="287">
        <v>1.7100000000000001E-2</v>
      </c>
    </row>
    <row r="159" spans="1:11">
      <c r="A159" s="264">
        <v>47</v>
      </c>
      <c r="B159" s="285" t="s">
        <v>131</v>
      </c>
      <c r="C159" s="293">
        <v>4.1986039999999996</v>
      </c>
      <c r="D159" s="293">
        <v>-2.277469</v>
      </c>
      <c r="E159" s="293">
        <v>8.1907320000000006</v>
      </c>
      <c r="F159" s="293">
        <v>-14.858510000000001</v>
      </c>
      <c r="G159" s="295">
        <v>9.7129109999999994E-3</v>
      </c>
      <c r="H159" s="291">
        <v>0.99989300000000003</v>
      </c>
      <c r="I159" s="287">
        <v>5.3100000000000001E-2</v>
      </c>
      <c r="J159" s="288">
        <v>2</v>
      </c>
      <c r="K159" s="287">
        <v>1.78E-2</v>
      </c>
    </row>
    <row r="160" spans="1:11">
      <c r="A160" s="264">
        <v>47</v>
      </c>
      <c r="B160" s="285" t="s">
        <v>132</v>
      </c>
      <c r="C160" s="293">
        <v>4.2017930000000003</v>
      </c>
      <c r="D160" s="293">
        <v>-2.2815780000000001</v>
      </c>
      <c r="E160" s="293">
        <v>8.2090080000000007</v>
      </c>
      <c r="F160" s="293">
        <v>-14.89118</v>
      </c>
      <c r="G160" s="295">
        <v>9.7332730000000006E-3</v>
      </c>
      <c r="H160" s="291">
        <v>0.99989300000000003</v>
      </c>
      <c r="I160" s="287">
        <v>5.3199999999999997E-2</v>
      </c>
      <c r="J160" s="288">
        <v>2</v>
      </c>
      <c r="K160" s="287">
        <v>1.78E-2</v>
      </c>
    </row>
    <row r="161" spans="1:11">
      <c r="A161" s="264">
        <v>47</v>
      </c>
      <c r="B161" s="285" t="s">
        <v>133</v>
      </c>
      <c r="C161" s="293">
        <v>4.2052079999999998</v>
      </c>
      <c r="D161" s="293">
        <v>-2.2862360000000002</v>
      </c>
      <c r="E161" s="293">
        <v>8.2305309999999992</v>
      </c>
      <c r="F161" s="293">
        <v>-14.93045</v>
      </c>
      <c r="G161" s="295">
        <v>9.7580270000000007E-3</v>
      </c>
      <c r="H161" s="291">
        <v>0.999892</v>
      </c>
      <c r="I161" s="287">
        <v>5.33E-2</v>
      </c>
      <c r="J161" s="288">
        <v>2</v>
      </c>
      <c r="K161" s="287">
        <v>1.7899999999999999E-2</v>
      </c>
    </row>
    <row r="162" spans="1:11">
      <c r="A162" s="264">
        <v>48</v>
      </c>
      <c r="B162" s="285" t="s">
        <v>350</v>
      </c>
      <c r="C162" s="293">
        <v>4.6355750000000002</v>
      </c>
      <c r="D162" s="293">
        <v>-2.7133799999999999</v>
      </c>
      <c r="E162" s="293">
        <v>9.7955850000000009</v>
      </c>
      <c r="F162" s="293">
        <v>-17.299109999999999</v>
      </c>
      <c r="G162" s="295">
        <v>1.1033009999999999E-2</v>
      </c>
      <c r="H162" s="291">
        <v>0.99989300000000003</v>
      </c>
      <c r="I162" s="287">
        <v>5.1200000000000002E-2</v>
      </c>
      <c r="J162" s="288">
        <v>2</v>
      </c>
      <c r="K162" s="287">
        <v>1.83E-2</v>
      </c>
    </row>
    <row r="163" spans="1:11">
      <c r="A163" s="264">
        <v>49</v>
      </c>
      <c r="B163" s="285" t="s">
        <v>134</v>
      </c>
      <c r="C163" s="293">
        <v>5.0627019999999998</v>
      </c>
      <c r="D163" s="293">
        <v>-3.127437</v>
      </c>
      <c r="E163" s="293">
        <v>11.27693</v>
      </c>
      <c r="F163" s="293">
        <v>-19.485240000000001</v>
      </c>
      <c r="G163" s="295">
        <v>1.2178700000000001E-2</v>
      </c>
      <c r="H163" s="291">
        <v>0.99989799999999995</v>
      </c>
      <c r="I163" s="287">
        <v>4.7E-2</v>
      </c>
      <c r="J163" s="288">
        <v>2</v>
      </c>
      <c r="K163" s="287">
        <v>1.84E-2</v>
      </c>
    </row>
    <row r="164" spans="1:11">
      <c r="A164" s="264">
        <v>49</v>
      </c>
      <c r="B164" s="285" t="s">
        <v>135</v>
      </c>
      <c r="C164" s="293">
        <v>5.0579320000000001</v>
      </c>
      <c r="D164" s="293">
        <v>-3.121785</v>
      </c>
      <c r="E164" s="293">
        <v>11.25346</v>
      </c>
      <c r="F164" s="293">
        <v>-19.445</v>
      </c>
      <c r="G164" s="295">
        <v>1.215427E-2</v>
      </c>
      <c r="H164" s="291">
        <v>0.99989799999999995</v>
      </c>
      <c r="I164" s="287">
        <v>4.7E-2</v>
      </c>
      <c r="J164" s="288">
        <v>2</v>
      </c>
      <c r="K164" s="287">
        <v>1.83E-2</v>
      </c>
    </row>
    <row r="165" spans="1:11">
      <c r="A165" s="264">
        <v>49</v>
      </c>
      <c r="B165" s="285" t="s">
        <v>136</v>
      </c>
      <c r="C165" s="293">
        <v>5.0509959999999996</v>
      </c>
      <c r="D165" s="293">
        <v>-3.1136140000000001</v>
      </c>
      <c r="E165" s="293">
        <v>11.21968</v>
      </c>
      <c r="F165" s="293">
        <v>-19.38721</v>
      </c>
      <c r="G165" s="295">
        <v>1.211923E-2</v>
      </c>
      <c r="H165" s="291">
        <v>0.99989799999999995</v>
      </c>
      <c r="I165" s="287">
        <v>4.7E-2</v>
      </c>
      <c r="J165" s="288">
        <v>2</v>
      </c>
      <c r="K165" s="287">
        <v>1.83E-2</v>
      </c>
    </row>
    <row r="166" spans="1:11">
      <c r="A166" s="264">
        <v>50</v>
      </c>
      <c r="B166" s="285" t="s">
        <v>351</v>
      </c>
      <c r="C166" s="293">
        <v>5.4464689999999996</v>
      </c>
      <c r="D166" s="293">
        <v>-3.4815800000000001</v>
      </c>
      <c r="E166" s="293">
        <v>12.48282</v>
      </c>
      <c r="F166" s="293">
        <v>-21.16366</v>
      </c>
      <c r="G166" s="295">
        <v>1.2999200000000001E-2</v>
      </c>
      <c r="H166" s="291">
        <v>0.99990999999999997</v>
      </c>
      <c r="I166" s="287">
        <v>4.1399999999999999E-2</v>
      </c>
      <c r="J166" s="288">
        <v>6</v>
      </c>
      <c r="K166" s="287">
        <v>1.77E-2</v>
      </c>
    </row>
    <row r="167" spans="1:11">
      <c r="A167" s="264">
        <v>50</v>
      </c>
      <c r="B167" s="285" t="s">
        <v>352</v>
      </c>
      <c r="C167" s="293">
        <v>5.4307980000000002</v>
      </c>
      <c r="D167" s="293">
        <v>-3.4636119999999999</v>
      </c>
      <c r="E167" s="293">
        <v>12.41037</v>
      </c>
      <c r="F167" s="293">
        <v>-21.042390000000001</v>
      </c>
      <c r="G167" s="295">
        <v>1.2927060000000001E-2</v>
      </c>
      <c r="H167" s="291">
        <v>0.99991099999999999</v>
      </c>
      <c r="I167" s="287">
        <v>4.1200000000000001E-2</v>
      </c>
      <c r="J167" s="288">
        <v>6</v>
      </c>
      <c r="K167" s="287">
        <v>1.77E-2</v>
      </c>
    </row>
    <row r="168" spans="1:11">
      <c r="A168" s="264">
        <v>51</v>
      </c>
      <c r="B168" s="285" t="s">
        <v>353</v>
      </c>
      <c r="C168" s="293">
        <v>5.7806839999999999</v>
      </c>
      <c r="D168" s="293">
        <v>-3.7711960000000002</v>
      </c>
      <c r="E168" s="293">
        <v>13.40387</v>
      </c>
      <c r="F168" s="293">
        <v>-22.330729999999999</v>
      </c>
      <c r="G168" s="295">
        <v>1.349787E-2</v>
      </c>
      <c r="H168" s="291">
        <v>0.99992800000000004</v>
      </c>
      <c r="I168" s="287">
        <v>3.9899999999999998E-2</v>
      </c>
      <c r="J168" s="288">
        <v>6</v>
      </c>
      <c r="K168" s="287">
        <v>1.6299999999999999E-2</v>
      </c>
    </row>
    <row r="169" spans="1:11">
      <c r="A169" s="264">
        <v>51</v>
      </c>
      <c r="B169" s="285" t="s">
        <v>354</v>
      </c>
      <c r="C169" s="293">
        <v>5.761774</v>
      </c>
      <c r="D169" s="293">
        <v>-3.750108</v>
      </c>
      <c r="E169" s="293">
        <v>13.32108</v>
      </c>
      <c r="F169" s="293">
        <v>-22.195509999999999</v>
      </c>
      <c r="G169" s="295">
        <v>1.3419270000000001E-2</v>
      </c>
      <c r="H169" s="291">
        <v>0.99992800000000004</v>
      </c>
      <c r="I169" s="287">
        <v>3.9800000000000002E-2</v>
      </c>
      <c r="J169" s="288">
        <v>6</v>
      </c>
      <c r="K169" s="287">
        <v>1.6299999999999999E-2</v>
      </c>
    </row>
    <row r="170" spans="1:11">
      <c r="A170" s="264">
        <v>52</v>
      </c>
      <c r="B170" s="285" t="s">
        <v>355</v>
      </c>
      <c r="C170" s="293">
        <v>6.0606809999999998</v>
      </c>
      <c r="D170" s="293">
        <v>-3.9927600000000001</v>
      </c>
      <c r="E170" s="293">
        <v>14.032220000000001</v>
      </c>
      <c r="F170" s="293">
        <v>-22.980720000000002</v>
      </c>
      <c r="G170" s="295">
        <v>1.3674540000000001E-2</v>
      </c>
      <c r="H170" s="291">
        <v>0.99994700000000003</v>
      </c>
      <c r="I170" s="287">
        <v>3.6900000000000002E-2</v>
      </c>
      <c r="J170" s="288">
        <v>6</v>
      </c>
      <c r="K170" s="287">
        <v>1.4200000000000001E-2</v>
      </c>
    </row>
    <row r="171" spans="1:11">
      <c r="A171" s="264">
        <v>52</v>
      </c>
      <c r="B171" s="285" t="s">
        <v>356</v>
      </c>
      <c r="C171" s="293">
        <v>6.0533200000000003</v>
      </c>
      <c r="D171" s="293">
        <v>-3.9846180000000002</v>
      </c>
      <c r="E171" s="293">
        <v>14.000690000000001</v>
      </c>
      <c r="F171" s="293">
        <v>-22.93036</v>
      </c>
      <c r="G171" s="295">
        <v>1.3645849999999999E-2</v>
      </c>
      <c r="H171" s="291">
        <v>0.99994700000000003</v>
      </c>
      <c r="I171" s="287">
        <v>3.6799999999999999E-2</v>
      </c>
      <c r="J171" s="288">
        <v>6</v>
      </c>
      <c r="K171" s="287">
        <v>1.4200000000000001E-2</v>
      </c>
    </row>
    <row r="172" spans="1:11">
      <c r="A172" s="264">
        <v>52</v>
      </c>
      <c r="B172" s="285" t="s">
        <v>137</v>
      </c>
      <c r="C172" s="293">
        <v>6.0439100000000003</v>
      </c>
      <c r="D172" s="293">
        <v>-3.9744109999999999</v>
      </c>
      <c r="E172" s="293">
        <v>13.961729999999999</v>
      </c>
      <c r="F172" s="293">
        <v>-22.868590000000001</v>
      </c>
      <c r="G172" s="295">
        <v>1.361101E-2</v>
      </c>
      <c r="H172" s="291">
        <v>0.99994700000000003</v>
      </c>
      <c r="I172" s="287">
        <v>3.6799999999999999E-2</v>
      </c>
      <c r="J172" s="288">
        <v>6</v>
      </c>
      <c r="K172" s="287">
        <v>1.4200000000000001E-2</v>
      </c>
    </row>
    <row r="173" spans="1:11">
      <c r="A173" s="264">
        <v>52</v>
      </c>
      <c r="B173" s="285" t="s">
        <v>138</v>
      </c>
      <c r="C173" s="293">
        <v>6.0324470000000003</v>
      </c>
      <c r="D173" s="293">
        <v>-3.9620220000000002</v>
      </c>
      <c r="E173" s="293">
        <v>13.91459</v>
      </c>
      <c r="F173" s="293">
        <v>-22.794</v>
      </c>
      <c r="G173" s="295">
        <v>1.3569009999999999E-2</v>
      </c>
      <c r="H173" s="291">
        <v>0.99994700000000003</v>
      </c>
      <c r="I173" s="287">
        <v>3.6799999999999999E-2</v>
      </c>
      <c r="J173" s="288">
        <v>6</v>
      </c>
      <c r="K173" s="287">
        <v>1.4200000000000001E-2</v>
      </c>
    </row>
    <row r="174" spans="1:11">
      <c r="A174" s="264">
        <v>53</v>
      </c>
      <c r="B174" s="285" t="s">
        <v>139</v>
      </c>
      <c r="C174" s="293">
        <v>6.2695220000000003</v>
      </c>
      <c r="D174" s="293">
        <v>-4.1289350000000002</v>
      </c>
      <c r="E174" s="293">
        <v>14.305619999999999</v>
      </c>
      <c r="F174" s="293">
        <v>-23.020330000000001</v>
      </c>
      <c r="G174" s="295">
        <v>1.347889E-2</v>
      </c>
      <c r="H174" s="291">
        <v>0.99996399999999996</v>
      </c>
      <c r="I174" s="287">
        <v>3.2199999999999999E-2</v>
      </c>
      <c r="J174" s="288">
        <v>6</v>
      </c>
      <c r="K174" s="287">
        <v>1.1900000000000001E-2</v>
      </c>
    </row>
    <row r="175" spans="1:11">
      <c r="A175" s="264">
        <v>53</v>
      </c>
      <c r="B175" s="285" t="s">
        <v>357</v>
      </c>
      <c r="C175" s="293">
        <v>6.2646230000000003</v>
      </c>
      <c r="D175" s="293">
        <v>-4.123615</v>
      </c>
      <c r="E175" s="293">
        <v>14.28539</v>
      </c>
      <c r="F175" s="293">
        <v>-22.988600000000002</v>
      </c>
      <c r="G175" s="295">
        <v>1.346112E-2</v>
      </c>
      <c r="H175" s="291">
        <v>0.99996499999999999</v>
      </c>
      <c r="I175" s="287">
        <v>3.2099999999999997E-2</v>
      </c>
      <c r="J175" s="288">
        <v>6</v>
      </c>
      <c r="K175" s="287">
        <v>1.1900000000000001E-2</v>
      </c>
    </row>
    <row r="176" spans="1:11">
      <c r="A176" s="264">
        <v>53</v>
      </c>
      <c r="B176" s="285" t="s">
        <v>358</v>
      </c>
      <c r="C176" s="293">
        <v>6.2548469999999998</v>
      </c>
      <c r="D176" s="293">
        <v>-4.1131549999999999</v>
      </c>
      <c r="E176" s="293">
        <v>14.246130000000001</v>
      </c>
      <c r="F176" s="293">
        <v>-22.927659999999999</v>
      </c>
      <c r="G176" s="295">
        <v>1.3427329999999999E-2</v>
      </c>
      <c r="H176" s="291">
        <v>0.99996499999999999</v>
      </c>
      <c r="I176" s="287">
        <v>3.2099999999999997E-2</v>
      </c>
      <c r="J176" s="288">
        <v>6</v>
      </c>
      <c r="K176" s="287">
        <v>1.1900000000000001E-2</v>
      </c>
    </row>
    <row r="177" spans="1:11">
      <c r="A177" s="264">
        <v>53</v>
      </c>
      <c r="B177" s="285" t="s">
        <v>359</v>
      </c>
      <c r="C177" s="293">
        <v>6.2338019999999998</v>
      </c>
      <c r="D177" s="293">
        <v>-4.0911960000000001</v>
      </c>
      <c r="E177" s="293">
        <v>14.165749999999999</v>
      </c>
      <c r="F177" s="293">
        <v>-22.80603</v>
      </c>
      <c r="G177" s="295">
        <v>1.3362199999999999E-2</v>
      </c>
      <c r="H177" s="291">
        <v>0.99996499999999999</v>
      </c>
      <c r="I177" s="287">
        <v>3.2199999999999999E-2</v>
      </c>
      <c r="J177" s="288">
        <v>6</v>
      </c>
      <c r="K177" s="287">
        <v>1.1900000000000001E-2</v>
      </c>
    </row>
    <row r="178" spans="1:11">
      <c r="A178" s="264">
        <v>53</v>
      </c>
      <c r="B178" s="285" t="s">
        <v>360</v>
      </c>
      <c r="C178" s="293">
        <v>6.2704139999999997</v>
      </c>
      <c r="D178" s="293">
        <v>-4.1299590000000004</v>
      </c>
      <c r="E178" s="293">
        <v>14.30968</v>
      </c>
      <c r="F178" s="293">
        <v>-23.026900000000001</v>
      </c>
      <c r="G178" s="295">
        <v>1.34827E-2</v>
      </c>
      <c r="H178" s="291">
        <v>0.99996399999999996</v>
      </c>
      <c r="I178" s="287">
        <v>3.2199999999999999E-2</v>
      </c>
      <c r="J178" s="288">
        <v>6</v>
      </c>
      <c r="K178" s="287">
        <v>1.1900000000000001E-2</v>
      </c>
    </row>
    <row r="179" spans="1:11">
      <c r="A179" s="264">
        <v>54</v>
      </c>
      <c r="B179" s="285" t="s">
        <v>361</v>
      </c>
      <c r="C179" s="293">
        <v>6.3970640000000003</v>
      </c>
      <c r="D179" s="293">
        <v>-4.1705730000000001</v>
      </c>
      <c r="E179" s="293">
        <v>14.19605</v>
      </c>
      <c r="F179" s="293">
        <v>-22.41489</v>
      </c>
      <c r="G179" s="295">
        <v>1.289626E-2</v>
      </c>
      <c r="H179" s="291">
        <v>0.99997599999999998</v>
      </c>
      <c r="I179" s="287">
        <v>2.5600000000000001E-2</v>
      </c>
      <c r="J179" s="288">
        <v>6</v>
      </c>
      <c r="K179" s="287">
        <v>1.03E-2</v>
      </c>
    </row>
    <row r="180" spans="1:11">
      <c r="A180" s="264">
        <v>54</v>
      </c>
      <c r="B180" s="285" t="s">
        <v>362</v>
      </c>
      <c r="C180" s="293">
        <v>6.3901979999999998</v>
      </c>
      <c r="D180" s="293">
        <v>-4.1633940000000003</v>
      </c>
      <c r="E180" s="293">
        <v>14.169739999999999</v>
      </c>
      <c r="F180" s="293">
        <v>-22.3751</v>
      </c>
      <c r="G180" s="295">
        <v>1.2874780000000001E-2</v>
      </c>
      <c r="H180" s="291">
        <v>0.99997599999999998</v>
      </c>
      <c r="I180" s="287">
        <v>2.5600000000000001E-2</v>
      </c>
      <c r="J180" s="288">
        <v>6</v>
      </c>
      <c r="K180" s="287">
        <v>1.03E-2</v>
      </c>
    </row>
    <row r="181" spans="1:11">
      <c r="A181" s="264">
        <v>54</v>
      </c>
      <c r="B181" s="285" t="s">
        <v>363</v>
      </c>
      <c r="C181" s="293">
        <v>6.3788130000000001</v>
      </c>
      <c r="D181" s="293">
        <v>-4.1516599999999997</v>
      </c>
      <c r="E181" s="293">
        <v>14.12735</v>
      </c>
      <c r="F181" s="293">
        <v>-22.31194</v>
      </c>
      <c r="G181" s="295">
        <v>1.284125E-2</v>
      </c>
      <c r="H181" s="291">
        <v>0.99997599999999998</v>
      </c>
      <c r="I181" s="287">
        <v>2.5600000000000001E-2</v>
      </c>
      <c r="J181" s="288">
        <v>6</v>
      </c>
      <c r="K181" s="287">
        <v>1.0200000000000001E-2</v>
      </c>
    </row>
    <row r="182" spans="1:11">
      <c r="A182" s="264">
        <v>54</v>
      </c>
      <c r="B182" s="285" t="s">
        <v>364</v>
      </c>
      <c r="C182" s="293">
        <v>6.3597999999999999</v>
      </c>
      <c r="D182" s="293">
        <v>-4.1328870000000002</v>
      </c>
      <c r="E182" s="293">
        <v>14.0631</v>
      </c>
      <c r="F182" s="293">
        <v>-22.222899999999999</v>
      </c>
      <c r="G182" s="295">
        <v>1.2798810000000001E-2</v>
      </c>
      <c r="H182" s="291">
        <v>0.99997599999999998</v>
      </c>
      <c r="I182" s="287">
        <v>2.5899999999999999E-2</v>
      </c>
      <c r="J182" s="288">
        <v>6</v>
      </c>
      <c r="K182" s="287">
        <v>1.0200000000000001E-2</v>
      </c>
    </row>
    <row r="183" spans="1:11">
      <c r="A183" s="264">
        <v>55</v>
      </c>
      <c r="B183" s="285" t="s">
        <v>140</v>
      </c>
      <c r="C183" s="293">
        <v>6.4464689999999996</v>
      </c>
      <c r="D183" s="293">
        <v>-4.1229500000000003</v>
      </c>
      <c r="E183" s="293">
        <v>13.730270000000001</v>
      </c>
      <c r="F183" s="293">
        <v>-21.216180000000001</v>
      </c>
      <c r="G183" s="295">
        <v>1.196091E-2</v>
      </c>
      <c r="H183" s="291">
        <v>0.999977</v>
      </c>
      <c r="I183" s="287">
        <v>2.64E-2</v>
      </c>
      <c r="J183" s="288">
        <v>2</v>
      </c>
      <c r="K183" s="287">
        <v>9.7999999999999997E-3</v>
      </c>
    </row>
    <row r="184" spans="1:11">
      <c r="A184" s="264">
        <v>56</v>
      </c>
      <c r="B184" s="285" t="s">
        <v>365</v>
      </c>
      <c r="C184" s="293">
        <v>6.409319</v>
      </c>
      <c r="D184" s="293">
        <v>-3.9792019999999999</v>
      </c>
      <c r="E184" s="293">
        <v>12.890650000000001</v>
      </c>
      <c r="F184" s="293">
        <v>-19.409659999999999</v>
      </c>
      <c r="G184" s="295">
        <v>1.067194E-2</v>
      </c>
      <c r="H184" s="291">
        <v>0.99996799999999997</v>
      </c>
      <c r="I184" s="287">
        <v>4.3099999999999999E-2</v>
      </c>
      <c r="J184" s="288">
        <v>2</v>
      </c>
      <c r="K184" s="287">
        <v>1.06E-2</v>
      </c>
    </row>
    <row r="185" spans="1:11">
      <c r="A185" s="264">
        <v>57</v>
      </c>
      <c r="B185" s="285" t="s">
        <v>366</v>
      </c>
      <c r="C185" s="293">
        <v>6.2906300000000002</v>
      </c>
      <c r="D185" s="293">
        <v>-3.7468370000000002</v>
      </c>
      <c r="E185" s="293">
        <v>11.713950000000001</v>
      </c>
      <c r="F185" s="293">
        <v>-17.067240000000002</v>
      </c>
      <c r="G185" s="295">
        <v>9.0779780000000004E-3</v>
      </c>
      <c r="H185" s="291">
        <v>0.99994799999999995</v>
      </c>
      <c r="I185" s="287">
        <v>5.9200000000000003E-2</v>
      </c>
      <c r="J185" s="288">
        <v>2</v>
      </c>
      <c r="K185" s="287">
        <v>1.3599999999999999E-2</v>
      </c>
    </row>
    <row r="186" spans="1:11">
      <c r="A186" s="264">
        <v>57</v>
      </c>
      <c r="B186" s="285" t="s">
        <v>141</v>
      </c>
      <c r="C186" s="293">
        <v>6.2912970000000001</v>
      </c>
      <c r="D186" s="293">
        <v>-3.7475809999999998</v>
      </c>
      <c r="E186" s="293">
        <v>11.716379999999999</v>
      </c>
      <c r="F186" s="293">
        <v>-17.06972</v>
      </c>
      <c r="G186" s="295">
        <v>9.0783930000000006E-3</v>
      </c>
      <c r="H186" s="291">
        <v>0.99994700000000003</v>
      </c>
      <c r="I186" s="287">
        <v>5.9299999999999999E-2</v>
      </c>
      <c r="J186" s="288">
        <v>2</v>
      </c>
      <c r="K186" s="287">
        <v>1.3599999999999999E-2</v>
      </c>
    </row>
    <row r="187" spans="1:11">
      <c r="A187" s="264">
        <v>58</v>
      </c>
      <c r="B187" s="285" t="s">
        <v>367</v>
      </c>
      <c r="C187" s="293">
        <v>6.0980819999999998</v>
      </c>
      <c r="D187" s="293">
        <v>-3.4491320000000001</v>
      </c>
      <c r="E187" s="293">
        <v>10.337770000000001</v>
      </c>
      <c r="F187" s="293">
        <v>-14.479609999999999</v>
      </c>
      <c r="G187" s="295">
        <v>7.3833240000000001E-3</v>
      </c>
      <c r="H187" s="291">
        <v>0.99992599999999998</v>
      </c>
      <c r="I187" s="287">
        <v>7.1099999999999997E-2</v>
      </c>
      <c r="J187" s="288">
        <v>2</v>
      </c>
      <c r="K187" s="287">
        <v>1.7399999999999999E-2</v>
      </c>
    </row>
    <row r="188" spans="1:11">
      <c r="A188" s="264">
        <v>58</v>
      </c>
      <c r="B188" s="285" t="s">
        <v>142</v>
      </c>
      <c r="C188" s="293">
        <v>6.0985469999999999</v>
      </c>
      <c r="D188" s="293">
        <v>-3.444099</v>
      </c>
      <c r="E188" s="293">
        <v>10.30029</v>
      </c>
      <c r="F188" s="293">
        <v>-14.39251</v>
      </c>
      <c r="G188" s="295">
        <v>7.3187039999999997E-3</v>
      </c>
      <c r="H188" s="291">
        <v>0.99992300000000001</v>
      </c>
      <c r="I188" s="287">
        <v>7.2499999999999995E-2</v>
      </c>
      <c r="J188" s="288">
        <v>2</v>
      </c>
      <c r="K188" s="287">
        <v>1.78E-2</v>
      </c>
    </row>
    <row r="189" spans="1:11">
      <c r="A189" s="264">
        <v>58</v>
      </c>
      <c r="B189" s="285" t="s">
        <v>143</v>
      </c>
      <c r="C189" s="293">
        <v>6.0984249999999998</v>
      </c>
      <c r="D189" s="293">
        <v>-3.43669</v>
      </c>
      <c r="E189" s="293">
        <v>10.248089999999999</v>
      </c>
      <c r="F189" s="293">
        <v>-14.27361</v>
      </c>
      <c r="G189" s="295">
        <v>7.2314090000000003E-3</v>
      </c>
      <c r="H189" s="291">
        <v>0.99991799999999997</v>
      </c>
      <c r="I189" s="287">
        <v>7.4300000000000005E-2</v>
      </c>
      <c r="J189" s="288">
        <v>2</v>
      </c>
      <c r="K189" s="287">
        <v>1.83E-2</v>
      </c>
    </row>
    <row r="190" spans="1:11">
      <c r="A190" s="264">
        <v>59</v>
      </c>
      <c r="B190" s="285" t="s">
        <v>368</v>
      </c>
      <c r="C190" s="293">
        <v>5.8599740000000002</v>
      </c>
      <c r="D190" s="293">
        <v>-3.1011959999999998</v>
      </c>
      <c r="E190" s="293">
        <v>8.7709150000000005</v>
      </c>
      <c r="F190" s="293">
        <v>-11.5929</v>
      </c>
      <c r="G190" s="295">
        <v>5.5219249999999996E-3</v>
      </c>
      <c r="H190" s="291">
        <v>0.99989899999999998</v>
      </c>
      <c r="I190" s="287">
        <v>8.2299999999999998E-2</v>
      </c>
      <c r="J190" s="288">
        <v>2</v>
      </c>
      <c r="K190" s="287">
        <v>2.1700000000000001E-2</v>
      </c>
    </row>
    <row r="191" spans="1:11">
      <c r="A191" s="264">
        <v>59</v>
      </c>
      <c r="B191" s="285" t="s">
        <v>144</v>
      </c>
      <c r="C191" s="293">
        <v>5.8552</v>
      </c>
      <c r="D191" s="293">
        <v>-3.0906099999999999</v>
      </c>
      <c r="E191" s="293">
        <v>8.7126009999999994</v>
      </c>
      <c r="F191" s="293">
        <v>-11.472670000000001</v>
      </c>
      <c r="G191" s="295">
        <v>5.4382739999999999E-3</v>
      </c>
      <c r="H191" s="291">
        <v>0.99989499999999998</v>
      </c>
      <c r="I191" s="287">
        <v>8.3699999999999997E-2</v>
      </c>
      <c r="J191" s="288">
        <v>2</v>
      </c>
      <c r="K191" s="287">
        <v>2.2200000000000001E-2</v>
      </c>
    </row>
    <row r="192" spans="1:11">
      <c r="A192" s="264">
        <v>59</v>
      </c>
      <c r="B192" s="285" t="s">
        <v>145</v>
      </c>
      <c r="C192" s="293">
        <v>5.8483999999999998</v>
      </c>
      <c r="D192" s="293">
        <v>-3.0761569999999998</v>
      </c>
      <c r="E192" s="293">
        <v>8.634112</v>
      </c>
      <c r="F192" s="293">
        <v>-11.31216</v>
      </c>
      <c r="G192" s="295">
        <v>5.3271830000000001E-3</v>
      </c>
      <c r="H192" s="291">
        <v>0.99989099999999997</v>
      </c>
      <c r="I192" s="287">
        <v>8.5400000000000004E-2</v>
      </c>
      <c r="J192" s="288">
        <v>2</v>
      </c>
      <c r="K192" s="287">
        <v>2.2700000000000001E-2</v>
      </c>
    </row>
    <row r="193" spans="1:11">
      <c r="A193" s="264">
        <v>60</v>
      </c>
      <c r="B193" s="285" t="s">
        <v>369</v>
      </c>
      <c r="C193" s="293">
        <v>5.5816460000000001</v>
      </c>
      <c r="D193" s="293">
        <v>-2.7156199999999999</v>
      </c>
      <c r="E193" s="293">
        <v>7.0839059999999998</v>
      </c>
      <c r="F193" s="293">
        <v>-8.5527960000000007</v>
      </c>
      <c r="G193" s="295">
        <v>3.5949129999999999E-3</v>
      </c>
      <c r="H193" s="291">
        <v>0.99987300000000001</v>
      </c>
      <c r="I193" s="287">
        <v>9.1300000000000006E-2</v>
      </c>
      <c r="J193" s="288">
        <v>2</v>
      </c>
      <c r="K193" s="287">
        <v>2.5899999999999999E-2</v>
      </c>
    </row>
    <row r="194" spans="1:11">
      <c r="A194" s="264">
        <v>60</v>
      </c>
      <c r="B194" s="285" t="s">
        <v>146</v>
      </c>
      <c r="C194" s="293">
        <v>5.5723019999999996</v>
      </c>
      <c r="D194" s="293">
        <v>-2.700275</v>
      </c>
      <c r="E194" s="293">
        <v>7.0080679999999997</v>
      </c>
      <c r="F194" s="293">
        <v>-8.4052349999999993</v>
      </c>
      <c r="G194" s="295">
        <v>3.4958630000000001E-3</v>
      </c>
      <c r="H194" s="291">
        <v>0.99986900000000001</v>
      </c>
      <c r="I194" s="287">
        <v>9.2499999999999999E-2</v>
      </c>
      <c r="J194" s="288">
        <v>2</v>
      </c>
      <c r="K194" s="287">
        <v>2.64E-2</v>
      </c>
    </row>
    <row r="195" spans="1:11">
      <c r="A195" s="264">
        <v>61</v>
      </c>
      <c r="B195" s="285" t="s">
        <v>370</v>
      </c>
      <c r="C195" s="293">
        <v>5.2607900000000001</v>
      </c>
      <c r="D195" s="293">
        <v>-2.2859020000000001</v>
      </c>
      <c r="E195" s="293">
        <v>5.2391550000000002</v>
      </c>
      <c r="F195" s="293">
        <v>-5.2800580000000004</v>
      </c>
      <c r="G195" s="295">
        <v>1.5463720000000001E-3</v>
      </c>
      <c r="H195" s="291">
        <v>0.99984700000000004</v>
      </c>
      <c r="I195" s="287">
        <v>9.8900000000000002E-2</v>
      </c>
      <c r="J195" s="288">
        <v>2</v>
      </c>
      <c r="K195" s="287">
        <v>0.03</v>
      </c>
    </row>
    <row r="196" spans="1:11">
      <c r="A196" s="264">
        <v>62</v>
      </c>
      <c r="B196" s="285" t="s">
        <v>371</v>
      </c>
      <c r="C196" s="293">
        <v>4.947578</v>
      </c>
      <c r="D196" s="293">
        <v>-1.8820079999999999</v>
      </c>
      <c r="E196" s="293">
        <v>3.555428</v>
      </c>
      <c r="F196" s="293">
        <v>-2.3641559999999999</v>
      </c>
      <c r="G196" s="295">
        <v>-2.416175E-4</v>
      </c>
      <c r="H196" s="291">
        <v>0.99983500000000003</v>
      </c>
      <c r="I196" s="287">
        <v>0.1016</v>
      </c>
      <c r="J196" s="288">
        <v>2</v>
      </c>
      <c r="K196" s="287">
        <v>3.2500000000000001E-2</v>
      </c>
    </row>
    <row r="197" spans="1:11">
      <c r="A197" s="264">
        <v>62</v>
      </c>
      <c r="B197" s="285" t="s">
        <v>147</v>
      </c>
      <c r="C197" s="293">
        <v>4.9311379999999998</v>
      </c>
      <c r="D197" s="293">
        <v>-1.8595619999999999</v>
      </c>
      <c r="E197" s="293">
        <v>3.4545759999999999</v>
      </c>
      <c r="F197" s="293">
        <v>-2.1794199999999999</v>
      </c>
      <c r="G197" s="295">
        <v>-3.6055769999999998E-4</v>
      </c>
      <c r="H197" s="291">
        <v>0.99983200000000005</v>
      </c>
      <c r="I197" s="287">
        <v>0.1026</v>
      </c>
      <c r="J197" s="288">
        <v>2</v>
      </c>
      <c r="K197" s="287">
        <v>3.2899999999999999E-2</v>
      </c>
    </row>
    <row r="198" spans="1:11">
      <c r="A198" s="264">
        <v>63</v>
      </c>
      <c r="B198" s="285" t="s">
        <v>372</v>
      </c>
      <c r="C198" s="293">
        <v>4.6120489999999998</v>
      </c>
      <c r="D198" s="293">
        <v>-1.4571050000000001</v>
      </c>
      <c r="E198" s="293">
        <v>1.806691</v>
      </c>
      <c r="F198" s="293">
        <v>0.62875170000000002</v>
      </c>
      <c r="G198" s="295">
        <v>-2.0578110000000001E-3</v>
      </c>
      <c r="H198" s="291">
        <v>0.99982700000000002</v>
      </c>
      <c r="I198" s="287">
        <v>0.10290000000000001</v>
      </c>
      <c r="J198" s="288">
        <v>2</v>
      </c>
      <c r="K198" s="287">
        <v>3.4799999999999998E-2</v>
      </c>
    </row>
    <row r="199" spans="1:11">
      <c r="A199" s="264">
        <v>63</v>
      </c>
      <c r="B199" s="285" t="s">
        <v>148</v>
      </c>
      <c r="C199" s="293">
        <v>4.5930850000000003</v>
      </c>
      <c r="D199" s="293">
        <v>-1.4323030000000001</v>
      </c>
      <c r="E199" s="293">
        <v>1.6982330000000001</v>
      </c>
      <c r="F199" s="293">
        <v>0.82362559999999996</v>
      </c>
      <c r="G199" s="295">
        <v>-2.181475E-3</v>
      </c>
      <c r="H199" s="291">
        <v>0.99982400000000005</v>
      </c>
      <c r="I199" s="287">
        <v>0.1037</v>
      </c>
      <c r="J199" s="288">
        <v>2</v>
      </c>
      <c r="K199" s="287">
        <v>3.5200000000000002E-2</v>
      </c>
    </row>
    <row r="200" spans="1:11">
      <c r="A200" s="264">
        <v>64</v>
      </c>
      <c r="B200" s="285" t="s">
        <v>149</v>
      </c>
      <c r="C200" s="293">
        <v>4.2535530000000001</v>
      </c>
      <c r="D200" s="293">
        <v>-1.011565</v>
      </c>
      <c r="E200" s="293">
        <v>-1.251224E-3</v>
      </c>
      <c r="F200" s="293">
        <v>3.682445</v>
      </c>
      <c r="G200" s="295">
        <v>-3.8891640000000001E-3</v>
      </c>
      <c r="H200" s="291">
        <v>0.99982300000000002</v>
      </c>
      <c r="I200" s="287">
        <v>0.1022</v>
      </c>
      <c r="J200" s="288">
        <v>2</v>
      </c>
      <c r="K200" s="287">
        <v>3.6600000000000001E-2</v>
      </c>
    </row>
    <row r="201" spans="1:11">
      <c r="A201" s="264">
        <v>64</v>
      </c>
      <c r="B201" s="285" t="s">
        <v>150</v>
      </c>
      <c r="C201" s="293">
        <v>4.2553419999999997</v>
      </c>
      <c r="D201" s="293">
        <v>-1.0136229999999999</v>
      </c>
      <c r="E201" s="293">
        <v>7.1634519999999998E-3</v>
      </c>
      <c r="F201" s="293">
        <v>3.667872</v>
      </c>
      <c r="G201" s="295">
        <v>-3.880119E-3</v>
      </c>
      <c r="H201" s="291">
        <v>0.99982300000000002</v>
      </c>
      <c r="I201" s="287">
        <v>0.1022</v>
      </c>
      <c r="J201" s="288">
        <v>2</v>
      </c>
      <c r="K201" s="287">
        <v>3.6499999999999998E-2</v>
      </c>
    </row>
    <row r="202" spans="1:11">
      <c r="A202" s="264">
        <v>64</v>
      </c>
      <c r="B202" s="285" t="s">
        <v>151</v>
      </c>
      <c r="C202" s="293">
        <v>4.2554340000000002</v>
      </c>
      <c r="D202" s="293">
        <v>-1.013949</v>
      </c>
      <c r="E202" s="293">
        <v>8.4988370000000004E-3</v>
      </c>
      <c r="F202" s="293">
        <v>3.6663169999999998</v>
      </c>
      <c r="G202" s="295">
        <v>-3.8796859999999998E-3</v>
      </c>
      <c r="H202" s="291">
        <v>0.99982300000000002</v>
      </c>
      <c r="I202" s="287">
        <v>0.1022</v>
      </c>
      <c r="J202" s="288">
        <v>2</v>
      </c>
      <c r="K202" s="287">
        <v>3.6600000000000001E-2</v>
      </c>
    </row>
    <row r="203" spans="1:11">
      <c r="A203" s="264">
        <v>65</v>
      </c>
      <c r="B203" s="285" t="s">
        <v>152</v>
      </c>
      <c r="C203" s="293">
        <v>3.9461930000000001</v>
      </c>
      <c r="D203" s="293">
        <v>-0.63817690000000005</v>
      </c>
      <c r="E203" s="293">
        <v>-1.475919</v>
      </c>
      <c r="F203" s="293">
        <v>6.1111740000000001</v>
      </c>
      <c r="G203" s="295">
        <v>-5.3104340000000002E-3</v>
      </c>
      <c r="H203" s="291">
        <v>0.99983200000000005</v>
      </c>
      <c r="I203" s="287">
        <v>9.8000000000000004E-2</v>
      </c>
      <c r="J203" s="288">
        <v>2</v>
      </c>
      <c r="K203" s="287">
        <v>3.6799999999999999E-2</v>
      </c>
    </row>
    <row r="204" spans="1:11">
      <c r="A204" s="264">
        <v>65</v>
      </c>
      <c r="B204" s="285" t="s">
        <v>373</v>
      </c>
      <c r="C204" s="293">
        <v>3.9258999999999999</v>
      </c>
      <c r="D204" s="293">
        <v>-0.61294590000000004</v>
      </c>
      <c r="E204" s="293">
        <v>-1.5822849999999999</v>
      </c>
      <c r="F204" s="293">
        <v>6.2968830000000002</v>
      </c>
      <c r="G204" s="295">
        <v>-5.4255889999999998E-3</v>
      </c>
      <c r="H204" s="291">
        <v>0.99983</v>
      </c>
      <c r="I204" s="287">
        <v>9.8400000000000001E-2</v>
      </c>
      <c r="J204" s="288">
        <v>2</v>
      </c>
      <c r="K204" s="287">
        <v>3.6999999999999998E-2</v>
      </c>
    </row>
    <row r="205" spans="1:11">
      <c r="A205" s="264">
        <v>65</v>
      </c>
      <c r="B205" s="285" t="s">
        <v>153</v>
      </c>
      <c r="C205" s="293">
        <v>3.8980600000000001</v>
      </c>
      <c r="D205" s="293">
        <v>-0.57847789999999999</v>
      </c>
      <c r="E205" s="293">
        <v>-1.727123</v>
      </c>
      <c r="F205" s="293">
        <v>6.5490820000000003</v>
      </c>
      <c r="G205" s="295">
        <v>-5.5816340000000002E-3</v>
      </c>
      <c r="H205" s="291">
        <v>0.99982700000000002</v>
      </c>
      <c r="I205" s="287">
        <v>9.8900000000000002E-2</v>
      </c>
      <c r="J205" s="288">
        <v>2</v>
      </c>
      <c r="K205" s="287">
        <v>3.7400000000000003E-2</v>
      </c>
    </row>
    <row r="206" spans="1:11">
      <c r="A206" s="264">
        <v>66</v>
      </c>
      <c r="B206" s="285" t="s">
        <v>374</v>
      </c>
      <c r="C206" s="293">
        <v>3.633845</v>
      </c>
      <c r="D206" s="293">
        <v>-0.26392650000000001</v>
      </c>
      <c r="E206" s="293">
        <v>-2.9337330000000001</v>
      </c>
      <c r="F206" s="293">
        <v>8.4781759999999995</v>
      </c>
      <c r="G206" s="295">
        <v>-6.6763070000000002E-3</v>
      </c>
      <c r="H206" s="291">
        <v>0.99984399999999996</v>
      </c>
      <c r="I206" s="287">
        <v>9.2200000000000004E-2</v>
      </c>
      <c r="J206" s="288">
        <v>2</v>
      </c>
      <c r="K206" s="287">
        <v>3.6700000000000003E-2</v>
      </c>
    </row>
    <row r="207" spans="1:11">
      <c r="A207" s="264">
        <v>66</v>
      </c>
      <c r="B207" s="285" t="s">
        <v>154</v>
      </c>
      <c r="C207" s="293">
        <v>3.6111040000000001</v>
      </c>
      <c r="D207" s="293">
        <v>-0.23638410000000001</v>
      </c>
      <c r="E207" s="293">
        <v>-3.0476589999999999</v>
      </c>
      <c r="F207" s="293">
        <v>8.6741419999999998</v>
      </c>
      <c r="G207" s="295">
        <v>-6.7963520000000003E-3</v>
      </c>
      <c r="H207" s="291">
        <v>0.99984200000000001</v>
      </c>
      <c r="I207" s="287">
        <v>9.2399999999999996E-2</v>
      </c>
      <c r="J207" s="288">
        <v>2</v>
      </c>
      <c r="K207" s="287">
        <v>3.6900000000000002E-2</v>
      </c>
    </row>
    <row r="208" spans="1:11">
      <c r="A208" s="264">
        <v>67</v>
      </c>
      <c r="B208" s="285" t="s">
        <v>375</v>
      </c>
      <c r="C208" s="293">
        <v>3.316519</v>
      </c>
      <c r="D208" s="293">
        <v>0.1100454</v>
      </c>
      <c r="E208" s="293">
        <v>-4.3671110000000004</v>
      </c>
      <c r="F208" s="293">
        <v>10.767469999999999</v>
      </c>
      <c r="G208" s="295">
        <v>-7.9758039999999995E-3</v>
      </c>
      <c r="H208" s="291">
        <v>0.99985900000000005</v>
      </c>
      <c r="I208" s="287">
        <v>8.4500000000000006E-2</v>
      </c>
      <c r="J208" s="288">
        <v>2</v>
      </c>
      <c r="K208" s="287">
        <v>3.61E-2</v>
      </c>
    </row>
    <row r="209" spans="1:11">
      <c r="A209" s="264">
        <v>68</v>
      </c>
      <c r="B209" s="285" t="s">
        <v>376</v>
      </c>
      <c r="C209" s="293">
        <v>3.0465010000000001</v>
      </c>
      <c r="D209" s="293">
        <v>0.42199249999999999</v>
      </c>
      <c r="E209" s="293">
        <v>-5.5257500000000004</v>
      </c>
      <c r="F209" s="293">
        <v>12.556100000000001</v>
      </c>
      <c r="G209" s="295">
        <v>-8.953931E-3</v>
      </c>
      <c r="H209" s="291">
        <v>0.99987899999999996</v>
      </c>
      <c r="I209" s="287">
        <v>8.1199999999999994E-2</v>
      </c>
      <c r="J209" s="288">
        <v>6</v>
      </c>
      <c r="K209" s="287">
        <v>3.4599999999999999E-2</v>
      </c>
    </row>
    <row r="210" spans="1:11">
      <c r="A210" s="264">
        <v>69</v>
      </c>
      <c r="B210" s="285" t="s">
        <v>377</v>
      </c>
      <c r="C210" s="293">
        <v>2.8262139999999998</v>
      </c>
      <c r="D210" s="293">
        <v>0.67120709999999995</v>
      </c>
      <c r="E210" s="293">
        <v>-6.4144310000000004</v>
      </c>
      <c r="F210" s="293">
        <v>13.86392</v>
      </c>
      <c r="G210" s="295">
        <v>-9.6291610000000007E-3</v>
      </c>
      <c r="H210" s="291">
        <v>0.99989899999999998</v>
      </c>
      <c r="I210" s="287">
        <v>7.9100000000000004E-2</v>
      </c>
      <c r="J210" s="288">
        <v>6</v>
      </c>
      <c r="K210" s="287">
        <v>3.2399999999999998E-2</v>
      </c>
    </row>
    <row r="211" spans="1:11">
      <c r="A211" s="264">
        <v>69</v>
      </c>
      <c r="B211" s="285" t="s">
        <v>155</v>
      </c>
      <c r="C211" s="293">
        <v>2.8043680000000002</v>
      </c>
      <c r="D211" s="293">
        <v>0.69633670000000003</v>
      </c>
      <c r="E211" s="293">
        <v>-6.5137989999999997</v>
      </c>
      <c r="F211" s="293">
        <v>14.028130000000001</v>
      </c>
      <c r="G211" s="295">
        <v>-9.7262129999999992E-3</v>
      </c>
      <c r="H211" s="291">
        <v>0.99989899999999998</v>
      </c>
      <c r="I211" s="287">
        <v>7.9399999999999998E-2</v>
      </c>
      <c r="J211" s="288">
        <v>6</v>
      </c>
      <c r="K211" s="287">
        <v>3.2399999999999998E-2</v>
      </c>
    </row>
    <row r="212" spans="1:11">
      <c r="A212" s="264">
        <v>70</v>
      </c>
      <c r="B212" s="285" t="s">
        <v>378</v>
      </c>
      <c r="C212" s="293">
        <v>2.6132659999999999</v>
      </c>
      <c r="D212" s="293">
        <v>0.90756020000000004</v>
      </c>
      <c r="E212" s="293">
        <v>-7.2345699999999997</v>
      </c>
      <c r="F212" s="293">
        <v>15.03068</v>
      </c>
      <c r="G212" s="295">
        <v>-1.020623E-2</v>
      </c>
      <c r="H212" s="291">
        <v>0.999919</v>
      </c>
      <c r="I212" s="287">
        <v>7.5899999999999995E-2</v>
      </c>
      <c r="J212" s="288">
        <v>6</v>
      </c>
      <c r="K212" s="287">
        <v>2.9700000000000001E-2</v>
      </c>
    </row>
    <row r="213" spans="1:11">
      <c r="A213" s="264">
        <v>70</v>
      </c>
      <c r="B213" s="285" t="s">
        <v>156</v>
      </c>
      <c r="C213" s="293">
        <v>2.5924830000000001</v>
      </c>
      <c r="D213" s="293">
        <v>0.93108029999999997</v>
      </c>
      <c r="E213" s="293">
        <v>-7.3261029999999998</v>
      </c>
      <c r="F213" s="293">
        <v>15.179650000000001</v>
      </c>
      <c r="G213" s="295">
        <v>-1.029301E-2</v>
      </c>
      <c r="H213" s="291">
        <v>0.999919</v>
      </c>
      <c r="I213" s="287">
        <v>7.6100000000000001E-2</v>
      </c>
      <c r="J213" s="288">
        <v>6</v>
      </c>
      <c r="K213" s="287">
        <v>2.9700000000000001E-2</v>
      </c>
    </row>
    <row r="214" spans="1:11">
      <c r="A214" s="264">
        <v>71</v>
      </c>
      <c r="B214" s="285" t="s">
        <v>379</v>
      </c>
      <c r="C214" s="293">
        <v>2.412328</v>
      </c>
      <c r="D214" s="293">
        <v>1.125243</v>
      </c>
      <c r="E214" s="293">
        <v>-7.9616150000000001</v>
      </c>
      <c r="F214" s="293">
        <v>16.013649999999998</v>
      </c>
      <c r="G214" s="295">
        <v>-1.0658849999999999E-2</v>
      </c>
      <c r="H214" s="291">
        <v>0.99993799999999999</v>
      </c>
      <c r="I214" s="287">
        <v>7.1300000000000002E-2</v>
      </c>
      <c r="J214" s="288">
        <v>6</v>
      </c>
      <c r="K214" s="287">
        <v>2.6599999999999999E-2</v>
      </c>
    </row>
    <row r="215" spans="1:11">
      <c r="A215" s="264">
        <v>72</v>
      </c>
      <c r="B215" s="285" t="s">
        <v>380</v>
      </c>
      <c r="C215" s="293">
        <v>2.2408920000000001</v>
      </c>
      <c r="D215" s="293">
        <v>1.3049329999999999</v>
      </c>
      <c r="E215" s="293">
        <v>-8.5207230000000003</v>
      </c>
      <c r="F215" s="293">
        <v>16.69106</v>
      </c>
      <c r="G215" s="295">
        <v>-1.091629E-2</v>
      </c>
      <c r="H215" s="291">
        <v>0.99995400000000001</v>
      </c>
      <c r="I215" s="287">
        <v>6.5299999999999997E-2</v>
      </c>
      <c r="J215" s="288">
        <v>6</v>
      </c>
      <c r="K215" s="287">
        <v>2.3199999999999998E-2</v>
      </c>
    </row>
    <row r="216" spans="1:11">
      <c r="A216" s="264">
        <v>72</v>
      </c>
      <c r="B216" s="285" t="s">
        <v>157</v>
      </c>
      <c r="C216" s="293">
        <v>2.2414619999999998</v>
      </c>
      <c r="D216" s="293">
        <v>1.3042100000000001</v>
      </c>
      <c r="E216" s="293">
        <v>-8.5181129999999996</v>
      </c>
      <c r="F216" s="293">
        <v>16.6874</v>
      </c>
      <c r="G216" s="295">
        <v>-1.0914439999999999E-2</v>
      </c>
      <c r="H216" s="291">
        <v>0.99995500000000004</v>
      </c>
      <c r="I216" s="287">
        <v>6.5299999999999997E-2</v>
      </c>
      <c r="J216" s="288">
        <v>6</v>
      </c>
      <c r="K216" s="287">
        <v>2.3199999999999998E-2</v>
      </c>
    </row>
    <row r="217" spans="1:11">
      <c r="A217" s="264">
        <v>72</v>
      </c>
      <c r="B217" s="285" t="s">
        <v>158</v>
      </c>
      <c r="C217" s="293">
        <v>2.2428560000000002</v>
      </c>
      <c r="D217" s="293">
        <v>1.302543</v>
      </c>
      <c r="E217" s="293">
        <v>-8.5119939999999996</v>
      </c>
      <c r="F217" s="293">
        <v>16.67839</v>
      </c>
      <c r="G217" s="295">
        <v>-1.090966E-2</v>
      </c>
      <c r="H217" s="291">
        <v>0.99995500000000004</v>
      </c>
      <c r="I217" s="287">
        <v>6.5299999999999997E-2</v>
      </c>
      <c r="J217" s="288">
        <v>6</v>
      </c>
      <c r="K217" s="287">
        <v>2.3199999999999998E-2</v>
      </c>
    </row>
    <row r="218" spans="1:11">
      <c r="A218" s="264">
        <v>73</v>
      </c>
      <c r="B218" s="285" t="s">
        <v>381</v>
      </c>
      <c r="C218" s="293">
        <v>2.1034510000000002</v>
      </c>
      <c r="D218" s="293">
        <v>1.441859</v>
      </c>
      <c r="E218" s="293">
        <v>-8.8963850000000004</v>
      </c>
      <c r="F218" s="293">
        <v>17.043839999999999</v>
      </c>
      <c r="G218" s="295">
        <v>-1.097097E-2</v>
      </c>
      <c r="H218" s="291">
        <v>0.99996799999999997</v>
      </c>
      <c r="I218" s="287">
        <v>5.79E-2</v>
      </c>
      <c r="J218" s="288">
        <v>6</v>
      </c>
      <c r="K218" s="287">
        <v>1.9599999999999999E-2</v>
      </c>
    </row>
    <row r="219" spans="1:11">
      <c r="A219" s="264">
        <v>73</v>
      </c>
      <c r="B219" s="285" t="s">
        <v>159</v>
      </c>
      <c r="C219" s="293">
        <v>2.1039829999999999</v>
      </c>
      <c r="D219" s="293">
        <v>1.441192</v>
      </c>
      <c r="E219" s="293">
        <v>-8.8939800000000009</v>
      </c>
      <c r="F219" s="293">
        <v>17.040420000000001</v>
      </c>
      <c r="G219" s="295">
        <v>-1.096919E-2</v>
      </c>
      <c r="H219" s="291">
        <v>0.99996799999999997</v>
      </c>
      <c r="I219" s="287">
        <v>5.79E-2</v>
      </c>
      <c r="J219" s="288">
        <v>6</v>
      </c>
      <c r="K219" s="287">
        <v>1.9599999999999999E-2</v>
      </c>
    </row>
    <row r="220" spans="1:11">
      <c r="A220" s="264">
        <v>73</v>
      </c>
      <c r="B220" s="285" t="s">
        <v>160</v>
      </c>
      <c r="C220" s="293">
        <v>2.1052960000000001</v>
      </c>
      <c r="D220" s="293">
        <v>1.439649</v>
      </c>
      <c r="E220" s="293">
        <v>-8.8883659999999995</v>
      </c>
      <c r="F220" s="293">
        <v>17.032170000000001</v>
      </c>
      <c r="G220" s="295">
        <v>-1.096479E-2</v>
      </c>
      <c r="H220" s="291">
        <v>0.99996799999999997</v>
      </c>
      <c r="I220" s="287">
        <v>5.7799999999999997E-2</v>
      </c>
      <c r="J220" s="288">
        <v>6</v>
      </c>
      <c r="K220" s="287">
        <v>1.9599999999999999E-2</v>
      </c>
    </row>
    <row r="221" spans="1:11">
      <c r="A221" s="264">
        <v>73</v>
      </c>
      <c r="B221" s="285" t="s">
        <v>161</v>
      </c>
      <c r="C221" s="293">
        <v>2.1075200000000001</v>
      </c>
      <c r="D221" s="293">
        <v>1.437095</v>
      </c>
      <c r="E221" s="293">
        <v>-8.8790589999999998</v>
      </c>
      <c r="F221" s="293">
        <v>17.018350000000002</v>
      </c>
      <c r="G221" s="295">
        <v>-1.0957359999999999E-2</v>
      </c>
      <c r="H221" s="291">
        <v>0.99996799999999997</v>
      </c>
      <c r="I221" s="287">
        <v>5.7799999999999997E-2</v>
      </c>
      <c r="J221" s="288">
        <v>6</v>
      </c>
      <c r="K221" s="287">
        <v>1.9599999999999999E-2</v>
      </c>
    </row>
    <row r="222" spans="1:11">
      <c r="A222" s="264">
        <v>74</v>
      </c>
      <c r="B222" s="285" t="s">
        <v>162</v>
      </c>
      <c r="C222" s="293">
        <v>2.0008469999999998</v>
      </c>
      <c r="D222" s="293">
        <v>1.535612</v>
      </c>
      <c r="E222" s="293">
        <v>-9.0887200000000004</v>
      </c>
      <c r="F222" s="293">
        <v>17.074819999999999</v>
      </c>
      <c r="G222" s="295">
        <v>-1.082606E-2</v>
      </c>
      <c r="H222" s="291">
        <v>0.99997800000000003</v>
      </c>
      <c r="I222" s="287">
        <v>4.9099999999999998E-2</v>
      </c>
      <c r="J222" s="288">
        <v>6</v>
      </c>
      <c r="K222" s="287">
        <v>1.67E-2</v>
      </c>
    </row>
    <row r="223" spans="1:11">
      <c r="A223" s="264">
        <v>74</v>
      </c>
      <c r="B223" s="285" t="s">
        <v>163</v>
      </c>
      <c r="C223" s="293">
        <v>2.0007410000000001</v>
      </c>
      <c r="D223" s="293">
        <v>1.535962</v>
      </c>
      <c r="E223" s="293">
        <v>-9.0908949999999997</v>
      </c>
      <c r="F223" s="293">
        <v>17.079689999999999</v>
      </c>
      <c r="G223" s="295">
        <v>-1.0829729999999999E-2</v>
      </c>
      <c r="H223" s="291">
        <v>0.99997800000000003</v>
      </c>
      <c r="I223" s="287">
        <v>4.9200000000000001E-2</v>
      </c>
      <c r="J223" s="288">
        <v>6</v>
      </c>
      <c r="K223" s="287">
        <v>1.67E-2</v>
      </c>
    </row>
    <row r="224" spans="1:11">
      <c r="A224" s="264">
        <v>74</v>
      </c>
      <c r="B224" s="285" t="s">
        <v>164</v>
      </c>
      <c r="C224" s="293">
        <v>2.001325</v>
      </c>
      <c r="D224" s="293">
        <v>1.5352490000000001</v>
      </c>
      <c r="E224" s="293">
        <v>-9.0882880000000004</v>
      </c>
      <c r="F224" s="293">
        <v>17.075839999999999</v>
      </c>
      <c r="G224" s="295">
        <v>-1.082763E-2</v>
      </c>
      <c r="H224" s="291">
        <v>0.99997800000000003</v>
      </c>
      <c r="I224" s="287">
        <v>4.9200000000000001E-2</v>
      </c>
      <c r="J224" s="288">
        <v>6</v>
      </c>
      <c r="K224" s="287">
        <v>1.67E-2</v>
      </c>
    </row>
    <row r="225" spans="1:11">
      <c r="A225" s="264">
        <v>74</v>
      </c>
      <c r="B225" s="285" t="s">
        <v>165</v>
      </c>
      <c r="C225" s="293">
        <v>2.0026619999999999</v>
      </c>
      <c r="D225" s="293">
        <v>1.533706</v>
      </c>
      <c r="E225" s="293">
        <v>-9.0826840000000004</v>
      </c>
      <c r="F225" s="293">
        <v>17.067530000000001</v>
      </c>
      <c r="G225" s="295">
        <v>-1.082312E-2</v>
      </c>
      <c r="H225" s="291">
        <v>0.99997800000000003</v>
      </c>
      <c r="I225" s="287">
        <v>4.9099999999999998E-2</v>
      </c>
      <c r="J225" s="288">
        <v>6</v>
      </c>
      <c r="K225" s="287">
        <v>1.67E-2</v>
      </c>
    </row>
    <row r="226" spans="1:11">
      <c r="A226" s="264">
        <v>74</v>
      </c>
      <c r="B226" s="285" t="s">
        <v>166</v>
      </c>
      <c r="C226" s="293">
        <v>2.0048699999999999</v>
      </c>
      <c r="D226" s="293">
        <v>1.531215</v>
      </c>
      <c r="E226" s="293">
        <v>-9.073677</v>
      </c>
      <c r="F226" s="293">
        <v>17.054169999999999</v>
      </c>
      <c r="G226" s="295">
        <v>-1.081591E-2</v>
      </c>
      <c r="H226" s="291">
        <v>0.99997800000000003</v>
      </c>
      <c r="I226" s="287">
        <v>4.9099999999999998E-2</v>
      </c>
      <c r="J226" s="288">
        <v>6</v>
      </c>
      <c r="K226" s="287">
        <v>1.67E-2</v>
      </c>
    </row>
    <row r="227" spans="1:11">
      <c r="A227" s="264">
        <v>74</v>
      </c>
      <c r="B227" s="285" t="s">
        <v>167</v>
      </c>
      <c r="C227" s="293">
        <v>2.008035</v>
      </c>
      <c r="D227" s="293">
        <v>1.5276909999999999</v>
      </c>
      <c r="E227" s="293">
        <v>-9.0609749999999991</v>
      </c>
      <c r="F227" s="293">
        <v>17.035340000000001</v>
      </c>
      <c r="G227" s="295">
        <v>-1.0805769999999999E-2</v>
      </c>
      <c r="H227" s="291">
        <v>0.99997800000000003</v>
      </c>
      <c r="I227" s="287">
        <v>4.9099999999999998E-2</v>
      </c>
      <c r="J227" s="288">
        <v>6</v>
      </c>
      <c r="K227" s="287">
        <v>1.67E-2</v>
      </c>
    </row>
    <row r="228" spans="1:11">
      <c r="A228" s="264">
        <v>75</v>
      </c>
      <c r="B228" s="285" t="s">
        <v>168</v>
      </c>
      <c r="C228" s="293">
        <v>1.934264</v>
      </c>
      <c r="D228" s="293">
        <v>1.5860289999999999</v>
      </c>
      <c r="E228" s="293">
        <v>-9.1015350000000002</v>
      </c>
      <c r="F228" s="293">
        <v>16.797519999999999</v>
      </c>
      <c r="G228" s="295">
        <v>-1.0493769999999999E-2</v>
      </c>
      <c r="H228" s="291">
        <v>0.99998399999999998</v>
      </c>
      <c r="I228" s="287">
        <v>3.9300000000000002E-2</v>
      </c>
      <c r="J228" s="288">
        <v>6</v>
      </c>
      <c r="K228" s="287">
        <v>1.49E-2</v>
      </c>
    </row>
    <row r="229" spans="1:11">
      <c r="A229" s="264">
        <v>75</v>
      </c>
      <c r="B229" s="285" t="s">
        <v>169</v>
      </c>
      <c r="C229" s="293">
        <v>1.9336089999999999</v>
      </c>
      <c r="D229" s="293">
        <v>1.5870059999999999</v>
      </c>
      <c r="E229" s="293">
        <v>-9.1062410000000007</v>
      </c>
      <c r="F229" s="293">
        <v>16.806730000000002</v>
      </c>
      <c r="G229" s="295">
        <v>-1.050012E-2</v>
      </c>
      <c r="H229" s="291">
        <v>0.99998399999999998</v>
      </c>
      <c r="I229" s="287">
        <v>3.9399999999999998E-2</v>
      </c>
      <c r="J229" s="288">
        <v>6</v>
      </c>
      <c r="K229" s="287">
        <v>1.49E-2</v>
      </c>
    </row>
    <row r="230" spans="1:11">
      <c r="A230" s="264">
        <v>75</v>
      </c>
      <c r="B230" s="285" t="s">
        <v>170</v>
      </c>
      <c r="C230" s="293">
        <v>1.934304</v>
      </c>
      <c r="D230" s="293">
        <v>1.5861769999999999</v>
      </c>
      <c r="E230" s="293">
        <v>-9.1031610000000001</v>
      </c>
      <c r="F230" s="293">
        <v>16.802009999999999</v>
      </c>
      <c r="G230" s="295">
        <v>-1.049744E-2</v>
      </c>
      <c r="H230" s="291">
        <v>0.99998399999999998</v>
      </c>
      <c r="I230" s="287">
        <v>3.9399999999999998E-2</v>
      </c>
      <c r="J230" s="288">
        <v>6</v>
      </c>
      <c r="K230" s="287">
        <v>1.4999999999999999E-2</v>
      </c>
    </row>
    <row r="231" spans="1:11">
      <c r="A231" s="264">
        <v>75</v>
      </c>
      <c r="B231" s="285" t="s">
        <v>171</v>
      </c>
      <c r="C231" s="293">
        <v>1.935737</v>
      </c>
      <c r="D231" s="293">
        <v>1.584551</v>
      </c>
      <c r="E231" s="293">
        <v>-9.0972469999999994</v>
      </c>
      <c r="F231" s="293">
        <v>16.793119999999998</v>
      </c>
      <c r="G231" s="295">
        <v>-1.049253E-2</v>
      </c>
      <c r="H231" s="291">
        <v>0.99998399999999998</v>
      </c>
      <c r="I231" s="287">
        <v>3.9399999999999998E-2</v>
      </c>
      <c r="J231" s="288">
        <v>6</v>
      </c>
      <c r="K231" s="287">
        <v>1.4999999999999999E-2</v>
      </c>
    </row>
    <row r="232" spans="1:11">
      <c r="A232" s="264">
        <v>75</v>
      </c>
      <c r="B232" s="285" t="s">
        <v>172</v>
      </c>
      <c r="C232" s="293">
        <v>1.9380059999999999</v>
      </c>
      <c r="D232" s="293">
        <v>1.5820320000000001</v>
      </c>
      <c r="E232" s="293">
        <v>-9.0881769999999999</v>
      </c>
      <c r="F232" s="293">
        <v>16.779610000000002</v>
      </c>
      <c r="G232" s="295">
        <v>-1.048517E-2</v>
      </c>
      <c r="H232" s="291">
        <v>0.99998399999999998</v>
      </c>
      <c r="I232" s="287">
        <v>3.9300000000000002E-2</v>
      </c>
      <c r="J232" s="288">
        <v>6</v>
      </c>
      <c r="K232" s="287">
        <v>1.4999999999999999E-2</v>
      </c>
    </row>
    <row r="233" spans="1:11">
      <c r="A233" s="264">
        <v>75</v>
      </c>
      <c r="B233" s="285" t="s">
        <v>173</v>
      </c>
      <c r="C233" s="293">
        <v>1.9411879999999999</v>
      </c>
      <c r="D233" s="293">
        <v>1.5785469999999999</v>
      </c>
      <c r="E233" s="293">
        <v>-9.0757189999999994</v>
      </c>
      <c r="F233" s="293">
        <v>16.761189999999999</v>
      </c>
      <c r="G233" s="295">
        <v>-1.047524E-2</v>
      </c>
      <c r="H233" s="291">
        <v>0.99998399999999998</v>
      </c>
      <c r="I233" s="287">
        <v>3.9300000000000002E-2</v>
      </c>
      <c r="J233" s="288">
        <v>6</v>
      </c>
      <c r="K233" s="287">
        <v>1.49E-2</v>
      </c>
    </row>
    <row r="234" spans="1:11">
      <c r="A234" s="264">
        <v>75</v>
      </c>
      <c r="B234" s="285" t="s">
        <v>174</v>
      </c>
      <c r="C234" s="293">
        <v>1.9453450000000001</v>
      </c>
      <c r="D234" s="293">
        <v>1.574041</v>
      </c>
      <c r="E234" s="293">
        <v>-9.0596979999999991</v>
      </c>
      <c r="F234" s="293">
        <v>16.73762</v>
      </c>
      <c r="G234" s="295">
        <v>-1.0462630000000001E-2</v>
      </c>
      <c r="H234" s="291">
        <v>0.99998399999999998</v>
      </c>
      <c r="I234" s="287">
        <v>3.9199999999999999E-2</v>
      </c>
      <c r="J234" s="288">
        <v>6</v>
      </c>
      <c r="K234" s="287">
        <v>1.49E-2</v>
      </c>
    </row>
    <row r="235" spans="1:11">
      <c r="A235" s="264">
        <v>76</v>
      </c>
      <c r="B235" s="285" t="s">
        <v>175</v>
      </c>
      <c r="C235" s="293">
        <v>1.9035899999999999</v>
      </c>
      <c r="D235" s="293">
        <v>1.593769</v>
      </c>
      <c r="E235" s="293">
        <v>-8.9397479999999998</v>
      </c>
      <c r="F235" s="293">
        <v>16.22391</v>
      </c>
      <c r="G235" s="295">
        <v>-9.9833079999999998E-3</v>
      </c>
      <c r="H235" s="291">
        <v>0.99998500000000001</v>
      </c>
      <c r="I235" s="287">
        <v>3.49E-2</v>
      </c>
      <c r="J235" s="288">
        <v>2</v>
      </c>
      <c r="K235" s="287">
        <v>1.4200000000000001E-2</v>
      </c>
    </row>
    <row r="236" spans="1:11">
      <c r="A236" s="264">
        <v>76</v>
      </c>
      <c r="B236" s="285" t="s">
        <v>176</v>
      </c>
      <c r="C236" s="293">
        <v>1.9023239999999999</v>
      </c>
      <c r="D236" s="293">
        <v>1.5954299999999999</v>
      </c>
      <c r="E236" s="293">
        <v>-8.9471749999999997</v>
      </c>
      <c r="F236" s="293">
        <v>16.237719999999999</v>
      </c>
      <c r="G236" s="295">
        <v>-9.9924690000000004E-3</v>
      </c>
      <c r="H236" s="291">
        <v>0.99998600000000004</v>
      </c>
      <c r="I236" s="287">
        <v>3.4700000000000002E-2</v>
      </c>
      <c r="J236" s="288">
        <v>2</v>
      </c>
      <c r="K236" s="287">
        <v>1.41E-2</v>
      </c>
    </row>
    <row r="237" spans="1:11">
      <c r="A237" s="264">
        <v>76</v>
      </c>
      <c r="B237" s="285" t="s">
        <v>177</v>
      </c>
      <c r="C237" s="293">
        <v>1.9031750000000001</v>
      </c>
      <c r="D237" s="293">
        <v>1.5944370000000001</v>
      </c>
      <c r="E237" s="293">
        <v>-8.9434389999999997</v>
      </c>
      <c r="F237" s="293">
        <v>16.231839999999998</v>
      </c>
      <c r="G237" s="295">
        <v>-9.9890410000000006E-3</v>
      </c>
      <c r="H237" s="291">
        <v>0.99998600000000004</v>
      </c>
      <c r="I237" s="287">
        <v>3.4799999999999998E-2</v>
      </c>
      <c r="J237" s="288">
        <v>2</v>
      </c>
      <c r="K237" s="287">
        <v>1.4200000000000001E-2</v>
      </c>
    </row>
    <row r="238" spans="1:11">
      <c r="A238" s="264">
        <v>76</v>
      </c>
      <c r="B238" s="285" t="s">
        <v>178</v>
      </c>
      <c r="C238" s="293">
        <v>1.904752</v>
      </c>
      <c r="D238" s="293">
        <v>1.5926739999999999</v>
      </c>
      <c r="E238" s="293">
        <v>-8.9370010000000004</v>
      </c>
      <c r="F238" s="293">
        <v>16.22203</v>
      </c>
      <c r="G238" s="295">
        <v>-9.983525E-3</v>
      </c>
      <c r="H238" s="291">
        <v>0.99998500000000001</v>
      </c>
      <c r="I238" s="287">
        <v>3.49E-2</v>
      </c>
      <c r="J238" s="288">
        <v>2</v>
      </c>
      <c r="K238" s="287">
        <v>1.4200000000000001E-2</v>
      </c>
    </row>
    <row r="239" spans="1:11">
      <c r="A239" s="264">
        <v>76</v>
      </c>
      <c r="B239" s="285" t="s">
        <v>179</v>
      </c>
      <c r="C239" s="293">
        <v>1.907135</v>
      </c>
      <c r="D239" s="293">
        <v>1.5900669999999999</v>
      </c>
      <c r="E239" s="293">
        <v>-8.9276309999999999</v>
      </c>
      <c r="F239" s="293">
        <v>16.207999999999998</v>
      </c>
      <c r="G239" s="295">
        <v>-9.9758120000000006E-3</v>
      </c>
      <c r="H239" s="291">
        <v>0.99998500000000001</v>
      </c>
      <c r="I239" s="287">
        <v>3.5000000000000003E-2</v>
      </c>
      <c r="J239" s="288">
        <v>2</v>
      </c>
      <c r="K239" s="287">
        <v>1.4200000000000001E-2</v>
      </c>
    </row>
    <row r="240" spans="1:11">
      <c r="A240" s="264">
        <v>76</v>
      </c>
      <c r="B240" s="285" t="s">
        <v>180</v>
      </c>
      <c r="C240" s="293">
        <v>1.910388</v>
      </c>
      <c r="D240" s="293">
        <v>1.5865579999999999</v>
      </c>
      <c r="E240" s="293">
        <v>-8.9151640000000008</v>
      </c>
      <c r="F240" s="293">
        <v>16.18956</v>
      </c>
      <c r="G240" s="295">
        <v>-9.9658339999999998E-3</v>
      </c>
      <c r="H240" s="291">
        <v>0.99998500000000001</v>
      </c>
      <c r="I240" s="287">
        <v>3.5099999999999999E-2</v>
      </c>
      <c r="J240" s="288">
        <v>2</v>
      </c>
      <c r="K240" s="287">
        <v>1.4200000000000001E-2</v>
      </c>
    </row>
    <row r="241" spans="1:11">
      <c r="A241" s="264">
        <v>76</v>
      </c>
      <c r="B241" s="285" t="s">
        <v>181</v>
      </c>
      <c r="C241" s="293">
        <v>1.91456</v>
      </c>
      <c r="D241" s="293">
        <v>1.582106</v>
      </c>
      <c r="E241" s="293">
        <v>-8.8994809999999998</v>
      </c>
      <c r="F241" s="293">
        <v>16.166589999999999</v>
      </c>
      <c r="G241" s="295">
        <v>-9.9535579999999995E-3</v>
      </c>
      <c r="H241" s="291">
        <v>0.99998500000000001</v>
      </c>
      <c r="I241" s="287">
        <v>3.5200000000000002E-2</v>
      </c>
      <c r="J241" s="288">
        <v>2</v>
      </c>
      <c r="K241" s="287">
        <v>1.4200000000000001E-2</v>
      </c>
    </row>
    <row r="242" spans="1:11">
      <c r="A242" s="264">
        <v>76</v>
      </c>
      <c r="B242" s="285" t="s">
        <v>182</v>
      </c>
      <c r="C242" s="293">
        <v>1.919694</v>
      </c>
      <c r="D242" s="293">
        <v>1.576675</v>
      </c>
      <c r="E242" s="293">
        <v>-8.8804960000000008</v>
      </c>
      <c r="F242" s="293">
        <v>16.139009999999999</v>
      </c>
      <c r="G242" s="295">
        <v>-9.9389769999999999E-3</v>
      </c>
      <c r="H242" s="291">
        <v>0.99998500000000001</v>
      </c>
      <c r="I242" s="287">
        <v>3.5200000000000002E-2</v>
      </c>
      <c r="J242" s="288">
        <v>2</v>
      </c>
      <c r="K242" s="287">
        <v>1.4200000000000001E-2</v>
      </c>
    </row>
    <row r="243" spans="1:11">
      <c r="A243" s="264">
        <v>77</v>
      </c>
      <c r="B243" s="285" t="s">
        <v>183</v>
      </c>
      <c r="C243" s="293">
        <v>1.908579</v>
      </c>
      <c r="D243" s="293">
        <v>1.5598730000000001</v>
      </c>
      <c r="E243" s="293">
        <v>-8.6104819999999993</v>
      </c>
      <c r="F243" s="293">
        <v>15.370649999999999</v>
      </c>
      <c r="G243" s="295">
        <v>-9.3072459999999999E-3</v>
      </c>
      <c r="H243" s="291">
        <v>0.99998299999999996</v>
      </c>
      <c r="I243" s="287">
        <v>5.0099999999999999E-2</v>
      </c>
      <c r="J243" s="288">
        <v>2</v>
      </c>
      <c r="K243" s="287">
        <v>1.44E-2</v>
      </c>
    </row>
    <row r="244" spans="1:11">
      <c r="A244" s="264">
        <v>77</v>
      </c>
      <c r="B244" s="285" t="s">
        <v>184</v>
      </c>
      <c r="C244" s="293">
        <v>1.9066590000000001</v>
      </c>
      <c r="D244" s="293">
        <v>1.562254</v>
      </c>
      <c r="E244" s="293">
        <v>-8.6207290000000008</v>
      </c>
      <c r="F244" s="293">
        <v>15.38916</v>
      </c>
      <c r="G244" s="295">
        <v>-9.3192510000000006E-3</v>
      </c>
      <c r="H244" s="291">
        <v>0.99998399999999998</v>
      </c>
      <c r="I244" s="287">
        <v>4.9799999999999997E-2</v>
      </c>
      <c r="J244" s="288">
        <v>2</v>
      </c>
      <c r="K244" s="287">
        <v>1.43E-2</v>
      </c>
    </row>
    <row r="245" spans="1:11">
      <c r="A245" s="264">
        <v>77</v>
      </c>
      <c r="B245" s="285" t="s">
        <v>185</v>
      </c>
      <c r="C245" s="293">
        <v>1.9076979999999999</v>
      </c>
      <c r="D245" s="293">
        <v>1.5610630000000001</v>
      </c>
      <c r="E245" s="293">
        <v>-8.6162150000000004</v>
      </c>
      <c r="F245" s="293">
        <v>15.38194</v>
      </c>
      <c r="G245" s="295">
        <v>-9.3149770000000003E-3</v>
      </c>
      <c r="H245" s="291">
        <v>0.99998299999999996</v>
      </c>
      <c r="I245" s="287">
        <v>4.99E-2</v>
      </c>
      <c r="J245" s="288">
        <v>2</v>
      </c>
      <c r="K245" s="287">
        <v>1.43E-2</v>
      </c>
    </row>
    <row r="246" spans="1:11">
      <c r="A246" s="264">
        <v>77</v>
      </c>
      <c r="B246" s="285" t="s">
        <v>186</v>
      </c>
      <c r="C246" s="293">
        <v>1.9094519999999999</v>
      </c>
      <c r="D246" s="293">
        <v>1.5591269999999999</v>
      </c>
      <c r="E246" s="293">
        <v>-8.6091200000000008</v>
      </c>
      <c r="F246" s="293">
        <v>15.371</v>
      </c>
      <c r="G246" s="295">
        <v>-9.3087489999999998E-3</v>
      </c>
      <c r="H246" s="291">
        <v>0.99998299999999996</v>
      </c>
      <c r="I246" s="287">
        <v>0.05</v>
      </c>
      <c r="J246" s="288">
        <v>2</v>
      </c>
      <c r="K246" s="287">
        <v>1.44E-2</v>
      </c>
    </row>
    <row r="247" spans="1:11">
      <c r="A247" s="264">
        <v>77</v>
      </c>
      <c r="B247" s="285" t="s">
        <v>187</v>
      </c>
      <c r="C247" s="293">
        <v>1.9119820000000001</v>
      </c>
      <c r="D247" s="293">
        <v>1.5563929999999999</v>
      </c>
      <c r="E247" s="293">
        <v>-8.5993049999999993</v>
      </c>
      <c r="F247" s="293">
        <v>15.356210000000001</v>
      </c>
      <c r="G247" s="295">
        <v>-9.3005520000000001E-3</v>
      </c>
      <c r="H247" s="291">
        <v>0.99998299999999996</v>
      </c>
      <c r="I247" s="287">
        <v>5.0099999999999999E-2</v>
      </c>
      <c r="J247" s="288">
        <v>2</v>
      </c>
      <c r="K247" s="287">
        <v>1.44E-2</v>
      </c>
    </row>
    <row r="248" spans="1:11">
      <c r="A248" s="264">
        <v>77</v>
      </c>
      <c r="B248" s="285" t="s">
        <v>188</v>
      </c>
      <c r="C248" s="293">
        <v>1.9153370000000001</v>
      </c>
      <c r="D248" s="293">
        <v>1.5528230000000001</v>
      </c>
      <c r="E248" s="293">
        <v>-8.5866799999999994</v>
      </c>
      <c r="F248" s="293">
        <v>15.33752</v>
      </c>
      <c r="G248" s="295">
        <v>-9.2903980000000001E-3</v>
      </c>
      <c r="H248" s="291">
        <v>0.99998299999999996</v>
      </c>
      <c r="I248" s="287">
        <v>5.0200000000000002E-2</v>
      </c>
      <c r="J248" s="288">
        <v>2</v>
      </c>
      <c r="K248" s="287">
        <v>1.44E-2</v>
      </c>
    </row>
    <row r="249" spans="1:11">
      <c r="A249" s="264">
        <v>78</v>
      </c>
      <c r="B249" s="285" t="s">
        <v>382</v>
      </c>
      <c r="C249" s="293">
        <v>1.9459169999999999</v>
      </c>
      <c r="D249" s="293">
        <v>1.4890270000000001</v>
      </c>
      <c r="E249" s="293">
        <v>-8.1360299999999999</v>
      </c>
      <c r="F249" s="293">
        <v>14.280950000000001</v>
      </c>
      <c r="G249" s="295">
        <v>-8.4948850000000006E-3</v>
      </c>
      <c r="H249" s="291">
        <v>0.99997800000000003</v>
      </c>
      <c r="I249" s="287">
        <v>6.4600000000000005E-2</v>
      </c>
      <c r="J249" s="288">
        <v>2</v>
      </c>
      <c r="K249" s="287">
        <v>1.5900000000000001E-2</v>
      </c>
    </row>
    <row r="250" spans="1:11">
      <c r="A250" s="264">
        <v>78</v>
      </c>
      <c r="B250" s="285" t="s">
        <v>383</v>
      </c>
      <c r="C250" s="293">
        <v>1.949114</v>
      </c>
      <c r="D250" s="293">
        <v>1.4854879999999999</v>
      </c>
      <c r="E250" s="293">
        <v>-8.1228409999999993</v>
      </c>
      <c r="F250" s="293">
        <v>14.260109999999999</v>
      </c>
      <c r="G250" s="295">
        <v>-8.4827289999999996E-3</v>
      </c>
      <c r="H250" s="291">
        <v>0.99997800000000003</v>
      </c>
      <c r="I250" s="287">
        <v>6.4799999999999996E-2</v>
      </c>
      <c r="J250" s="288">
        <v>2</v>
      </c>
      <c r="K250" s="287">
        <v>1.5900000000000001E-2</v>
      </c>
    </row>
    <row r="251" spans="1:11">
      <c r="A251" s="264">
        <v>78</v>
      </c>
      <c r="B251" s="285" t="s">
        <v>189</v>
      </c>
      <c r="C251" s="293">
        <v>1.95181</v>
      </c>
      <c r="D251" s="293">
        <v>1.4826090000000001</v>
      </c>
      <c r="E251" s="293">
        <v>-8.1125139999999991</v>
      </c>
      <c r="F251" s="293">
        <v>14.244479999999999</v>
      </c>
      <c r="G251" s="295">
        <v>-8.4740049999999997E-3</v>
      </c>
      <c r="H251" s="291">
        <v>0.99997800000000003</v>
      </c>
      <c r="I251" s="287">
        <v>6.4899999999999999E-2</v>
      </c>
      <c r="J251" s="288">
        <v>2</v>
      </c>
      <c r="K251" s="287">
        <v>1.5900000000000001E-2</v>
      </c>
    </row>
    <row r="252" spans="1:11">
      <c r="A252" s="264">
        <v>78</v>
      </c>
      <c r="B252" s="285" t="s">
        <v>190</v>
      </c>
      <c r="C252" s="293">
        <v>1.9552830000000001</v>
      </c>
      <c r="D252" s="293">
        <v>1.4789600000000001</v>
      </c>
      <c r="E252" s="293">
        <v>-8.0996640000000006</v>
      </c>
      <c r="F252" s="293">
        <v>14.225440000000001</v>
      </c>
      <c r="G252" s="295">
        <v>-8.4636280000000008E-3</v>
      </c>
      <c r="H252" s="291">
        <v>0.99997800000000003</v>
      </c>
      <c r="I252" s="287">
        <v>6.5000000000000002E-2</v>
      </c>
      <c r="J252" s="288">
        <v>2</v>
      </c>
      <c r="K252" s="287">
        <v>1.5900000000000001E-2</v>
      </c>
    </row>
    <row r="253" spans="1:11">
      <c r="A253" s="264">
        <v>79</v>
      </c>
      <c r="B253" s="285" t="s">
        <v>191</v>
      </c>
      <c r="C253" s="293">
        <v>2.0181809999999998</v>
      </c>
      <c r="D253" s="293">
        <v>1.378709</v>
      </c>
      <c r="E253" s="293">
        <v>-7.5077730000000003</v>
      </c>
      <c r="F253" s="293">
        <v>12.94224</v>
      </c>
      <c r="G253" s="295">
        <v>-7.5394040000000004E-3</v>
      </c>
      <c r="H253" s="291">
        <v>0.999969</v>
      </c>
      <c r="I253" s="287">
        <v>7.8700000000000006E-2</v>
      </c>
      <c r="J253" s="288">
        <v>2</v>
      </c>
      <c r="K253" s="287">
        <v>1.89E-2</v>
      </c>
    </row>
    <row r="254" spans="1:11">
      <c r="A254" s="264">
        <v>79</v>
      </c>
      <c r="B254" s="285" t="s">
        <v>192</v>
      </c>
      <c r="C254" s="293">
        <v>2.018996</v>
      </c>
      <c r="D254" s="293">
        <v>1.3777429999999999</v>
      </c>
      <c r="E254" s="293">
        <v>-7.5038539999999996</v>
      </c>
      <c r="F254" s="293">
        <v>12.93549</v>
      </c>
      <c r="G254" s="295">
        <v>-7.5351489999999997E-3</v>
      </c>
      <c r="H254" s="291">
        <v>0.999969</v>
      </c>
      <c r="I254" s="287">
        <v>7.8799999999999995E-2</v>
      </c>
      <c r="J254" s="288">
        <v>2</v>
      </c>
      <c r="K254" s="287">
        <v>1.89E-2</v>
      </c>
    </row>
    <row r="255" spans="1:11">
      <c r="A255" s="264">
        <v>79</v>
      </c>
      <c r="B255" s="285" t="s">
        <v>193</v>
      </c>
      <c r="C255" s="293">
        <v>2.020464</v>
      </c>
      <c r="D255" s="293">
        <v>1.376104</v>
      </c>
      <c r="E255" s="293">
        <v>-7.4976039999999999</v>
      </c>
      <c r="F255" s="293">
        <v>12.92534</v>
      </c>
      <c r="G255" s="295">
        <v>-7.5290749999999997E-3</v>
      </c>
      <c r="H255" s="291">
        <v>0.999969</v>
      </c>
      <c r="I255" s="287">
        <v>7.8899999999999998E-2</v>
      </c>
      <c r="J255" s="288">
        <v>2</v>
      </c>
      <c r="K255" s="287">
        <v>1.89E-2</v>
      </c>
    </row>
    <row r="256" spans="1:11">
      <c r="A256" s="264">
        <v>79</v>
      </c>
      <c r="B256" s="285" t="s">
        <v>384</v>
      </c>
      <c r="C256" s="293">
        <v>2.0254840000000001</v>
      </c>
      <c r="D256" s="293">
        <v>1.3707480000000001</v>
      </c>
      <c r="E256" s="293">
        <v>-7.4781979999999999</v>
      </c>
      <c r="F256" s="293">
        <v>12.895479999999999</v>
      </c>
      <c r="G256" s="295">
        <v>-7.5121160000000001E-3</v>
      </c>
      <c r="H256" s="291">
        <v>0.999969</v>
      </c>
      <c r="I256" s="287">
        <v>7.9100000000000004E-2</v>
      </c>
      <c r="J256" s="288">
        <v>2</v>
      </c>
      <c r="K256" s="287">
        <v>1.9E-2</v>
      </c>
    </row>
    <row r="257" spans="1:11">
      <c r="A257" s="264">
        <v>80</v>
      </c>
      <c r="B257" s="285" t="s">
        <v>194</v>
      </c>
      <c r="C257" s="293">
        <v>2.1283240000000001</v>
      </c>
      <c r="D257" s="293">
        <v>1.2263139999999999</v>
      </c>
      <c r="E257" s="293">
        <v>-6.7182250000000003</v>
      </c>
      <c r="F257" s="293">
        <v>11.34596</v>
      </c>
      <c r="G257" s="295">
        <v>-6.4373779999999997E-3</v>
      </c>
      <c r="H257" s="291">
        <v>0.99995699999999998</v>
      </c>
      <c r="I257" s="287">
        <v>9.2600000000000002E-2</v>
      </c>
      <c r="J257" s="288">
        <v>2</v>
      </c>
      <c r="K257" s="287">
        <v>2.3E-2</v>
      </c>
    </row>
    <row r="258" spans="1:11">
      <c r="A258" s="264">
        <v>80</v>
      </c>
      <c r="B258" s="285" t="s">
        <v>195</v>
      </c>
      <c r="C258" s="293">
        <v>2.1244170000000002</v>
      </c>
      <c r="D258" s="293">
        <v>1.230802</v>
      </c>
      <c r="E258" s="293">
        <v>-6.7364660000000001</v>
      </c>
      <c r="F258" s="293">
        <v>11.37743</v>
      </c>
      <c r="G258" s="295">
        <v>-6.4569839999999998E-3</v>
      </c>
      <c r="H258" s="291">
        <v>0.99995800000000001</v>
      </c>
      <c r="I258" s="287">
        <v>9.2399999999999996E-2</v>
      </c>
      <c r="J258" s="288">
        <v>2</v>
      </c>
      <c r="K258" s="287">
        <v>2.29E-2</v>
      </c>
    </row>
    <row r="259" spans="1:11">
      <c r="A259" s="264">
        <v>81</v>
      </c>
      <c r="B259" s="285" t="s">
        <v>196</v>
      </c>
      <c r="C259" s="293">
        <v>2.2717800000000001</v>
      </c>
      <c r="D259" s="293">
        <v>1.0380780000000001</v>
      </c>
      <c r="E259" s="293">
        <v>-5.7959610000000001</v>
      </c>
      <c r="F259" s="293">
        <v>9.5458149999999993</v>
      </c>
      <c r="G259" s="295">
        <v>-5.2244020000000004E-3</v>
      </c>
      <c r="H259" s="291">
        <v>0.99994300000000003</v>
      </c>
      <c r="I259" s="287">
        <v>0.1055</v>
      </c>
      <c r="J259" s="288">
        <v>2</v>
      </c>
      <c r="K259" s="287">
        <v>2.76E-2</v>
      </c>
    </row>
    <row r="260" spans="1:11">
      <c r="A260" s="264">
        <v>81</v>
      </c>
      <c r="B260" s="285" t="s">
        <v>385</v>
      </c>
      <c r="C260" s="293">
        <v>2.2622719999999998</v>
      </c>
      <c r="D260" s="293">
        <v>1.0488660000000001</v>
      </c>
      <c r="E260" s="293">
        <v>-5.8394170000000001</v>
      </c>
      <c r="F260" s="293">
        <v>9.6202260000000006</v>
      </c>
      <c r="G260" s="295">
        <v>-5.2704379999999997E-3</v>
      </c>
      <c r="H260" s="291">
        <v>0.99994400000000006</v>
      </c>
      <c r="I260" s="287">
        <v>0.1052</v>
      </c>
      <c r="J260" s="288">
        <v>2</v>
      </c>
      <c r="K260" s="287">
        <v>2.7400000000000001E-2</v>
      </c>
    </row>
    <row r="261" spans="1:11">
      <c r="A261" s="264">
        <v>82</v>
      </c>
      <c r="B261" s="285" t="s">
        <v>386</v>
      </c>
      <c r="C261" s="293">
        <v>2.4421249999999999</v>
      </c>
      <c r="D261" s="293">
        <v>0.82196639999999999</v>
      </c>
      <c r="E261" s="293">
        <v>-4.7753540000000001</v>
      </c>
      <c r="F261" s="293">
        <v>7.6036460000000003</v>
      </c>
      <c r="G261" s="295">
        <v>-3.9399969999999998E-3</v>
      </c>
      <c r="H261" s="291">
        <v>0.99992800000000004</v>
      </c>
      <c r="I261" s="287">
        <v>0.1171</v>
      </c>
      <c r="J261" s="288">
        <v>2</v>
      </c>
      <c r="K261" s="287">
        <v>3.2099999999999997E-2</v>
      </c>
    </row>
    <row r="262" spans="1:11">
      <c r="A262" s="264">
        <v>82</v>
      </c>
      <c r="B262" s="285" t="s">
        <v>387</v>
      </c>
      <c r="C262" s="293">
        <v>2.429522</v>
      </c>
      <c r="D262" s="293">
        <v>0.83611860000000005</v>
      </c>
      <c r="E262" s="293">
        <v>-4.8319520000000002</v>
      </c>
      <c r="F262" s="293">
        <v>7.6999430000000002</v>
      </c>
      <c r="G262" s="295">
        <v>-3.9992020000000003E-3</v>
      </c>
      <c r="H262" s="291">
        <v>0.99992899999999996</v>
      </c>
      <c r="I262" s="287">
        <v>0.1169</v>
      </c>
      <c r="J262" s="288">
        <v>2</v>
      </c>
      <c r="K262" s="287">
        <v>3.1899999999999998E-2</v>
      </c>
    </row>
    <row r="263" spans="1:11">
      <c r="A263" s="264">
        <v>83</v>
      </c>
      <c r="B263" s="285" t="s">
        <v>388</v>
      </c>
      <c r="C263" s="293">
        <v>2.639265</v>
      </c>
      <c r="D263" s="293">
        <v>0.57870049999999995</v>
      </c>
      <c r="E263" s="293">
        <v>-3.6613869999999999</v>
      </c>
      <c r="F263" s="293">
        <v>5.5305629999999999</v>
      </c>
      <c r="G263" s="295">
        <v>-2.5920299999999999E-3</v>
      </c>
      <c r="H263" s="291">
        <v>0.99991200000000002</v>
      </c>
      <c r="I263" s="287">
        <v>0.12740000000000001</v>
      </c>
      <c r="J263" s="288">
        <v>2</v>
      </c>
      <c r="K263" s="287">
        <v>3.6200000000000003E-2</v>
      </c>
    </row>
    <row r="264" spans="1:11">
      <c r="A264" s="264">
        <v>83</v>
      </c>
      <c r="B264" s="285" t="s">
        <v>389</v>
      </c>
      <c r="C264" s="293">
        <v>2.6234899999999999</v>
      </c>
      <c r="D264" s="293">
        <v>0.5962286</v>
      </c>
      <c r="E264" s="293">
        <v>-3.7309009999999998</v>
      </c>
      <c r="F264" s="293">
        <v>5.6479429999999997</v>
      </c>
      <c r="G264" s="295">
        <v>-2.6636770000000001E-3</v>
      </c>
      <c r="H264" s="291">
        <v>0.99991300000000005</v>
      </c>
      <c r="I264" s="287">
        <v>0.12740000000000001</v>
      </c>
      <c r="J264" s="288">
        <v>2</v>
      </c>
      <c r="K264" s="287">
        <v>3.5999999999999997E-2</v>
      </c>
    </row>
    <row r="265" spans="1:11">
      <c r="A265" s="264">
        <v>84</v>
      </c>
      <c r="B265" s="285" t="s">
        <v>390</v>
      </c>
      <c r="C265" s="293">
        <v>2.8624360000000002</v>
      </c>
      <c r="D265" s="293">
        <v>0.30947629999999998</v>
      </c>
      <c r="E265" s="293">
        <v>-2.4596399999999998</v>
      </c>
      <c r="F265" s="293">
        <v>3.3366099999999999</v>
      </c>
      <c r="G265" s="295">
        <v>-1.186578E-3</v>
      </c>
      <c r="H265" s="291">
        <v>0.99989600000000001</v>
      </c>
      <c r="I265" s="287">
        <v>0.13650000000000001</v>
      </c>
      <c r="J265" s="288">
        <v>2</v>
      </c>
      <c r="K265" s="287">
        <v>4.0099999999999997E-2</v>
      </c>
    </row>
    <row r="266" spans="1:11">
      <c r="A266" s="264">
        <v>84</v>
      </c>
      <c r="B266" s="285" t="s">
        <v>391</v>
      </c>
      <c r="C266" s="293">
        <v>2.8599329999999998</v>
      </c>
      <c r="D266" s="293">
        <v>0.31254569999999998</v>
      </c>
      <c r="E266" s="293">
        <v>-2.4729930000000002</v>
      </c>
      <c r="F266" s="293">
        <v>3.3610190000000002</v>
      </c>
      <c r="G266" s="295">
        <v>-1.2025200000000001E-3</v>
      </c>
      <c r="H266" s="291">
        <v>0.99989700000000004</v>
      </c>
      <c r="I266" s="287">
        <v>0.13619999999999999</v>
      </c>
      <c r="J266" s="288">
        <v>2</v>
      </c>
      <c r="K266" s="287">
        <v>0.04</v>
      </c>
    </row>
    <row r="267" spans="1:11">
      <c r="A267" s="264">
        <v>84</v>
      </c>
      <c r="B267" s="285" t="s">
        <v>392</v>
      </c>
      <c r="C267" s="293">
        <v>2.8410869999999999</v>
      </c>
      <c r="D267" s="293">
        <v>0.33325389999999999</v>
      </c>
      <c r="E267" s="293">
        <v>-2.5543429999999998</v>
      </c>
      <c r="F267" s="293">
        <v>3.4971860000000001</v>
      </c>
      <c r="G267" s="295">
        <v>-1.284943E-3</v>
      </c>
      <c r="H267" s="291">
        <v>0.99989700000000004</v>
      </c>
      <c r="I267" s="287">
        <v>0.1363</v>
      </c>
      <c r="J267" s="288">
        <v>2</v>
      </c>
      <c r="K267" s="287">
        <v>3.9899999999999998E-2</v>
      </c>
    </row>
    <row r="268" spans="1:11">
      <c r="A268" s="264">
        <v>85</v>
      </c>
      <c r="B268" s="285" t="s">
        <v>197</v>
      </c>
      <c r="C268" s="293">
        <v>3.1067680000000002</v>
      </c>
      <c r="D268" s="293">
        <v>2.0592849999999999E-2</v>
      </c>
      <c r="E268" s="293">
        <v>-1.198124</v>
      </c>
      <c r="F268" s="293">
        <v>1.0731930000000001</v>
      </c>
      <c r="G268" s="295">
        <v>2.430458E-4</v>
      </c>
      <c r="H268" s="291">
        <v>0.99988100000000002</v>
      </c>
      <c r="I268" s="287">
        <v>0.14369999999999999</v>
      </c>
      <c r="J268" s="288">
        <v>2</v>
      </c>
      <c r="K268" s="287">
        <v>4.3700000000000003E-2</v>
      </c>
    </row>
    <row r="269" spans="1:11">
      <c r="A269" s="264">
        <v>85</v>
      </c>
      <c r="B269" s="285" t="s">
        <v>393</v>
      </c>
      <c r="C269" s="293">
        <v>3.104743</v>
      </c>
      <c r="D269" s="293">
        <v>2.3026049999999999E-2</v>
      </c>
      <c r="E269" s="293">
        <v>-1.208523</v>
      </c>
      <c r="F269" s="293">
        <v>1.091926</v>
      </c>
      <c r="G269" s="295">
        <v>2.309601E-4</v>
      </c>
      <c r="H269" s="291">
        <v>0.99988200000000005</v>
      </c>
      <c r="I269" s="287">
        <v>0.14349999999999999</v>
      </c>
      <c r="J269" s="288">
        <v>2</v>
      </c>
      <c r="K269" s="287">
        <v>4.36E-2</v>
      </c>
    </row>
    <row r="270" spans="1:11">
      <c r="A270" s="264">
        <v>85</v>
      </c>
      <c r="B270" s="285" t="s">
        <v>394</v>
      </c>
      <c r="C270" s="293">
        <v>3.1004679999999998</v>
      </c>
      <c r="D270" s="293">
        <v>2.811992E-2</v>
      </c>
      <c r="E270" s="293">
        <v>-1.2301550000000001</v>
      </c>
      <c r="F270" s="293">
        <v>1.1306750000000001</v>
      </c>
      <c r="G270" s="295">
        <v>2.0609750000000001E-4</v>
      </c>
      <c r="H270" s="291">
        <v>0.99988200000000005</v>
      </c>
      <c r="I270" s="287">
        <v>0.1431</v>
      </c>
      <c r="J270" s="288">
        <v>2</v>
      </c>
      <c r="K270" s="287">
        <v>4.3400000000000001E-2</v>
      </c>
    </row>
    <row r="271" spans="1:11">
      <c r="A271" s="264">
        <v>85</v>
      </c>
      <c r="B271" s="285" t="s">
        <v>395</v>
      </c>
      <c r="C271" s="293">
        <v>3.0788690000000001</v>
      </c>
      <c r="D271" s="293">
        <v>5.1564470000000001E-2</v>
      </c>
      <c r="E271" s="293">
        <v>-1.321259</v>
      </c>
      <c r="F271" s="293">
        <v>1.281614</v>
      </c>
      <c r="G271" s="295">
        <v>1.1562269999999999E-4</v>
      </c>
      <c r="H271" s="291">
        <v>0.99988299999999997</v>
      </c>
      <c r="I271" s="287">
        <v>0.14369999999999999</v>
      </c>
      <c r="J271" s="288">
        <v>2</v>
      </c>
      <c r="K271" s="287">
        <v>4.3400000000000001E-2</v>
      </c>
    </row>
    <row r="272" spans="1:11">
      <c r="A272" s="264">
        <v>85</v>
      </c>
      <c r="B272" s="285" t="s">
        <v>396</v>
      </c>
      <c r="C272" s="293">
        <v>3.1072690000000001</v>
      </c>
      <c r="D272" s="293">
        <v>2.0010710000000001E-2</v>
      </c>
      <c r="E272" s="293">
        <v>-1.1957260000000001</v>
      </c>
      <c r="F272" s="293">
        <v>1.0690170000000001</v>
      </c>
      <c r="G272" s="295">
        <v>2.4566669999999998E-4</v>
      </c>
      <c r="H272" s="291">
        <v>0.99988100000000002</v>
      </c>
      <c r="I272" s="287">
        <v>0.14369999999999999</v>
      </c>
      <c r="J272" s="288">
        <v>2</v>
      </c>
      <c r="K272" s="287">
        <v>4.3700000000000003E-2</v>
      </c>
    </row>
    <row r="273" spans="1:11">
      <c r="A273" s="264">
        <v>87</v>
      </c>
      <c r="B273" s="285" t="s">
        <v>198</v>
      </c>
      <c r="C273" s="293">
        <v>3.6417890000000002</v>
      </c>
      <c r="D273" s="293">
        <v>-0.59520649999999997</v>
      </c>
      <c r="E273" s="293">
        <v>1.415643</v>
      </c>
      <c r="F273" s="293">
        <v>-3.5067629999999999</v>
      </c>
      <c r="G273" s="295">
        <v>3.0784369999999998E-3</v>
      </c>
      <c r="H273" s="291">
        <v>0.99985800000000002</v>
      </c>
      <c r="I273" s="287">
        <v>0.1517</v>
      </c>
      <c r="J273" s="288">
        <v>2</v>
      </c>
      <c r="K273" s="287">
        <v>4.9299999999999997E-2</v>
      </c>
    </row>
    <row r="274" spans="1:11">
      <c r="A274" s="264">
        <v>88</v>
      </c>
      <c r="B274" s="285" t="s">
        <v>397</v>
      </c>
      <c r="C274" s="293">
        <v>3.9229189999999998</v>
      </c>
      <c r="D274" s="293">
        <v>-0.91083230000000004</v>
      </c>
      <c r="E274" s="293">
        <v>2.7214960000000001</v>
      </c>
      <c r="F274" s="293">
        <v>-5.7438520000000004</v>
      </c>
      <c r="G274" s="295">
        <v>4.4358569999999996E-3</v>
      </c>
      <c r="H274" s="291">
        <v>0.99985100000000005</v>
      </c>
      <c r="I274" s="287">
        <v>0.152</v>
      </c>
      <c r="J274" s="288">
        <v>2</v>
      </c>
      <c r="K274" s="287">
        <v>5.1200000000000002E-2</v>
      </c>
    </row>
    <row r="275" spans="1:11">
      <c r="A275" s="264">
        <v>89</v>
      </c>
      <c r="B275" s="285" t="s">
        <v>398</v>
      </c>
      <c r="C275" s="293">
        <v>4.2067240000000004</v>
      </c>
      <c r="D275" s="293">
        <v>-1.224234</v>
      </c>
      <c r="E275" s="293">
        <v>3.9970309999999998</v>
      </c>
      <c r="F275" s="293">
        <v>-7.895969</v>
      </c>
      <c r="G275" s="295">
        <v>5.7233969999999999E-3</v>
      </c>
      <c r="H275" s="291">
        <v>0.99984799999999996</v>
      </c>
      <c r="I275" s="287">
        <v>0.14979999999999999</v>
      </c>
      <c r="J275" s="288">
        <v>2</v>
      </c>
      <c r="K275" s="287">
        <v>5.2600000000000001E-2</v>
      </c>
    </row>
    <row r="276" spans="1:11">
      <c r="A276" s="264">
        <v>90</v>
      </c>
      <c r="B276" s="285" t="s">
        <v>399</v>
      </c>
      <c r="C276" s="293">
        <v>4.4798790000000004</v>
      </c>
      <c r="D276" s="293">
        <v>-1.5204949999999999</v>
      </c>
      <c r="E276" s="293">
        <v>5.182436</v>
      </c>
      <c r="F276" s="293">
        <v>-9.8622069999999997</v>
      </c>
      <c r="G276" s="295">
        <v>6.8802539999999997E-3</v>
      </c>
      <c r="H276" s="291">
        <v>0.99984899999999999</v>
      </c>
      <c r="I276" s="287">
        <v>0.14530000000000001</v>
      </c>
      <c r="J276" s="288">
        <v>2</v>
      </c>
      <c r="K276" s="287">
        <v>5.3199999999999997E-2</v>
      </c>
    </row>
    <row r="277" spans="1:11">
      <c r="A277" s="264">
        <v>90</v>
      </c>
      <c r="B277" s="285" t="s">
        <v>199</v>
      </c>
      <c r="C277" s="293">
        <v>4.4802030000000004</v>
      </c>
      <c r="D277" s="293">
        <v>-1.5206770000000001</v>
      </c>
      <c r="E277" s="293">
        <v>5.1825140000000003</v>
      </c>
      <c r="F277" s="293">
        <v>-9.8615110000000001</v>
      </c>
      <c r="G277" s="295">
        <v>6.8794700000000004E-3</v>
      </c>
      <c r="H277" s="291">
        <v>0.99984899999999999</v>
      </c>
      <c r="I277" s="287">
        <v>0.14510000000000001</v>
      </c>
      <c r="J277" s="288">
        <v>2</v>
      </c>
      <c r="K277" s="287">
        <v>5.3100000000000001E-2</v>
      </c>
    </row>
    <row r="278" spans="1:11">
      <c r="A278" s="264">
        <v>90</v>
      </c>
      <c r="B278" s="285" t="s">
        <v>200</v>
      </c>
      <c r="C278" s="293">
        <v>4.4882299999999997</v>
      </c>
      <c r="D278" s="293">
        <v>-1.5298229999999999</v>
      </c>
      <c r="E278" s="293">
        <v>5.2202780000000004</v>
      </c>
      <c r="F278" s="293">
        <v>-9.9269809999999996</v>
      </c>
      <c r="G278" s="295">
        <v>6.9198549999999999E-3</v>
      </c>
      <c r="H278" s="291">
        <v>0.99984899999999999</v>
      </c>
      <c r="I278" s="287">
        <v>0.1449</v>
      </c>
      <c r="J278" s="288">
        <v>2</v>
      </c>
      <c r="K278" s="287">
        <v>5.3199999999999997E-2</v>
      </c>
    </row>
    <row r="279" spans="1:11">
      <c r="A279" s="264">
        <v>91</v>
      </c>
      <c r="B279" s="285" t="s">
        <v>400</v>
      </c>
      <c r="C279" s="293">
        <v>4.7462179999999998</v>
      </c>
      <c r="D279" s="293">
        <v>-1.803801</v>
      </c>
      <c r="E279" s="293">
        <v>6.2951560000000004</v>
      </c>
      <c r="F279" s="293">
        <v>-11.67404</v>
      </c>
      <c r="G279" s="295">
        <v>7.9269270000000003E-3</v>
      </c>
      <c r="H279" s="291">
        <v>0.99985500000000005</v>
      </c>
      <c r="I279" s="287">
        <v>0.1381</v>
      </c>
      <c r="J279" s="288">
        <v>2</v>
      </c>
      <c r="K279" s="287">
        <v>5.2999999999999999E-2</v>
      </c>
    </row>
    <row r="280" spans="1:11">
      <c r="A280" s="264">
        <v>91</v>
      </c>
      <c r="B280" s="285" t="s">
        <v>201</v>
      </c>
      <c r="C280" s="293">
        <v>4.7538130000000001</v>
      </c>
      <c r="D280" s="293">
        <v>-1.812346</v>
      </c>
      <c r="E280" s="293">
        <v>6.3300270000000003</v>
      </c>
      <c r="F280" s="293">
        <v>-11.733790000000001</v>
      </c>
      <c r="G280" s="295">
        <v>7.9633680000000002E-3</v>
      </c>
      <c r="H280" s="291">
        <v>0.99985500000000005</v>
      </c>
      <c r="I280" s="287">
        <v>0.13769999999999999</v>
      </c>
      <c r="J280" s="288">
        <v>2</v>
      </c>
      <c r="K280" s="287">
        <v>5.2999999999999999E-2</v>
      </c>
    </row>
    <row r="281" spans="1:11">
      <c r="A281" s="264">
        <v>91</v>
      </c>
      <c r="B281" s="285" t="s">
        <v>202</v>
      </c>
      <c r="C281" s="293">
        <v>4.7625510000000002</v>
      </c>
      <c r="D281" s="293">
        <v>-1.8222020000000001</v>
      </c>
      <c r="E281" s="293">
        <v>6.3704029999999996</v>
      </c>
      <c r="F281" s="293">
        <v>-11.80316</v>
      </c>
      <c r="G281" s="295">
        <v>8.0057329999999993E-3</v>
      </c>
      <c r="H281" s="291">
        <v>0.99985500000000005</v>
      </c>
      <c r="I281" s="287">
        <v>0.13730000000000001</v>
      </c>
      <c r="J281" s="288">
        <v>2</v>
      </c>
      <c r="K281" s="287">
        <v>5.3100000000000001E-2</v>
      </c>
    </row>
    <row r="282" spans="1:11">
      <c r="A282" s="264">
        <v>92</v>
      </c>
      <c r="B282" s="285" t="s">
        <v>401</v>
      </c>
      <c r="C282" s="293">
        <v>5.0013509999999997</v>
      </c>
      <c r="D282" s="293">
        <v>-2.0699920000000001</v>
      </c>
      <c r="E282" s="293">
        <v>7.321752</v>
      </c>
      <c r="F282" s="293">
        <v>-13.313610000000001</v>
      </c>
      <c r="G282" s="295">
        <v>8.8551459999999995E-3</v>
      </c>
      <c r="H282" s="291">
        <v>0.99986299999999995</v>
      </c>
      <c r="I282" s="287">
        <v>0.1288</v>
      </c>
      <c r="J282" s="288">
        <v>2</v>
      </c>
      <c r="K282" s="287">
        <v>5.2200000000000003E-2</v>
      </c>
    </row>
    <row r="283" spans="1:11">
      <c r="A283" s="264">
        <v>92</v>
      </c>
      <c r="B283" s="285" t="s">
        <v>203</v>
      </c>
      <c r="C283" s="293">
        <v>5.0083739999999999</v>
      </c>
      <c r="D283" s="293">
        <v>-2.0777909999999999</v>
      </c>
      <c r="E283" s="293">
        <v>7.3531950000000004</v>
      </c>
      <c r="F283" s="293">
        <v>-13.366809999999999</v>
      </c>
      <c r="G283" s="295">
        <v>8.8871699999999998E-3</v>
      </c>
      <c r="H283" s="291">
        <v>0.99986299999999995</v>
      </c>
      <c r="I283" s="287">
        <v>0.12839999999999999</v>
      </c>
      <c r="J283" s="288">
        <v>2</v>
      </c>
      <c r="K283" s="287">
        <v>5.2200000000000003E-2</v>
      </c>
    </row>
    <row r="284" spans="1:11">
      <c r="A284" s="264">
        <v>92</v>
      </c>
      <c r="B284" s="285" t="s">
        <v>204</v>
      </c>
      <c r="C284" s="293">
        <v>5.0163419999999999</v>
      </c>
      <c r="D284" s="293">
        <v>-2.0866639999999999</v>
      </c>
      <c r="E284" s="293">
        <v>7.3891179999999999</v>
      </c>
      <c r="F284" s="293">
        <v>-13.427759999999999</v>
      </c>
      <c r="G284" s="295">
        <v>8.9239060000000005E-3</v>
      </c>
      <c r="H284" s="291">
        <v>0.99986399999999998</v>
      </c>
      <c r="I284" s="287">
        <v>0.1278</v>
      </c>
      <c r="J284" s="288">
        <v>2</v>
      </c>
      <c r="K284" s="287">
        <v>5.2200000000000003E-2</v>
      </c>
    </row>
    <row r="285" spans="1:11">
      <c r="A285" s="264">
        <v>92</v>
      </c>
      <c r="B285" s="285" t="s">
        <v>205</v>
      </c>
      <c r="C285" s="293">
        <v>5.0249750000000004</v>
      </c>
      <c r="D285" s="293">
        <v>-2.0963020000000001</v>
      </c>
      <c r="E285" s="293">
        <v>7.4282909999999998</v>
      </c>
      <c r="F285" s="293">
        <v>-13.494400000000001</v>
      </c>
      <c r="G285" s="295">
        <v>8.9641140000000005E-3</v>
      </c>
      <c r="H285" s="291">
        <v>0.99986399999999998</v>
      </c>
      <c r="I285" s="287">
        <v>0.12709999999999999</v>
      </c>
      <c r="J285" s="288">
        <v>2</v>
      </c>
      <c r="K285" s="287">
        <v>5.2200000000000003E-2</v>
      </c>
    </row>
    <row r="286" spans="1:11">
      <c r="A286" s="264">
        <v>93</v>
      </c>
      <c r="B286" s="285" t="s">
        <v>402</v>
      </c>
      <c r="C286" s="293">
        <v>5.2424869999999997</v>
      </c>
      <c r="D286" s="293">
        <v>-2.3159890000000001</v>
      </c>
      <c r="E286" s="293">
        <v>8.2505740000000003</v>
      </c>
      <c r="F286" s="293">
        <v>-14.76276</v>
      </c>
      <c r="G286" s="295">
        <v>9.6549380000000001E-3</v>
      </c>
      <c r="H286" s="291">
        <v>0.99987400000000004</v>
      </c>
      <c r="I286" s="287">
        <v>0.1192</v>
      </c>
      <c r="J286" s="288">
        <v>6</v>
      </c>
      <c r="K286" s="287">
        <v>5.0799999999999998E-2</v>
      </c>
    </row>
    <row r="287" spans="1:11">
      <c r="A287" s="264">
        <v>93</v>
      </c>
      <c r="B287" s="285" t="s">
        <v>206</v>
      </c>
      <c r="C287" s="293">
        <v>5.2487890000000004</v>
      </c>
      <c r="D287" s="293">
        <v>-2.322886</v>
      </c>
      <c r="E287" s="293">
        <v>8.2780109999999993</v>
      </c>
      <c r="F287" s="293">
        <v>-14.8085</v>
      </c>
      <c r="G287" s="295">
        <v>9.6820269999999993E-3</v>
      </c>
      <c r="H287" s="291">
        <v>0.99987499999999996</v>
      </c>
      <c r="I287" s="287">
        <v>0.1193</v>
      </c>
      <c r="J287" s="288">
        <v>6</v>
      </c>
      <c r="K287" s="287">
        <v>5.0700000000000002E-2</v>
      </c>
    </row>
    <row r="288" spans="1:11">
      <c r="A288" s="264">
        <v>93</v>
      </c>
      <c r="B288" s="285" t="s">
        <v>207</v>
      </c>
      <c r="C288" s="293">
        <v>5.2558210000000001</v>
      </c>
      <c r="D288" s="293">
        <v>-2.3306049999999998</v>
      </c>
      <c r="E288" s="293">
        <v>8.3088580000000007</v>
      </c>
      <c r="F288" s="293">
        <v>-14.860060000000001</v>
      </c>
      <c r="G288" s="295">
        <v>9.7125979999999994E-3</v>
      </c>
      <c r="H288" s="291">
        <v>0.99987499999999996</v>
      </c>
      <c r="I288" s="287">
        <v>0.1193</v>
      </c>
      <c r="J288" s="288">
        <v>6</v>
      </c>
      <c r="K288" s="287">
        <v>5.0599999999999999E-2</v>
      </c>
    </row>
    <row r="289" spans="1:11">
      <c r="A289" s="264">
        <v>93</v>
      </c>
      <c r="B289" s="285" t="s">
        <v>208</v>
      </c>
      <c r="C289" s="293">
        <v>5.2633320000000001</v>
      </c>
      <c r="D289" s="293">
        <v>-2.338873</v>
      </c>
      <c r="E289" s="293">
        <v>8.3420489999999994</v>
      </c>
      <c r="F289" s="293">
        <v>-14.915699999999999</v>
      </c>
      <c r="G289" s="295">
        <v>9.7456049999999992E-3</v>
      </c>
      <c r="H289" s="291">
        <v>0.99987599999999999</v>
      </c>
      <c r="I289" s="287">
        <v>0.1193</v>
      </c>
      <c r="J289" s="288">
        <v>6</v>
      </c>
      <c r="K289" s="287">
        <v>5.0599999999999999E-2</v>
      </c>
    </row>
    <row r="290" spans="1:11">
      <c r="A290" s="264">
        <v>93</v>
      </c>
      <c r="B290" s="285" t="s">
        <v>209</v>
      </c>
      <c r="C290" s="293">
        <v>5.2711240000000004</v>
      </c>
      <c r="D290" s="293">
        <v>-2.3474759999999999</v>
      </c>
      <c r="E290" s="293">
        <v>8.3767479999999992</v>
      </c>
      <c r="F290" s="293">
        <v>-14.97401</v>
      </c>
      <c r="G290" s="295">
        <v>9.7802219999999999E-3</v>
      </c>
      <c r="H290" s="291">
        <v>0.99987599999999999</v>
      </c>
      <c r="I290" s="287">
        <v>0.1193</v>
      </c>
      <c r="J290" s="288">
        <v>6</v>
      </c>
      <c r="K290" s="287">
        <v>5.0500000000000003E-2</v>
      </c>
    </row>
    <row r="291" spans="1:11">
      <c r="A291" s="264">
        <v>94</v>
      </c>
      <c r="B291" s="285" t="s">
        <v>403</v>
      </c>
      <c r="C291" s="293">
        <v>5.4668890000000001</v>
      </c>
      <c r="D291" s="293">
        <v>-2.5390519999999999</v>
      </c>
      <c r="E291" s="293">
        <v>9.0722470000000008</v>
      </c>
      <c r="F291" s="293">
        <v>-16.008500000000002</v>
      </c>
      <c r="G291" s="295">
        <v>1.032013E-2</v>
      </c>
      <c r="H291" s="291">
        <v>0.999888</v>
      </c>
      <c r="I291" s="287">
        <v>0.11749999999999999</v>
      </c>
      <c r="J291" s="288">
        <v>6</v>
      </c>
      <c r="K291" s="287">
        <v>4.8599999999999997E-2</v>
      </c>
    </row>
    <row r="292" spans="1:11">
      <c r="A292" s="264">
        <v>94</v>
      </c>
      <c r="B292" s="285" t="s">
        <v>210</v>
      </c>
      <c r="C292" s="293">
        <v>5.4723319999999998</v>
      </c>
      <c r="D292" s="293">
        <v>-2.544905</v>
      </c>
      <c r="E292" s="293">
        <v>9.0951570000000004</v>
      </c>
      <c r="F292" s="293">
        <v>-16.045960000000001</v>
      </c>
      <c r="G292" s="295">
        <v>1.034184E-2</v>
      </c>
      <c r="H292" s="291">
        <v>0.999888</v>
      </c>
      <c r="I292" s="287">
        <v>0.1174</v>
      </c>
      <c r="J292" s="288">
        <v>6</v>
      </c>
      <c r="K292" s="287">
        <v>4.8500000000000001E-2</v>
      </c>
    </row>
    <row r="293" spans="1:11">
      <c r="A293" s="264">
        <v>94</v>
      </c>
      <c r="B293" s="285" t="s">
        <v>211</v>
      </c>
      <c r="C293" s="293">
        <v>5.4782830000000002</v>
      </c>
      <c r="D293" s="293">
        <v>-2.5513219999999999</v>
      </c>
      <c r="E293" s="293">
        <v>9.1204049999999999</v>
      </c>
      <c r="F293" s="293">
        <v>-16.08736</v>
      </c>
      <c r="G293" s="295">
        <v>1.036582E-2</v>
      </c>
      <c r="H293" s="291">
        <v>0.99988900000000003</v>
      </c>
      <c r="I293" s="287">
        <v>0.1174</v>
      </c>
      <c r="J293" s="288">
        <v>6</v>
      </c>
      <c r="K293" s="287">
        <v>4.8300000000000003E-2</v>
      </c>
    </row>
    <row r="294" spans="1:11">
      <c r="A294" s="264">
        <v>94</v>
      </c>
      <c r="B294" s="285" t="s">
        <v>212</v>
      </c>
      <c r="C294" s="293">
        <v>5.4845170000000003</v>
      </c>
      <c r="D294" s="293">
        <v>-2.5580660000000002</v>
      </c>
      <c r="E294" s="293">
        <v>9.1470719999999996</v>
      </c>
      <c r="F294" s="293">
        <v>-16.1312</v>
      </c>
      <c r="G294" s="295">
        <v>1.03912E-2</v>
      </c>
      <c r="H294" s="291">
        <v>0.99988999999999995</v>
      </c>
      <c r="I294" s="287">
        <v>0.1173</v>
      </c>
      <c r="J294" s="288">
        <v>6</v>
      </c>
      <c r="K294" s="287">
        <v>4.82E-2</v>
      </c>
    </row>
    <row r="295" spans="1:11">
      <c r="A295" s="264">
        <v>94</v>
      </c>
      <c r="B295" s="285" t="s">
        <v>213</v>
      </c>
      <c r="C295" s="293">
        <v>5.49085</v>
      </c>
      <c r="D295" s="293">
        <v>-2.5649389999999999</v>
      </c>
      <c r="E295" s="293">
        <v>9.1744000000000003</v>
      </c>
      <c r="F295" s="293">
        <v>-16.176220000000001</v>
      </c>
      <c r="G295" s="295">
        <v>1.0417259999999999E-2</v>
      </c>
      <c r="H295" s="291">
        <v>0.99989099999999997</v>
      </c>
      <c r="I295" s="287">
        <v>0.1172</v>
      </c>
      <c r="J295" s="288">
        <v>6</v>
      </c>
      <c r="K295" s="287">
        <v>4.8000000000000001E-2</v>
      </c>
    </row>
    <row r="296" spans="1:11">
      <c r="A296" s="264">
        <v>95</v>
      </c>
      <c r="B296" s="285" t="s">
        <v>404</v>
      </c>
      <c r="C296" s="293">
        <v>5.6682309999999996</v>
      </c>
      <c r="D296" s="293">
        <v>-2.7327059999999999</v>
      </c>
      <c r="E296" s="293">
        <v>9.7632650000000005</v>
      </c>
      <c r="F296" s="293">
        <v>-17.015450000000001</v>
      </c>
      <c r="G296" s="295">
        <v>1.0832029999999999E-2</v>
      </c>
      <c r="H296" s="291">
        <v>0.99990199999999996</v>
      </c>
      <c r="I296" s="287">
        <v>0.1143</v>
      </c>
      <c r="J296" s="288">
        <v>6</v>
      </c>
      <c r="K296" s="287">
        <v>4.58E-2</v>
      </c>
    </row>
    <row r="297" spans="1:11">
      <c r="A297" s="264">
        <v>95</v>
      </c>
      <c r="B297" s="285" t="s">
        <v>214</v>
      </c>
      <c r="C297" s="293">
        <v>5.6721469999999998</v>
      </c>
      <c r="D297" s="293">
        <v>-2.7368060000000001</v>
      </c>
      <c r="E297" s="293">
        <v>9.7788819999999994</v>
      </c>
      <c r="F297" s="293">
        <v>-17.04025</v>
      </c>
      <c r="G297" s="295">
        <v>1.084593E-2</v>
      </c>
      <c r="H297" s="291">
        <v>0.99990299999999999</v>
      </c>
      <c r="I297" s="287">
        <v>0.1142</v>
      </c>
      <c r="J297" s="288">
        <v>6</v>
      </c>
      <c r="K297" s="287">
        <v>4.5699999999999998E-2</v>
      </c>
    </row>
    <row r="298" spans="1:11">
      <c r="A298" s="264">
        <v>95</v>
      </c>
      <c r="B298" s="285" t="s">
        <v>215</v>
      </c>
      <c r="C298" s="293">
        <v>5.6766100000000002</v>
      </c>
      <c r="D298" s="293">
        <v>-2.7414930000000002</v>
      </c>
      <c r="E298" s="293">
        <v>9.7968290000000007</v>
      </c>
      <c r="F298" s="293">
        <v>-17.06879</v>
      </c>
      <c r="G298" s="295">
        <v>1.0861890000000001E-2</v>
      </c>
      <c r="H298" s="291">
        <v>0.99990299999999999</v>
      </c>
      <c r="I298" s="287">
        <v>0.114</v>
      </c>
      <c r="J298" s="288">
        <v>6</v>
      </c>
      <c r="K298" s="287">
        <v>4.5499999999999999E-2</v>
      </c>
    </row>
    <row r="299" spans="1:11">
      <c r="A299" s="264">
        <v>95</v>
      </c>
      <c r="B299" s="285" t="s">
        <v>216</v>
      </c>
      <c r="C299" s="293">
        <v>5.6813570000000002</v>
      </c>
      <c r="D299" s="293">
        <v>-2.7464900000000001</v>
      </c>
      <c r="E299" s="293">
        <v>9.8160659999999993</v>
      </c>
      <c r="F299" s="293">
        <v>-17.099430000000002</v>
      </c>
      <c r="G299" s="295">
        <v>1.087898E-2</v>
      </c>
      <c r="H299" s="291">
        <v>0.99990400000000002</v>
      </c>
      <c r="I299" s="287">
        <v>0.1139</v>
      </c>
      <c r="J299" s="288">
        <v>6</v>
      </c>
      <c r="K299" s="287">
        <v>4.5400000000000003E-2</v>
      </c>
    </row>
    <row r="300" spans="1:11">
      <c r="A300" s="264">
        <v>95</v>
      </c>
      <c r="B300" s="285" t="s">
        <v>217</v>
      </c>
      <c r="C300" s="293">
        <v>5.686191</v>
      </c>
      <c r="D300" s="293">
        <v>-2.7515909999999999</v>
      </c>
      <c r="E300" s="293">
        <v>9.8358139999999992</v>
      </c>
      <c r="F300" s="293">
        <v>-17.13091</v>
      </c>
      <c r="G300" s="295">
        <v>1.089648E-2</v>
      </c>
      <c r="H300" s="291">
        <v>0.99990500000000004</v>
      </c>
      <c r="I300" s="287">
        <v>0.1137</v>
      </c>
      <c r="J300" s="288">
        <v>6</v>
      </c>
      <c r="K300" s="287">
        <v>4.5199999999999997E-2</v>
      </c>
    </row>
    <row r="301" spans="1:11">
      <c r="A301" s="264">
        <v>96</v>
      </c>
      <c r="B301" s="285" t="s">
        <v>405</v>
      </c>
      <c r="C301" s="293">
        <v>5.8562390000000004</v>
      </c>
      <c r="D301" s="293">
        <v>-2.9073600000000002</v>
      </c>
      <c r="E301" s="293">
        <v>10.364649999999999</v>
      </c>
      <c r="F301" s="293">
        <v>-17.851099999999999</v>
      </c>
      <c r="G301" s="295">
        <v>1.122983E-2</v>
      </c>
      <c r="H301" s="291">
        <v>0.99991799999999997</v>
      </c>
      <c r="I301" s="287">
        <v>0.1094</v>
      </c>
      <c r="J301" s="288">
        <v>6</v>
      </c>
      <c r="K301" s="287">
        <v>4.24E-2</v>
      </c>
    </row>
    <row r="302" spans="1:11">
      <c r="A302" s="264">
        <v>96</v>
      </c>
      <c r="B302" s="285" t="s">
        <v>218</v>
      </c>
      <c r="C302" s="293">
        <v>5.8596240000000002</v>
      </c>
      <c r="D302" s="293">
        <v>-2.910784</v>
      </c>
      <c r="E302" s="293">
        <v>10.3773</v>
      </c>
      <c r="F302" s="293">
        <v>-17.870249999999999</v>
      </c>
      <c r="G302" s="295">
        <v>1.1239819999999999E-2</v>
      </c>
      <c r="H302" s="291">
        <v>0.999919</v>
      </c>
      <c r="I302" s="287">
        <v>0.10920000000000001</v>
      </c>
      <c r="J302" s="288">
        <v>6</v>
      </c>
      <c r="K302" s="287">
        <v>4.2200000000000001E-2</v>
      </c>
    </row>
    <row r="303" spans="1:11">
      <c r="A303" s="264">
        <v>97</v>
      </c>
      <c r="B303" s="285" t="s">
        <v>406</v>
      </c>
      <c r="C303" s="293">
        <v>6.0176040000000004</v>
      </c>
      <c r="D303" s="293">
        <v>-3.0493760000000001</v>
      </c>
      <c r="E303" s="293">
        <v>10.82602</v>
      </c>
      <c r="F303" s="293">
        <v>-18.438210000000002</v>
      </c>
      <c r="G303" s="295">
        <v>1.147189E-2</v>
      </c>
      <c r="H303" s="291">
        <v>0.99993299999999996</v>
      </c>
      <c r="I303" s="287">
        <v>0.1031</v>
      </c>
      <c r="J303" s="288">
        <v>6</v>
      </c>
      <c r="K303" s="287">
        <v>3.8699999999999998E-2</v>
      </c>
    </row>
    <row r="304" spans="1:11">
      <c r="A304" s="264">
        <v>97</v>
      </c>
      <c r="B304" s="285" t="s">
        <v>219</v>
      </c>
      <c r="C304" s="293">
        <v>6.0198390000000002</v>
      </c>
      <c r="D304" s="293">
        <v>-3.0514739999999998</v>
      </c>
      <c r="E304" s="293">
        <v>10.83319</v>
      </c>
      <c r="F304" s="293">
        <v>-18.44772</v>
      </c>
      <c r="G304" s="295">
        <v>1.1475809999999999E-2</v>
      </c>
      <c r="H304" s="291">
        <v>0.99993399999999999</v>
      </c>
      <c r="I304" s="287">
        <v>0.1028</v>
      </c>
      <c r="J304" s="288">
        <v>6</v>
      </c>
      <c r="K304" s="287">
        <v>3.85E-2</v>
      </c>
    </row>
    <row r="305" spans="1:11">
      <c r="A305" s="264">
        <v>98</v>
      </c>
      <c r="B305" s="285" t="s">
        <v>407</v>
      </c>
      <c r="C305" s="293">
        <v>6.1538320000000004</v>
      </c>
      <c r="D305" s="293">
        <v>-3.1609850000000002</v>
      </c>
      <c r="E305" s="293">
        <v>11.15868</v>
      </c>
      <c r="F305" s="293">
        <v>-18.799890000000001</v>
      </c>
      <c r="G305" s="295">
        <v>1.1574579999999999E-2</v>
      </c>
      <c r="H305" s="291">
        <v>0.99994700000000003</v>
      </c>
      <c r="I305" s="287">
        <v>9.5799999999999996E-2</v>
      </c>
      <c r="J305" s="288">
        <v>6</v>
      </c>
      <c r="K305" s="287">
        <v>3.4700000000000002E-2</v>
      </c>
    </row>
    <row r="306" spans="1:11">
      <c r="A306" s="264">
        <v>98</v>
      </c>
      <c r="B306" s="285" t="s">
        <v>220</v>
      </c>
      <c r="C306" s="293">
        <v>6.1550779999999996</v>
      </c>
      <c r="D306" s="293">
        <v>-3.1619760000000001</v>
      </c>
      <c r="E306" s="293">
        <v>11.161350000000001</v>
      </c>
      <c r="F306" s="293">
        <v>-18.801819999999999</v>
      </c>
      <c r="G306" s="295">
        <v>1.1573999999999999E-2</v>
      </c>
      <c r="H306" s="291">
        <v>0.99994700000000003</v>
      </c>
      <c r="I306" s="287">
        <v>9.5500000000000002E-2</v>
      </c>
      <c r="J306" s="288">
        <v>6</v>
      </c>
      <c r="K306" s="287">
        <v>3.4599999999999999E-2</v>
      </c>
    </row>
    <row r="307" spans="1:11">
      <c r="A307" s="264">
        <v>98</v>
      </c>
      <c r="B307" s="285" t="s">
        <v>221</v>
      </c>
      <c r="C307" s="293">
        <v>6.1561199999999996</v>
      </c>
      <c r="D307" s="293">
        <v>-3.1627139999999998</v>
      </c>
      <c r="E307" s="293">
        <v>11.16295</v>
      </c>
      <c r="F307" s="293">
        <v>-18.801670000000001</v>
      </c>
      <c r="G307" s="295">
        <v>1.157188E-2</v>
      </c>
      <c r="H307" s="291">
        <v>0.99994799999999995</v>
      </c>
      <c r="I307" s="287">
        <v>9.5100000000000004E-2</v>
      </c>
      <c r="J307" s="288">
        <v>6</v>
      </c>
      <c r="K307" s="287">
        <v>3.44E-2</v>
      </c>
    </row>
    <row r="308" spans="1:11">
      <c r="A308" s="264">
        <v>99</v>
      </c>
      <c r="B308" s="285" t="s">
        <v>408</v>
      </c>
      <c r="C308" s="293">
        <v>6.267595</v>
      </c>
      <c r="D308" s="293">
        <v>-3.244815</v>
      </c>
      <c r="E308" s="293">
        <v>11.372439999999999</v>
      </c>
      <c r="F308" s="293">
        <v>-18.950780000000002</v>
      </c>
      <c r="G308" s="295">
        <v>1.1545059999999999E-2</v>
      </c>
      <c r="H308" s="291">
        <v>0.99995900000000004</v>
      </c>
      <c r="I308" s="287">
        <v>8.6900000000000005E-2</v>
      </c>
      <c r="J308" s="288">
        <v>6</v>
      </c>
      <c r="K308" s="287">
        <v>3.0700000000000002E-2</v>
      </c>
    </row>
    <row r="309" spans="1:11">
      <c r="A309" s="264">
        <v>99</v>
      </c>
      <c r="B309" s="285" t="s">
        <v>222</v>
      </c>
      <c r="C309" s="293">
        <v>6.2678440000000002</v>
      </c>
      <c r="D309" s="293">
        <v>-3.244675</v>
      </c>
      <c r="E309" s="293">
        <v>11.370509999999999</v>
      </c>
      <c r="F309" s="293">
        <v>-18.944759999999999</v>
      </c>
      <c r="G309" s="295">
        <v>1.1539529999999999E-2</v>
      </c>
      <c r="H309" s="291">
        <v>0.99995900000000004</v>
      </c>
      <c r="I309" s="287">
        <v>8.6499999999999994E-2</v>
      </c>
      <c r="J309" s="288">
        <v>6</v>
      </c>
      <c r="K309" s="287">
        <v>3.0599999999999999E-2</v>
      </c>
    </row>
    <row r="310" spans="1:11">
      <c r="A310" s="264">
        <v>100</v>
      </c>
      <c r="B310" s="285" t="s">
        <v>409</v>
      </c>
      <c r="C310" s="293">
        <v>6.3562909999999997</v>
      </c>
      <c r="D310" s="293">
        <v>-3.2987690000000001</v>
      </c>
      <c r="E310" s="293">
        <v>11.461930000000001</v>
      </c>
      <c r="F310" s="293">
        <v>-18.887090000000001</v>
      </c>
      <c r="G310" s="295">
        <v>1.138428E-2</v>
      </c>
      <c r="H310" s="291">
        <v>0.999969</v>
      </c>
      <c r="I310" s="287">
        <v>7.6799999999999993E-2</v>
      </c>
      <c r="J310" s="288">
        <v>6</v>
      </c>
      <c r="K310" s="287">
        <v>2.69E-2</v>
      </c>
    </row>
    <row r="311" spans="1:11">
      <c r="A311" s="264">
        <v>100</v>
      </c>
      <c r="B311" s="285" t="s">
        <v>223</v>
      </c>
      <c r="C311" s="293">
        <v>6.3555330000000003</v>
      </c>
      <c r="D311" s="293">
        <v>-3.2974999999999999</v>
      </c>
      <c r="E311" s="293">
        <v>11.45546</v>
      </c>
      <c r="F311" s="293">
        <v>-18.873290000000001</v>
      </c>
      <c r="G311" s="295">
        <v>1.1373970000000001E-2</v>
      </c>
      <c r="H311" s="291">
        <v>0.999969</v>
      </c>
      <c r="I311" s="287">
        <v>7.6399999999999996E-2</v>
      </c>
      <c r="J311" s="288">
        <v>6</v>
      </c>
      <c r="K311" s="287">
        <v>2.69E-2</v>
      </c>
    </row>
    <row r="312" spans="1:11">
      <c r="A312" s="264">
        <v>101</v>
      </c>
      <c r="B312" s="285" t="s">
        <v>410</v>
      </c>
      <c r="C312" s="293">
        <v>6.4198360000000001</v>
      </c>
      <c r="D312" s="293">
        <v>-3.3231899999999999</v>
      </c>
      <c r="E312" s="293">
        <v>11.43031</v>
      </c>
      <c r="F312" s="293">
        <v>-18.617000000000001</v>
      </c>
      <c r="G312" s="295">
        <v>1.1098780000000001E-2</v>
      </c>
      <c r="H312" s="291">
        <v>0.99997499999999995</v>
      </c>
      <c r="I312" s="287">
        <v>6.5699999999999995E-2</v>
      </c>
      <c r="J312" s="288">
        <v>6</v>
      </c>
      <c r="K312" s="287">
        <v>2.4799999999999999E-2</v>
      </c>
    </row>
    <row r="313" spans="1:11">
      <c r="A313" s="264">
        <v>101</v>
      </c>
      <c r="B313" s="285" t="s">
        <v>224</v>
      </c>
      <c r="C313" s="293">
        <v>6.4180849999999996</v>
      </c>
      <c r="D313" s="293">
        <v>-3.320821</v>
      </c>
      <c r="E313" s="293">
        <v>11.419460000000001</v>
      </c>
      <c r="F313" s="293">
        <v>-18.595780000000001</v>
      </c>
      <c r="G313" s="295">
        <v>1.1083930000000001E-2</v>
      </c>
      <c r="H313" s="291">
        <v>0.99997599999999998</v>
      </c>
      <c r="I313" s="287">
        <v>6.5199999999999994E-2</v>
      </c>
      <c r="J313" s="288">
        <v>6</v>
      </c>
      <c r="K313" s="287">
        <v>2.47E-2</v>
      </c>
    </row>
    <row r="314" spans="1:11">
      <c r="A314" s="264">
        <v>102</v>
      </c>
      <c r="B314" s="285" t="s">
        <v>411</v>
      </c>
      <c r="C314" s="293">
        <v>6.4585499999999998</v>
      </c>
      <c r="D314" s="293">
        <v>-3.31887</v>
      </c>
      <c r="E314" s="293">
        <v>11.28248</v>
      </c>
      <c r="F314" s="293">
        <v>-18.151540000000001</v>
      </c>
      <c r="G314" s="295">
        <v>1.069673E-2</v>
      </c>
      <c r="H314" s="291">
        <v>0.99997899999999995</v>
      </c>
      <c r="I314" s="287">
        <v>5.3499999999999999E-2</v>
      </c>
      <c r="J314" s="288">
        <v>6</v>
      </c>
      <c r="K314" s="287">
        <v>2.3300000000000001E-2</v>
      </c>
    </row>
    <row r="315" spans="1:11">
      <c r="A315" s="264">
        <v>102</v>
      </c>
      <c r="B315" s="285" t="s">
        <v>225</v>
      </c>
      <c r="C315" s="293">
        <v>6.4558419999999996</v>
      </c>
      <c r="D315" s="293">
        <v>-3.3154520000000001</v>
      </c>
      <c r="E315" s="293">
        <v>11.2675</v>
      </c>
      <c r="F315" s="293">
        <v>-18.123390000000001</v>
      </c>
      <c r="G315" s="295">
        <v>1.06777E-2</v>
      </c>
      <c r="H315" s="291">
        <v>0.99997899999999995</v>
      </c>
      <c r="I315" s="287">
        <v>5.2999999999999999E-2</v>
      </c>
      <c r="J315" s="288">
        <v>6</v>
      </c>
      <c r="K315" s="287">
        <v>2.3300000000000001E-2</v>
      </c>
    </row>
    <row r="316" spans="1:11">
      <c r="A316" s="264">
        <v>103</v>
      </c>
      <c r="B316" s="285" t="s">
        <v>412</v>
      </c>
      <c r="C316" s="293">
        <v>6.4694640000000003</v>
      </c>
      <c r="D316" s="293">
        <v>-3.2825549999999999</v>
      </c>
      <c r="E316" s="293">
        <v>11.00586</v>
      </c>
      <c r="F316" s="293">
        <v>-17.469339999999999</v>
      </c>
      <c r="G316" s="295">
        <v>1.0164660000000001E-2</v>
      </c>
      <c r="H316" s="291">
        <v>0.99997899999999995</v>
      </c>
      <c r="I316" s="287">
        <v>6.2600000000000003E-2</v>
      </c>
      <c r="J316" s="288">
        <v>2</v>
      </c>
      <c r="K316" s="287">
        <v>2.2599999999999999E-2</v>
      </c>
    </row>
    <row r="317" spans="1:11">
      <c r="A317" s="264">
        <v>104</v>
      </c>
      <c r="B317" s="285" t="s">
        <v>413</v>
      </c>
      <c r="C317" s="293">
        <v>6.4543509999999999</v>
      </c>
      <c r="D317" s="293">
        <v>-3.2171069999999999</v>
      </c>
      <c r="E317" s="293">
        <v>10.615069999999999</v>
      </c>
      <c r="F317" s="293">
        <v>-16.600490000000001</v>
      </c>
      <c r="G317" s="295">
        <v>9.5240540000000005E-3</v>
      </c>
      <c r="H317" s="291">
        <v>0.99997599999999998</v>
      </c>
      <c r="I317" s="287">
        <v>8.2299999999999998E-2</v>
      </c>
      <c r="J317" s="288">
        <v>2</v>
      </c>
      <c r="K317" s="287">
        <v>2.3099999999999999E-2</v>
      </c>
    </row>
    <row r="318" spans="1:11">
      <c r="A318" s="264">
        <v>105</v>
      </c>
      <c r="B318" s="285" t="s">
        <v>414</v>
      </c>
      <c r="C318" s="293">
        <v>6.414498</v>
      </c>
      <c r="D318" s="293">
        <v>-3.1244360000000002</v>
      </c>
      <c r="E318" s="293">
        <v>10.11946</v>
      </c>
      <c r="F318" s="293">
        <v>-15.563470000000001</v>
      </c>
      <c r="G318" s="295">
        <v>8.7875330000000001E-3</v>
      </c>
      <c r="H318" s="291">
        <v>0.999969</v>
      </c>
      <c r="I318" s="287">
        <v>0.1009</v>
      </c>
      <c r="J318" s="288">
        <v>2</v>
      </c>
      <c r="K318" s="287">
        <v>2.5000000000000001E-2</v>
      </c>
    </row>
    <row r="319" spans="1:11">
      <c r="A319" s="264">
        <v>106</v>
      </c>
      <c r="B319" s="285" t="s">
        <v>415</v>
      </c>
      <c r="C319" s="293">
        <v>6.3516250000000003</v>
      </c>
      <c r="D319" s="293">
        <v>-3.006904</v>
      </c>
      <c r="E319" s="293">
        <v>9.530049</v>
      </c>
      <c r="F319" s="293">
        <v>-14.37926</v>
      </c>
      <c r="G319" s="295">
        <v>7.9690920000000005E-3</v>
      </c>
      <c r="H319" s="291">
        <v>0.99995999999999996</v>
      </c>
      <c r="I319" s="287">
        <v>0.1181</v>
      </c>
      <c r="J319" s="288">
        <v>2</v>
      </c>
      <c r="K319" s="287">
        <v>2.8299999999999999E-2</v>
      </c>
    </row>
    <row r="320" spans="1:11">
      <c r="A320" s="264">
        <v>107</v>
      </c>
      <c r="B320" s="285" t="s">
        <v>416</v>
      </c>
      <c r="C320" s="293">
        <v>6.2678630000000002</v>
      </c>
      <c r="D320" s="293">
        <v>-2.867292</v>
      </c>
      <c r="E320" s="293">
        <v>8.8593569999999993</v>
      </c>
      <c r="F320" s="293">
        <v>-13.07109</v>
      </c>
      <c r="G320" s="295">
        <v>7.0838919999999996E-3</v>
      </c>
      <c r="H320" s="291">
        <v>0.99994899999999998</v>
      </c>
      <c r="I320" s="287">
        <v>0.1336</v>
      </c>
      <c r="J320" s="288">
        <v>2</v>
      </c>
      <c r="K320" s="287">
        <v>3.3099999999999997E-2</v>
      </c>
    </row>
    <row r="321" spans="1:11">
      <c r="A321" s="264">
        <v>108</v>
      </c>
      <c r="B321" s="285" t="s">
        <v>417</v>
      </c>
      <c r="C321" s="293">
        <v>6.1655629999999997</v>
      </c>
      <c r="D321" s="293">
        <v>-2.7085849999999998</v>
      </c>
      <c r="E321" s="293">
        <v>8.1205309999999997</v>
      </c>
      <c r="F321" s="293">
        <v>-11.66295</v>
      </c>
      <c r="G321" s="295">
        <v>6.1473939999999996E-3</v>
      </c>
      <c r="H321" s="291">
        <v>0.99993699999999996</v>
      </c>
      <c r="I321" s="287">
        <v>0.1472</v>
      </c>
      <c r="J321" s="288">
        <v>2</v>
      </c>
      <c r="K321" s="287">
        <v>3.85E-2</v>
      </c>
    </row>
    <row r="322" spans="1:11">
      <c r="A322" s="264">
        <v>112</v>
      </c>
      <c r="B322" s="285" t="s">
        <v>418</v>
      </c>
      <c r="C322" s="293">
        <v>5.62052</v>
      </c>
      <c r="D322" s="293">
        <v>-1.93849</v>
      </c>
      <c r="E322" s="293">
        <v>4.7047650000000001</v>
      </c>
      <c r="F322" s="293">
        <v>-5.3962000000000003</v>
      </c>
      <c r="G322" s="295">
        <v>2.103536E-3</v>
      </c>
      <c r="H322" s="291">
        <v>0.99988600000000005</v>
      </c>
      <c r="I322" s="287">
        <v>0.1865</v>
      </c>
      <c r="J322" s="288">
        <v>2</v>
      </c>
      <c r="K322" s="287">
        <v>5.8700000000000002E-2</v>
      </c>
    </row>
    <row r="323" spans="1:11">
      <c r="C323" s="294"/>
      <c r="D323" s="294"/>
      <c r="E323" s="294"/>
      <c r="F323" s="294"/>
      <c r="G323" s="294"/>
      <c r="H323" s="291"/>
      <c r="I323" s="287"/>
      <c r="J323" s="288"/>
      <c r="K323" s="2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54AD-7427-4B2D-B016-FC8BCF1B1A7F}">
  <dimension ref="A1:X322"/>
  <sheetViews>
    <sheetView workbookViewId="0">
      <selection activeCell="O29" sqref="O29"/>
    </sheetView>
  </sheetViews>
  <sheetFormatPr defaultRowHeight="15"/>
  <cols>
    <col min="1" max="1" width="10.42578125" customWidth="1"/>
    <col min="2" max="2" width="10.42578125" style="1" customWidth="1"/>
    <col min="3" max="3" width="10.42578125" customWidth="1"/>
    <col min="4" max="4" width="16.140625" style="65" customWidth="1"/>
    <col min="5" max="5" width="14.140625" style="51" customWidth="1"/>
    <col min="6" max="6" width="14.42578125" style="52" bestFit="1" customWidth="1"/>
    <col min="7" max="7" width="12.7109375" style="52" customWidth="1"/>
    <col min="8" max="8" width="11.7109375" style="166" customWidth="1"/>
    <col min="9" max="9" width="11.42578125" style="167" customWidth="1"/>
    <col min="10" max="10" width="11" style="2" customWidth="1"/>
    <col min="11" max="12" width="11" style="168" customWidth="1"/>
    <col min="13" max="13" width="12.140625" style="169" customWidth="1"/>
    <col min="18" max="18" width="11.5703125" bestFit="1" customWidth="1"/>
    <col min="19" max="19" width="10.5703125" bestFit="1" customWidth="1"/>
  </cols>
  <sheetData>
    <row r="1" spans="1:24">
      <c r="A1" s="5" t="s">
        <v>285</v>
      </c>
    </row>
    <row r="2" spans="1:24">
      <c r="A2" s="5"/>
    </row>
    <row r="3" spans="1:24">
      <c r="D3" s="170" t="s">
        <v>228</v>
      </c>
      <c r="E3" s="171" t="s">
        <v>226</v>
      </c>
      <c r="F3" s="47"/>
      <c r="G3" s="47"/>
      <c r="H3" s="172" t="s">
        <v>227</v>
      </c>
      <c r="I3" s="173"/>
      <c r="J3" s="174"/>
      <c r="K3" s="175" t="s">
        <v>280</v>
      </c>
      <c r="L3" s="176"/>
      <c r="M3" s="177"/>
    </row>
    <row r="4" spans="1:24">
      <c r="A4" s="178" t="s">
        <v>286</v>
      </c>
      <c r="B4" s="12" t="s">
        <v>0</v>
      </c>
      <c r="C4" s="13" t="s">
        <v>1</v>
      </c>
      <c r="D4" s="179" t="s">
        <v>287</v>
      </c>
      <c r="E4" s="180" t="s">
        <v>288</v>
      </c>
      <c r="F4" s="181" t="s">
        <v>289</v>
      </c>
      <c r="G4" s="181" t="s">
        <v>290</v>
      </c>
      <c r="H4" s="182" t="s">
        <v>291</v>
      </c>
      <c r="I4" s="183" t="s">
        <v>292</v>
      </c>
      <c r="J4" s="184" t="s">
        <v>293</v>
      </c>
      <c r="K4" s="185" t="s">
        <v>294</v>
      </c>
      <c r="L4" s="186" t="s">
        <v>295</v>
      </c>
      <c r="M4" s="187" t="s">
        <v>296</v>
      </c>
      <c r="O4" s="5" t="s">
        <v>297</v>
      </c>
      <c r="X4" s="6">
        <f>COUNT(G24:G25,G27,G31,G52:G53,G56:G59,G61:G62,G64,G66:G67,G72:G74,G79:G80,G85:G86,G90:G91,G93:G94,G97,G100,G104,G118:G119,G121,G125,G127,G129,G132,G135,G145:G146,G153:G154,G157:G160,G162,G165:G169)</f>
        <v>51</v>
      </c>
    </row>
    <row r="5" spans="1:24">
      <c r="A5">
        <v>1</v>
      </c>
      <c r="B5" s="1">
        <v>3</v>
      </c>
      <c r="C5" t="s">
        <v>2</v>
      </c>
      <c r="D5" s="188">
        <v>-7.237205308779</v>
      </c>
      <c r="E5" s="50">
        <v>-7.2372053000000003</v>
      </c>
      <c r="F5" s="52">
        <f>D5-E5</f>
        <v>-8.7789997493814553E-9</v>
      </c>
      <c r="G5" s="52">
        <f>ABS(F5)</f>
        <v>8.7789997493814553E-9</v>
      </c>
      <c r="H5" s="189"/>
      <c r="J5" s="190"/>
      <c r="K5" s="191">
        <v>-7.2372055199999998</v>
      </c>
      <c r="L5" s="129">
        <f>D5-K5</f>
        <v>2.1122099980175335E-7</v>
      </c>
      <c r="M5" s="192">
        <f>ABS(L5)</f>
        <v>2.1122099980175335E-7</v>
      </c>
    </row>
    <row r="6" spans="1:24">
      <c r="A6">
        <v>2</v>
      </c>
      <c r="B6" s="1">
        <v>4</v>
      </c>
      <c r="C6" t="s">
        <v>298</v>
      </c>
      <c r="D6" s="188">
        <v>-13.614000733301999</v>
      </c>
      <c r="E6" s="50">
        <v>-13.614000000000001</v>
      </c>
      <c r="F6" s="52">
        <f>D6-E6</f>
        <v>-7.3330199867882584E-7</v>
      </c>
      <c r="G6" s="52">
        <f>ABS(F6)</f>
        <v>7.3330199867882584E-7</v>
      </c>
      <c r="H6" s="189"/>
      <c r="J6" s="190"/>
      <c r="K6" s="191">
        <v>-13.614130141</v>
      </c>
      <c r="L6" s="129">
        <f>D6-K6</f>
        <v>1.2940769800096064E-4</v>
      </c>
      <c r="M6" s="193">
        <f>ABS(L6)</f>
        <v>1.2940769800096064E-4</v>
      </c>
      <c r="S6" s="171" t="s">
        <v>226</v>
      </c>
      <c r="T6" s="194"/>
      <c r="V6" s="195" t="s">
        <v>227</v>
      </c>
    </row>
    <row r="7" spans="1:24">
      <c r="A7">
        <v>3</v>
      </c>
      <c r="B7" s="1">
        <v>5</v>
      </c>
      <c r="C7" t="s">
        <v>3</v>
      </c>
      <c r="D7" s="188">
        <v>-24.245164652174999</v>
      </c>
      <c r="H7" s="189">
        <v>-24.254552635932296</v>
      </c>
      <c r="I7" s="196">
        <f>D7-H7</f>
        <v>9.3879837572963254E-3</v>
      </c>
      <c r="J7" s="197">
        <f>ABS(I7)</f>
        <v>9.3879837572963254E-3</v>
      </c>
      <c r="M7" s="198"/>
      <c r="O7" s="7" t="s">
        <v>299</v>
      </c>
      <c r="S7" s="123">
        <f>AVERAGE(G24:G25,G27,G31,G52:G53,G56:G59,G61:G62,G64,G66:G67,G72:G74,G79:G80,G85:G86,G90:G91,G93:G94,G97,G100,G104,G118:G119,G121,G125,G127,G129,G132,G135,G145:G146,G153:G154,G157:G160,G162,G165:G169)</f>
        <v>0.69578870597111153</v>
      </c>
      <c r="T7" s="4"/>
      <c r="U7" s="4"/>
      <c r="V7" s="199">
        <f>AVERAGE(J24:J25,J27,J31,J52:J53,J56:J59,J61:J62,J64,J66:J67,J72:J74,J79:J80,J85:J86,J90:J91,J93:J94,J97,J100,J104,J118:J119,J121,J125,J127,J129,J132,J135,J145:J146,J153:J154,J157:J160,J162,J165:J169)</f>
        <v>2.5460417812133342</v>
      </c>
    </row>
    <row r="8" spans="1:24">
      <c r="A8">
        <v>4</v>
      </c>
      <c r="B8" s="1">
        <v>5</v>
      </c>
      <c r="C8" t="s">
        <v>4</v>
      </c>
      <c r="D8" s="188">
        <v>-23.383320642129998</v>
      </c>
      <c r="H8" s="189">
        <v>-23.372568903716573</v>
      </c>
      <c r="I8" s="167">
        <f>D8-H8</f>
        <v>-1.0751738413425471E-2</v>
      </c>
      <c r="J8" s="174">
        <f>ABS(I8)</f>
        <v>1.0751738413425471E-2</v>
      </c>
      <c r="M8" s="198"/>
      <c r="O8" s="5" t="s">
        <v>300</v>
      </c>
      <c r="S8" s="123">
        <f>_xlfn.STDEV.P(G24:G25,G27,G31,G52:G53,G56:G59,G61:G62,G64,G66:G67,G72:G74,G79:G80,G85:G86,G90:G91,G93:G94,G97,G100,G104,G118:G119,G121,G125,G127,G129,G132,G135,G145:G146,G153:G154,G157:G160,G162,G165:G169)</f>
        <v>1.3792660840211877</v>
      </c>
      <c r="T8" s="4"/>
      <c r="U8" s="4"/>
      <c r="V8" s="123">
        <f>_xlfn.STDEV.P(J24:J25,J27,J31,J52:J53,J56:J59,J61:J62,J64,J66:J67,J72:J74,J79:J80,J85:J86,J90:J91,J93:J94,J97,J100,J104,J118:J119,J121,J125,J127,J129,J132,J135,J145:J146,J153:J154,J157:J160,J162,J165:J169)</f>
        <v>2.4767323113685271</v>
      </c>
    </row>
    <row r="9" spans="1:24">
      <c r="A9">
        <v>5</v>
      </c>
      <c r="B9" s="1">
        <v>5</v>
      </c>
      <c r="C9" t="s">
        <v>5</v>
      </c>
      <c r="D9" s="188">
        <v>-21.993147587138999</v>
      </c>
      <c r="H9" s="189"/>
      <c r="J9" s="190"/>
      <c r="K9" s="200"/>
      <c r="L9" s="200"/>
      <c r="M9" s="198"/>
      <c r="O9" s="7" t="s">
        <v>301</v>
      </c>
      <c r="S9" s="4">
        <f>MAX(G24:G25,G27,G31,G52:G53,G56:G59,G61:G62,G64,G66:G67,G72:G74,G79:G80,G85:G86,G90:G91,G93:G94,G97,G100,G104,G118:G119,G121,G125,G127,G129,G132,G135,G145:G146,G153:G154,G157:G160,G162,G165:G169)</f>
        <v>7.7485153012603405</v>
      </c>
      <c r="T9" s="4"/>
      <c r="U9" s="4"/>
      <c r="V9" s="4">
        <f>MAX(J24:J25,J27,J31,J52:J53,J56:J59,J61:J62,J64,J66:J67,J72:J74,J79:J80,J85:J86,J90:J91,J93:J94,J97,J100,J104,J118:J119,J121,J125,J127,J129,J132,J135,J145:J146,J153:J154,J157:J160,J162,J165:J169)</f>
        <v>7.8212964223857853</v>
      </c>
    </row>
    <row r="10" spans="1:24">
      <c r="A10">
        <v>6</v>
      </c>
      <c r="B10" s="1">
        <v>6</v>
      </c>
      <c r="C10" t="s">
        <v>6</v>
      </c>
      <c r="D10" s="188">
        <v>-37.308727019526003</v>
      </c>
      <c r="H10" s="189">
        <v>-37.300562008289816</v>
      </c>
      <c r="I10" s="167">
        <f>D10-H10</f>
        <v>-8.1650112361870697E-3</v>
      </c>
      <c r="J10" s="174">
        <f>ABS(I10)</f>
        <v>8.1650112361870697E-3</v>
      </c>
      <c r="M10" s="198"/>
    </row>
    <row r="11" spans="1:24">
      <c r="A11">
        <v>7</v>
      </c>
      <c r="B11" s="1">
        <v>6</v>
      </c>
      <c r="C11" t="s">
        <v>7</v>
      </c>
      <c r="D11" s="188">
        <v>-36.425151060319003</v>
      </c>
      <c r="H11" s="189">
        <v>-36.418578276074093</v>
      </c>
      <c r="I11" s="167">
        <f>D11-H11</f>
        <v>-6.5727842449092577E-3</v>
      </c>
      <c r="J11" s="174">
        <f>ABS(I11)</f>
        <v>6.5727842449092577E-3</v>
      </c>
      <c r="M11" s="198"/>
    </row>
    <row r="12" spans="1:24">
      <c r="A12">
        <v>8</v>
      </c>
      <c r="B12" s="1">
        <v>6</v>
      </c>
      <c r="C12" t="s">
        <v>8</v>
      </c>
      <c r="D12" s="188">
        <v>-34.741948131781001</v>
      </c>
      <c r="H12" s="189">
        <v>-34.728109455993966</v>
      </c>
      <c r="I12" s="167">
        <f>D12-H12</f>
        <v>-1.3838675787035015E-2</v>
      </c>
      <c r="J12" s="174">
        <f>ABS(I12)</f>
        <v>1.3838675787035015E-2</v>
      </c>
      <c r="M12" s="198"/>
      <c r="R12" s="201" t="s">
        <v>228</v>
      </c>
      <c r="T12" s="171" t="s">
        <v>226</v>
      </c>
      <c r="U12" s="194"/>
      <c r="V12" s="194"/>
      <c r="W12" s="195" t="s">
        <v>227</v>
      </c>
    </row>
    <row r="13" spans="1:24">
      <c r="A13">
        <v>9</v>
      </c>
      <c r="B13" s="1">
        <v>6</v>
      </c>
      <c r="C13" t="s">
        <v>9</v>
      </c>
      <c r="D13" s="188">
        <v>-32.375985687017</v>
      </c>
      <c r="H13" s="189"/>
      <c r="J13" s="190"/>
      <c r="K13" s="200"/>
      <c r="L13" s="200"/>
      <c r="M13" s="198"/>
      <c r="O13" s="5" t="s">
        <v>302</v>
      </c>
      <c r="R13" t="s">
        <v>303</v>
      </c>
      <c r="T13" t="s">
        <v>304</v>
      </c>
      <c r="W13" t="s">
        <v>305</v>
      </c>
    </row>
    <row r="14" spans="1:24">
      <c r="A14">
        <v>10</v>
      </c>
      <c r="B14" s="1">
        <v>6</v>
      </c>
      <c r="C14" t="s">
        <v>306</v>
      </c>
      <c r="D14" s="188">
        <v>-37.353154993677997</v>
      </c>
      <c r="E14" s="50">
        <v>-37.612366000000002</v>
      </c>
      <c r="F14" s="202">
        <f>D14-E14</f>
        <v>0.25921100632200478</v>
      </c>
      <c r="G14" s="52">
        <f>ABS(F14)</f>
        <v>0.25921100632200478</v>
      </c>
      <c r="H14" s="189"/>
      <c r="J14" s="190"/>
      <c r="K14" s="191">
        <v>-37.615040890000003</v>
      </c>
      <c r="L14" s="203">
        <f>D14-K14</f>
        <v>0.26188589632200632</v>
      </c>
      <c r="M14" s="204">
        <f>ABS(L14)</f>
        <v>0.26188589632200632</v>
      </c>
      <c r="O14" s="5" t="s">
        <v>307</v>
      </c>
      <c r="R14" t="s">
        <v>308</v>
      </c>
      <c r="T14" t="s">
        <v>308</v>
      </c>
      <c r="W14" t="s">
        <v>308</v>
      </c>
    </row>
    <row r="15" spans="1:24">
      <c r="A15">
        <v>11</v>
      </c>
      <c r="B15" s="1">
        <v>7</v>
      </c>
      <c r="C15" t="s">
        <v>10</v>
      </c>
      <c r="D15" s="188">
        <v>-53.879267568536001</v>
      </c>
      <c r="H15" s="189">
        <v>-53.911255631685876</v>
      </c>
      <c r="I15" s="196">
        <f>D15-H15</f>
        <v>3.198806314987479E-2</v>
      </c>
      <c r="J15" s="197">
        <f>ABS(I15)</f>
        <v>3.198806314987479E-2</v>
      </c>
      <c r="L15" s="205"/>
      <c r="M15" s="206"/>
      <c r="O15" s="5" t="s">
        <v>309</v>
      </c>
      <c r="R15" t="s">
        <v>310</v>
      </c>
      <c r="T15" t="s">
        <v>311</v>
      </c>
    </row>
    <row r="16" spans="1:24">
      <c r="A16">
        <v>12</v>
      </c>
      <c r="B16" s="1">
        <v>7</v>
      </c>
      <c r="C16" t="s">
        <v>11</v>
      </c>
      <c r="D16" s="188">
        <v>-52.847827809454998</v>
      </c>
      <c r="H16" s="189">
        <v>-52.84552528859188</v>
      </c>
      <c r="I16" s="167">
        <f>D16-H16</f>
        <v>-2.3025208631182181E-3</v>
      </c>
      <c r="J16" s="174">
        <f>ABS(I16)</f>
        <v>2.3025208631182181E-3</v>
      </c>
      <c r="L16" s="205"/>
      <c r="M16" s="206"/>
      <c r="O16" s="5" t="s">
        <v>312</v>
      </c>
      <c r="R16" t="s">
        <v>313</v>
      </c>
      <c r="T16" t="s">
        <v>313</v>
      </c>
      <c r="W16" t="s">
        <v>314</v>
      </c>
    </row>
    <row r="17" spans="1:23">
      <c r="A17">
        <v>13</v>
      </c>
      <c r="B17" s="1">
        <v>7</v>
      </c>
      <c r="C17" t="s">
        <v>12</v>
      </c>
      <c r="D17" s="188">
        <v>-51.114494142059002</v>
      </c>
      <c r="H17" s="189">
        <v>-51.118307146336093</v>
      </c>
      <c r="I17" s="196">
        <f>D17-H17</f>
        <v>3.8130042770916361E-3</v>
      </c>
      <c r="J17" s="197">
        <f>ABS(I17)</f>
        <v>3.8130042770916361E-3</v>
      </c>
      <c r="L17" s="205"/>
      <c r="M17" s="206"/>
      <c r="O17" s="5" t="s">
        <v>315</v>
      </c>
      <c r="R17" t="s">
        <v>316</v>
      </c>
      <c r="T17" t="s">
        <v>316</v>
      </c>
      <c r="W17" t="s">
        <v>316</v>
      </c>
    </row>
    <row r="18" spans="1:23">
      <c r="A18">
        <v>14</v>
      </c>
      <c r="B18" s="1">
        <v>7</v>
      </c>
      <c r="C18" t="s">
        <v>13</v>
      </c>
      <c r="D18" s="188">
        <v>-48.357246518674998</v>
      </c>
      <c r="H18" s="189">
        <v>-48.36210798316197</v>
      </c>
      <c r="I18" s="196">
        <f>D18-H18</f>
        <v>4.8614644869715562E-3</v>
      </c>
      <c r="J18" s="197">
        <f>ABS(I18)</f>
        <v>4.8614644869715562E-3</v>
      </c>
      <c r="L18" s="205"/>
      <c r="M18" s="206"/>
      <c r="O18" s="5" t="s">
        <v>317</v>
      </c>
      <c r="R18" t="s">
        <v>318</v>
      </c>
      <c r="T18" t="s">
        <v>318</v>
      </c>
      <c r="W18" t="s">
        <v>319</v>
      </c>
    </row>
    <row r="19" spans="1:23">
      <c r="A19">
        <v>15</v>
      </c>
      <c r="B19" s="1">
        <v>7</v>
      </c>
      <c r="C19" t="s">
        <v>14</v>
      </c>
      <c r="D19" s="188">
        <v>-44.764193960698002</v>
      </c>
      <c r="H19" s="189"/>
      <c r="J19" s="190"/>
      <c r="K19" s="200"/>
      <c r="L19" s="129"/>
      <c r="M19" s="206"/>
      <c r="O19" s="5" t="s">
        <v>320</v>
      </c>
      <c r="P19" s="5"/>
      <c r="R19" t="s">
        <v>318</v>
      </c>
      <c r="T19" t="s">
        <v>321</v>
      </c>
      <c r="W19" t="s">
        <v>319</v>
      </c>
    </row>
    <row r="20" spans="1:23">
      <c r="A20">
        <v>16</v>
      </c>
      <c r="B20" s="1">
        <v>8</v>
      </c>
      <c r="C20" t="s">
        <v>15</v>
      </c>
      <c r="D20" s="188">
        <v>-74.289500409032001</v>
      </c>
      <c r="H20" s="189">
        <v>-74.417377405701359</v>
      </c>
      <c r="I20" s="196">
        <f>D20-H20</f>
        <v>0.12787699666935737</v>
      </c>
      <c r="J20" s="197">
        <f>ABS(I20)</f>
        <v>0.12787699666935737</v>
      </c>
      <c r="L20" s="205"/>
      <c r="M20" s="206"/>
      <c r="O20" s="5" t="s">
        <v>322</v>
      </c>
      <c r="R20" t="s">
        <v>323</v>
      </c>
      <c r="T20" t="s">
        <v>323</v>
      </c>
      <c r="W20" t="s">
        <v>316</v>
      </c>
    </row>
    <row r="21" spans="1:23">
      <c r="A21">
        <v>17</v>
      </c>
      <c r="B21" s="1">
        <v>8</v>
      </c>
      <c r="C21" t="s">
        <v>16</v>
      </c>
      <c r="D21" s="188">
        <v>-73.105002084326998</v>
      </c>
      <c r="H21" s="189">
        <v>-73.13115112955343</v>
      </c>
      <c r="I21" s="196">
        <f>D21-H21</f>
        <v>2.6149045226432577E-2</v>
      </c>
      <c r="J21" s="197">
        <f>ABS(I21)</f>
        <v>2.6149045226432577E-2</v>
      </c>
      <c r="L21" s="205"/>
      <c r="M21" s="206"/>
      <c r="O21" s="5" t="s">
        <v>324</v>
      </c>
      <c r="R21" t="s">
        <v>323</v>
      </c>
      <c r="T21" t="s">
        <v>323</v>
      </c>
      <c r="W21" t="s">
        <v>325</v>
      </c>
    </row>
    <row r="22" spans="1:23">
      <c r="A22">
        <v>18</v>
      </c>
      <c r="B22" s="1">
        <v>8</v>
      </c>
      <c r="C22" t="s">
        <v>326</v>
      </c>
      <c r="D22" s="188">
        <v>-74.845226720127997</v>
      </c>
      <c r="E22" s="50">
        <v>-74.83802</v>
      </c>
      <c r="F22" s="52">
        <f>D22-E22</f>
        <v>-7.2067201279963911E-3</v>
      </c>
      <c r="G22" s="52">
        <f>ABS(F22)</f>
        <v>7.2067201279963911E-3</v>
      </c>
      <c r="H22" s="189"/>
      <c r="J22" s="190"/>
      <c r="K22" s="200"/>
      <c r="L22" s="129"/>
      <c r="M22" s="206"/>
      <c r="O22" s="5" t="s">
        <v>327</v>
      </c>
      <c r="R22" t="s">
        <v>323</v>
      </c>
      <c r="T22" t="s">
        <v>323</v>
      </c>
      <c r="W22" t="s">
        <v>325</v>
      </c>
    </row>
    <row r="23" spans="1:23">
      <c r="A23">
        <v>19</v>
      </c>
      <c r="B23" s="1">
        <v>9</v>
      </c>
      <c r="C23" t="s">
        <v>328</v>
      </c>
      <c r="D23" s="188">
        <v>-99.551261443768993</v>
      </c>
      <c r="E23" s="50">
        <v>-99.551263000000006</v>
      </c>
      <c r="F23" s="52">
        <f>D23-E23</f>
        <v>1.5562310125005752E-6</v>
      </c>
      <c r="G23" s="52">
        <f>ABS(F23)</f>
        <v>1.5562310125005752E-6</v>
      </c>
      <c r="H23" s="189"/>
      <c r="J23" s="190"/>
      <c r="K23" s="191">
        <v>-99.551287450000004</v>
      </c>
      <c r="L23" s="129">
        <f>D23-K23</f>
        <v>2.6006231010455849E-5</v>
      </c>
      <c r="M23" s="193">
        <f>ABS(L23)</f>
        <v>2.6006231010455849E-5</v>
      </c>
    </row>
    <row r="24" spans="1:23">
      <c r="A24" s="207">
        <v>20</v>
      </c>
      <c r="B24" s="208">
        <v>11</v>
      </c>
      <c r="C24" s="207" t="s">
        <v>17</v>
      </c>
      <c r="D24" s="209">
        <v>-161.89590230568999</v>
      </c>
      <c r="E24" s="210">
        <v>-161.89590000000001</v>
      </c>
      <c r="F24" s="211">
        <f>D24-E24</f>
        <v>-2.30568997494629E-6</v>
      </c>
      <c r="G24" s="211">
        <f>ABS(F24)</f>
        <v>2.30568997494629E-6</v>
      </c>
      <c r="H24" s="212">
        <v>-161.84401486158458</v>
      </c>
      <c r="I24" s="213">
        <f t="shared" ref="I24:I31" si="0">D24-H24</f>
        <v>-5.1887444105403802E-2</v>
      </c>
      <c r="J24" s="214">
        <f t="shared" ref="J24:J31" si="1">ABS(I24)</f>
        <v>5.1887444105403802E-2</v>
      </c>
      <c r="K24" s="191">
        <v>-161.89596807000001</v>
      </c>
      <c r="L24" s="129">
        <f>D24-K24</f>
        <v>6.5764310022586869E-5</v>
      </c>
      <c r="M24" s="193">
        <f>ABS(L24)</f>
        <v>6.5764310022586869E-5</v>
      </c>
    </row>
    <row r="25" spans="1:23">
      <c r="A25" s="207">
        <v>21</v>
      </c>
      <c r="B25" s="208">
        <v>12</v>
      </c>
      <c r="C25" s="207" t="s">
        <v>329</v>
      </c>
      <c r="D25" s="209">
        <v>-199.15003844037699</v>
      </c>
      <c r="E25" s="210">
        <v>-199.15003999999999</v>
      </c>
      <c r="F25" s="215">
        <f>D25-E25</f>
        <v>1.5596230014125467E-6</v>
      </c>
      <c r="G25" s="215">
        <f>ABS(F25)</f>
        <v>1.5596230014125467E-6</v>
      </c>
      <c r="H25" s="212">
        <v>-199.10782754769875</v>
      </c>
      <c r="I25" s="213">
        <f t="shared" si="0"/>
        <v>-4.2210892678241407E-2</v>
      </c>
      <c r="J25" s="214">
        <f t="shared" si="1"/>
        <v>4.2210892678241407E-2</v>
      </c>
      <c r="K25" s="191">
        <v>-199.15013723999999</v>
      </c>
      <c r="L25" s="129">
        <f>D25-K25</f>
        <v>9.8799623003742454E-5</v>
      </c>
      <c r="M25" s="193">
        <f>ABS(L25)</f>
        <v>9.8799623003742454E-5</v>
      </c>
    </row>
    <row r="26" spans="1:23">
      <c r="A26">
        <v>22</v>
      </c>
      <c r="B26" s="1">
        <v>13</v>
      </c>
      <c r="C26" t="s">
        <v>18</v>
      </c>
      <c r="D26" s="188">
        <v>-242.12904884833199</v>
      </c>
      <c r="H26" s="189">
        <v>-242.06778517103942</v>
      </c>
      <c r="I26" s="167">
        <f t="shared" si="0"/>
        <v>-6.1263677292572538E-2</v>
      </c>
      <c r="J26" s="174">
        <f t="shared" si="1"/>
        <v>6.1263677292572538E-2</v>
      </c>
      <c r="M26" s="198"/>
    </row>
    <row r="27" spans="1:23">
      <c r="A27" s="207">
        <v>23</v>
      </c>
      <c r="B27" s="208">
        <v>13</v>
      </c>
      <c r="C27" s="207" t="s">
        <v>330</v>
      </c>
      <c r="D27" s="209">
        <v>-240.45173200897699</v>
      </c>
      <c r="E27" s="210">
        <v>-240.45173</v>
      </c>
      <c r="F27" s="211">
        <f>D27-E27</f>
        <v>-2.0089769918740785E-6</v>
      </c>
      <c r="G27" s="211">
        <f>ABS(F27)</f>
        <v>2.0089769918740785E-6</v>
      </c>
      <c r="H27" s="212">
        <v>-240.37731635095929</v>
      </c>
      <c r="I27" s="213">
        <f t="shared" si="0"/>
        <v>-7.4415658017699116E-2</v>
      </c>
      <c r="J27" s="214">
        <f t="shared" si="1"/>
        <v>7.4415658017699116E-2</v>
      </c>
      <c r="M27" s="198"/>
    </row>
    <row r="28" spans="1:23">
      <c r="A28">
        <v>24</v>
      </c>
      <c r="B28" s="1">
        <v>14</v>
      </c>
      <c r="C28" t="s">
        <v>19</v>
      </c>
      <c r="D28" s="188">
        <v>-289.20025368632997</v>
      </c>
      <c r="H28" s="189">
        <v>-289.10691755587783</v>
      </c>
      <c r="I28" s="167">
        <f t="shared" si="0"/>
        <v>-9.3336130452144062E-2</v>
      </c>
      <c r="J28" s="174">
        <f t="shared" si="1"/>
        <v>9.3336130452144062E-2</v>
      </c>
      <c r="M28" s="198"/>
    </row>
    <row r="29" spans="1:23">
      <c r="A29">
        <v>25</v>
      </c>
      <c r="B29" s="1">
        <v>14</v>
      </c>
      <c r="C29" t="s">
        <v>20</v>
      </c>
      <c r="D29" s="188">
        <v>-288.623431128525</v>
      </c>
      <c r="H29" s="189">
        <v>-288.51892840106734</v>
      </c>
      <c r="I29" s="167">
        <f t="shared" si="0"/>
        <v>-0.10450272745765687</v>
      </c>
      <c r="J29" s="174">
        <f t="shared" si="1"/>
        <v>0.10450272745765687</v>
      </c>
      <c r="M29" s="198"/>
    </row>
    <row r="30" spans="1:23">
      <c r="A30">
        <v>26</v>
      </c>
      <c r="B30" s="1">
        <v>14</v>
      </c>
      <c r="C30" t="s">
        <v>21</v>
      </c>
      <c r="D30" s="188">
        <v>-287.44654242001502</v>
      </c>
      <c r="H30" s="189">
        <v>-287.34295009144637</v>
      </c>
      <c r="I30" s="167">
        <f t="shared" si="0"/>
        <v>-0.10359232856865219</v>
      </c>
      <c r="J30" s="174">
        <f t="shared" si="1"/>
        <v>0.10359232856865219</v>
      </c>
      <c r="M30" s="198"/>
    </row>
    <row r="31" spans="1:23">
      <c r="A31" s="207">
        <v>27</v>
      </c>
      <c r="B31" s="208">
        <v>14</v>
      </c>
      <c r="C31" s="207" t="s">
        <v>22</v>
      </c>
      <c r="D31" s="209">
        <v>-285.80260297713801</v>
      </c>
      <c r="E31" s="210">
        <v>-285.74581999999998</v>
      </c>
      <c r="F31" s="211">
        <f>D31-E31</f>
        <v>-5.6782977138027491E-2</v>
      </c>
      <c r="G31" s="211">
        <f>ABS(F31)</f>
        <v>5.6782977138027491E-2</v>
      </c>
      <c r="H31" s="212">
        <v>-285.68923059354188</v>
      </c>
      <c r="I31" s="213">
        <f t="shared" si="0"/>
        <v>-0.11337238359612911</v>
      </c>
      <c r="J31" s="214">
        <f t="shared" si="1"/>
        <v>0.11337238359612911</v>
      </c>
      <c r="M31" s="198"/>
    </row>
    <row r="32" spans="1:23">
      <c r="A32">
        <v>28</v>
      </c>
      <c r="B32" s="1">
        <v>14</v>
      </c>
      <c r="C32" t="s">
        <v>331</v>
      </c>
      <c r="D32" s="188">
        <v>-289.20557613363002</v>
      </c>
      <c r="E32" s="50">
        <v>-289.33539999999999</v>
      </c>
      <c r="F32" s="202">
        <f>D32-E32</f>
        <v>0.12982386636997489</v>
      </c>
      <c r="G32" s="52">
        <f>ABS(F32)</f>
        <v>0.12982386636997489</v>
      </c>
      <c r="H32" s="189"/>
      <c r="J32" s="174"/>
      <c r="K32" s="191">
        <v>-289.38800739999999</v>
      </c>
      <c r="L32" s="203">
        <f>D32-K32</f>
        <v>0.18243126636997431</v>
      </c>
      <c r="M32" s="204">
        <f>ABS(L32)</f>
        <v>0.18243126636997431</v>
      </c>
    </row>
    <row r="33" spans="1:13">
      <c r="A33">
        <v>29</v>
      </c>
      <c r="B33" s="1">
        <v>15</v>
      </c>
      <c r="C33" t="s">
        <v>23</v>
      </c>
      <c r="D33" s="188">
        <v>-341.17012569906598</v>
      </c>
      <c r="H33" s="189">
        <v>-341.07045911225396</v>
      </c>
      <c r="I33" s="167">
        <f t="shared" ref="I33:I50" si="2">D33-H33</f>
        <v>-9.9666586812020341E-2</v>
      </c>
      <c r="J33" s="174">
        <f t="shared" ref="J33:J50" si="3">ABS(I33)</f>
        <v>9.9666586812020341E-2</v>
      </c>
      <c r="M33" s="198"/>
    </row>
    <row r="34" spans="1:13">
      <c r="A34">
        <v>30</v>
      </c>
      <c r="B34" s="1">
        <v>15</v>
      </c>
      <c r="C34" t="s">
        <v>24</v>
      </c>
      <c r="D34" s="188">
        <v>-340.49172018629798</v>
      </c>
      <c r="H34" s="189">
        <v>-340.37222199091656</v>
      </c>
      <c r="I34" s="167">
        <f t="shared" si="2"/>
        <v>-0.11949819538142492</v>
      </c>
      <c r="J34" s="174">
        <f t="shared" si="3"/>
        <v>0.11949819538142492</v>
      </c>
      <c r="M34" s="198"/>
    </row>
    <row r="35" spans="1:13">
      <c r="A35">
        <v>31</v>
      </c>
      <c r="B35" s="1">
        <v>15</v>
      </c>
      <c r="C35" t="s">
        <v>25</v>
      </c>
      <c r="D35" s="188">
        <v>-339.41045005127103</v>
      </c>
      <c r="H35" s="189">
        <v>-339.30649164782255</v>
      </c>
      <c r="I35" s="167">
        <f t="shared" si="2"/>
        <v>-0.10395840344847329</v>
      </c>
      <c r="J35" s="174">
        <f t="shared" si="3"/>
        <v>0.10395840344847329</v>
      </c>
      <c r="M35" s="198"/>
    </row>
    <row r="36" spans="1:13">
      <c r="A36">
        <v>32</v>
      </c>
      <c r="B36" s="1">
        <v>15</v>
      </c>
      <c r="C36" t="s">
        <v>26</v>
      </c>
      <c r="D36" s="188">
        <v>-337.57998206145697</v>
      </c>
      <c r="H36" s="189">
        <v>-337.46902553903976</v>
      </c>
      <c r="I36" s="167">
        <f t="shared" si="2"/>
        <v>-0.11095652241721154</v>
      </c>
      <c r="J36" s="174">
        <f t="shared" si="3"/>
        <v>0.11095652241721154</v>
      </c>
      <c r="M36" s="198"/>
    </row>
    <row r="37" spans="1:13">
      <c r="A37">
        <v>33</v>
      </c>
      <c r="B37" s="1">
        <v>15</v>
      </c>
      <c r="C37" t="s">
        <v>27</v>
      </c>
      <c r="D37" s="188">
        <v>-335.20662230224701</v>
      </c>
      <c r="H37" s="189">
        <v>-335.08031959762224</v>
      </c>
      <c r="I37" s="167">
        <f t="shared" si="2"/>
        <v>-0.12630270462477711</v>
      </c>
      <c r="J37" s="174">
        <f t="shared" si="3"/>
        <v>0.12630270462477711</v>
      </c>
      <c r="M37" s="198"/>
    </row>
    <row r="38" spans="1:13">
      <c r="A38">
        <v>34</v>
      </c>
      <c r="B38" s="1">
        <v>16</v>
      </c>
      <c r="C38" t="s">
        <v>28</v>
      </c>
      <c r="D38" s="188">
        <v>-398.20547172415797</v>
      </c>
      <c r="H38" s="189">
        <v>-398.14215645104616</v>
      </c>
      <c r="I38" s="167">
        <f t="shared" si="2"/>
        <v>-6.3315273111811621E-2</v>
      </c>
      <c r="J38" s="174">
        <f t="shared" si="3"/>
        <v>6.3315273111811621E-2</v>
      </c>
      <c r="M38" s="198"/>
    </row>
    <row r="39" spans="1:13">
      <c r="A39">
        <v>35</v>
      </c>
      <c r="B39" s="1">
        <v>16</v>
      </c>
      <c r="C39" t="s">
        <v>29</v>
      </c>
      <c r="D39" s="188">
        <v>-397.42171541474301</v>
      </c>
      <c r="H39" s="189">
        <v>-397.2969220410061</v>
      </c>
      <c r="I39" s="167">
        <f t="shared" si="2"/>
        <v>-0.12479337373690669</v>
      </c>
      <c r="J39" s="174">
        <f t="shared" si="3"/>
        <v>0.12479337373690669</v>
      </c>
      <c r="M39" s="198"/>
    </row>
    <row r="40" spans="1:13">
      <c r="A40">
        <v>36</v>
      </c>
      <c r="B40" s="1">
        <v>16</v>
      </c>
      <c r="C40" t="s">
        <v>30</v>
      </c>
      <c r="D40" s="188">
        <v>-396.19792240391098</v>
      </c>
      <c r="H40" s="189">
        <v>-396.04744508703385</v>
      </c>
      <c r="I40" s="167">
        <f t="shared" si="2"/>
        <v>-0.1504773168771294</v>
      </c>
      <c r="J40" s="174">
        <f t="shared" si="3"/>
        <v>0.1504773168771294</v>
      </c>
      <c r="M40" s="198"/>
    </row>
    <row r="41" spans="1:13">
      <c r="A41">
        <v>37</v>
      </c>
      <c r="B41" s="1">
        <v>16</v>
      </c>
      <c r="C41" t="s">
        <v>31</v>
      </c>
      <c r="D41" s="188">
        <v>-394.49027982314198</v>
      </c>
      <c r="H41" s="189">
        <v>-394.35697626695372</v>
      </c>
      <c r="I41" s="167">
        <f t="shared" si="2"/>
        <v>-0.13330355618825251</v>
      </c>
      <c r="J41" s="174">
        <f t="shared" si="3"/>
        <v>0.13330355618825251</v>
      </c>
      <c r="M41" s="198"/>
    </row>
    <row r="42" spans="1:13">
      <c r="A42">
        <v>38</v>
      </c>
      <c r="B42" s="1">
        <v>16</v>
      </c>
      <c r="C42" t="s">
        <v>32</v>
      </c>
      <c r="D42" s="188">
        <v>-391.88799261445399</v>
      </c>
      <c r="H42" s="189">
        <v>-391.7477743924822</v>
      </c>
      <c r="I42" s="167">
        <f t="shared" si="2"/>
        <v>-0.1402182219717929</v>
      </c>
      <c r="J42" s="174">
        <f t="shared" si="3"/>
        <v>0.1402182219717929</v>
      </c>
      <c r="M42" s="198"/>
    </row>
    <row r="43" spans="1:13">
      <c r="A43">
        <v>39</v>
      </c>
      <c r="B43" s="1">
        <v>16</v>
      </c>
      <c r="C43" t="s">
        <v>33</v>
      </c>
      <c r="D43" s="188">
        <v>-388.66931849789</v>
      </c>
      <c r="H43" s="189">
        <v>-388.51383404102455</v>
      </c>
      <c r="I43" s="167">
        <f t="shared" si="2"/>
        <v>-0.15548445686545165</v>
      </c>
      <c r="J43" s="174">
        <f t="shared" si="3"/>
        <v>0.15548445686545165</v>
      </c>
      <c r="M43" s="198"/>
    </row>
    <row r="44" spans="1:13">
      <c r="A44">
        <v>40</v>
      </c>
      <c r="B44" s="1">
        <v>17</v>
      </c>
      <c r="C44" t="s">
        <v>34</v>
      </c>
      <c r="D44" s="188">
        <v>-460.47337799480101</v>
      </c>
      <c r="H44" s="189">
        <v>-460.32200957225444</v>
      </c>
      <c r="I44" s="167">
        <f t="shared" si="2"/>
        <v>-0.15136842254656813</v>
      </c>
      <c r="J44" s="174">
        <f t="shared" si="3"/>
        <v>0.15136842254656813</v>
      </c>
      <c r="M44" s="198"/>
    </row>
    <row r="45" spans="1:13">
      <c r="A45">
        <v>41</v>
      </c>
      <c r="B45" s="1">
        <v>17</v>
      </c>
      <c r="C45" t="s">
        <v>35</v>
      </c>
      <c r="D45" s="188">
        <v>-459.58013593325398</v>
      </c>
      <c r="H45" s="189">
        <v>-459.51352448439002</v>
      </c>
      <c r="I45" s="167">
        <f t="shared" si="2"/>
        <v>-6.6611448863966416E-2</v>
      </c>
      <c r="J45" s="174">
        <f t="shared" si="3"/>
        <v>6.6611448863966416E-2</v>
      </c>
      <c r="M45" s="198"/>
    </row>
    <row r="46" spans="1:13">
      <c r="A46">
        <v>42</v>
      </c>
      <c r="B46" s="1">
        <v>17</v>
      </c>
      <c r="C46" t="s">
        <v>36</v>
      </c>
      <c r="D46" s="188">
        <v>-458.21002048027202</v>
      </c>
      <c r="H46" s="189">
        <v>-458.08030091953947</v>
      </c>
      <c r="I46" s="167">
        <f t="shared" si="2"/>
        <v>-0.12971956073255342</v>
      </c>
      <c r="J46" s="174">
        <f t="shared" si="3"/>
        <v>0.12971956073255342</v>
      </c>
      <c r="M46" s="198"/>
    </row>
    <row r="47" spans="1:13">
      <c r="A47">
        <v>43</v>
      </c>
      <c r="B47" s="1">
        <v>17</v>
      </c>
      <c r="C47" t="s">
        <v>37</v>
      </c>
      <c r="D47" s="188">
        <v>-456.31921318054901</v>
      </c>
      <c r="H47" s="189">
        <v>-456.13258684422976</v>
      </c>
      <c r="I47" s="167">
        <f t="shared" si="2"/>
        <v>-0.18662633631925019</v>
      </c>
      <c r="J47" s="174">
        <f t="shared" si="3"/>
        <v>0.18662633631925019</v>
      </c>
      <c r="M47" s="198"/>
    </row>
    <row r="48" spans="1:13">
      <c r="A48">
        <v>44</v>
      </c>
      <c r="B48" s="1">
        <v>17</v>
      </c>
      <c r="C48" t="s">
        <v>38</v>
      </c>
      <c r="D48" s="188">
        <v>-453.86684464181502</v>
      </c>
      <c r="H48" s="189">
        <v>-453.67038225846085</v>
      </c>
      <c r="I48" s="167">
        <f t="shared" si="2"/>
        <v>-0.19646238335417365</v>
      </c>
      <c r="J48" s="174">
        <f t="shared" si="3"/>
        <v>0.19646238335417365</v>
      </c>
      <c r="M48" s="198"/>
    </row>
    <row r="49" spans="1:13">
      <c r="A49">
        <v>45</v>
      </c>
      <c r="B49" s="1">
        <v>17</v>
      </c>
      <c r="C49" t="s">
        <v>39</v>
      </c>
      <c r="D49" s="188">
        <v>-450.37632960120499</v>
      </c>
      <c r="H49" s="189">
        <v>-450.17919665177362</v>
      </c>
      <c r="I49" s="167">
        <f t="shared" si="2"/>
        <v>-0.19713294943136361</v>
      </c>
      <c r="J49" s="174">
        <f t="shared" si="3"/>
        <v>0.19713294943136361</v>
      </c>
      <c r="M49" s="198"/>
    </row>
    <row r="50" spans="1:13">
      <c r="A50">
        <v>46</v>
      </c>
      <c r="B50" s="1">
        <v>17</v>
      </c>
      <c r="C50" t="s">
        <v>40</v>
      </c>
      <c r="D50" s="188">
        <v>-446.19739571499503</v>
      </c>
      <c r="H50" s="189">
        <v>-446.02652324592464</v>
      </c>
      <c r="I50" s="167">
        <f t="shared" si="2"/>
        <v>-0.17087246907038889</v>
      </c>
      <c r="J50" s="174">
        <f t="shared" si="3"/>
        <v>0.17087246907038889</v>
      </c>
      <c r="M50" s="198"/>
    </row>
    <row r="51" spans="1:13">
      <c r="A51">
        <v>47</v>
      </c>
      <c r="B51" s="1">
        <v>17</v>
      </c>
      <c r="C51" t="s">
        <v>332</v>
      </c>
      <c r="D51" s="188">
        <v>-461.03253554014498</v>
      </c>
      <c r="E51" s="50">
        <v>-461.03255000000001</v>
      </c>
      <c r="F51" s="215">
        <f>D51-E51</f>
        <v>1.4459855037785019E-5</v>
      </c>
      <c r="G51" s="215">
        <f>ABS(F51)</f>
        <v>1.4459855037785019E-5</v>
      </c>
      <c r="H51" s="189"/>
      <c r="J51" s="174"/>
      <c r="K51" s="191">
        <v>-461.03305569999998</v>
      </c>
      <c r="L51" s="129">
        <f>D51-K51</f>
        <v>5.2015985500020179E-4</v>
      </c>
      <c r="M51" s="193">
        <f>ABS(L51)</f>
        <v>5.2015985500020179E-4</v>
      </c>
    </row>
    <row r="52" spans="1:13">
      <c r="A52" s="207">
        <v>48</v>
      </c>
      <c r="B52" s="208">
        <v>19</v>
      </c>
      <c r="C52" s="207" t="s">
        <v>41</v>
      </c>
      <c r="D52" s="209">
        <v>-601.37817388460701</v>
      </c>
      <c r="E52" s="210">
        <v>-601.37819999999999</v>
      </c>
      <c r="F52" s="215">
        <f>D52-E52</f>
        <v>2.6115392984138452E-5</v>
      </c>
      <c r="G52" s="215">
        <f>ABS(F52)</f>
        <v>2.6115392984138452E-5</v>
      </c>
      <c r="H52" s="212">
        <v>-601.10866282718871</v>
      </c>
      <c r="I52" s="213">
        <f t="shared" ref="I52:I115" si="4">D52-H52</f>
        <v>-0.26951105741829906</v>
      </c>
      <c r="J52" s="214">
        <f t="shared" ref="J52:J115" si="5">ABS(I52)</f>
        <v>0.26951105741829906</v>
      </c>
    </row>
    <row r="53" spans="1:13">
      <c r="A53" s="207">
        <v>49</v>
      </c>
      <c r="B53" s="208">
        <v>20</v>
      </c>
      <c r="C53" s="207" t="s">
        <v>333</v>
      </c>
      <c r="D53" s="209">
        <v>-679.10392980924803</v>
      </c>
      <c r="E53" s="210">
        <v>-679.10397</v>
      </c>
      <c r="F53" s="215">
        <f>D53-E53</f>
        <v>4.0190751974478189E-5</v>
      </c>
      <c r="G53" s="215">
        <f>ABS(F53)</f>
        <v>4.0190751974478189E-5</v>
      </c>
      <c r="H53" s="212">
        <v>-678.75998058434766</v>
      </c>
      <c r="I53" s="213">
        <f t="shared" si="4"/>
        <v>-0.34394922490037061</v>
      </c>
      <c r="J53" s="214">
        <f t="shared" si="5"/>
        <v>0.34394922490037061</v>
      </c>
    </row>
    <row r="54" spans="1:13">
      <c r="A54">
        <v>50</v>
      </c>
      <c r="B54" s="1">
        <v>21</v>
      </c>
      <c r="C54" t="s">
        <v>42</v>
      </c>
      <c r="D54" s="188">
        <v>-763.17578737529004</v>
      </c>
      <c r="H54" s="189">
        <v>-762.80568040007063</v>
      </c>
      <c r="I54" s="167">
        <f t="shared" si="4"/>
        <v>-0.37010697521941438</v>
      </c>
      <c r="J54" s="174">
        <f t="shared" si="5"/>
        <v>0.37010697521941438</v>
      </c>
    </row>
    <row r="55" spans="1:13">
      <c r="A55">
        <v>51</v>
      </c>
      <c r="B55" s="1">
        <v>21</v>
      </c>
      <c r="C55" t="s">
        <v>43</v>
      </c>
      <c r="D55" s="188">
        <v>-762.73185031032097</v>
      </c>
      <c r="H55" s="189">
        <v>-762.36468853396275</v>
      </c>
      <c r="I55" s="167">
        <f t="shared" si="4"/>
        <v>-0.36716177635821623</v>
      </c>
      <c r="J55" s="174">
        <f t="shared" si="5"/>
        <v>0.36716177635821623</v>
      </c>
    </row>
    <row r="56" spans="1:13" ht="15.75" thickBot="1">
      <c r="A56" s="207">
        <v>52</v>
      </c>
      <c r="B56" s="208">
        <v>21</v>
      </c>
      <c r="C56" s="207" t="s">
        <v>44</v>
      </c>
      <c r="D56" s="209">
        <v>-761.85975835108104</v>
      </c>
      <c r="E56" s="210">
        <v>-761.85977000000003</v>
      </c>
      <c r="F56" s="215">
        <f>D56-E56</f>
        <v>1.1648918984974443E-5</v>
      </c>
      <c r="G56" s="215">
        <f>ABS(F56)</f>
        <v>1.1648918984974443E-5</v>
      </c>
      <c r="H56" s="212">
        <v>-761.4827048017471</v>
      </c>
      <c r="I56" s="213">
        <f t="shared" si="4"/>
        <v>-0.37705354933393664</v>
      </c>
      <c r="J56" s="214">
        <f t="shared" si="5"/>
        <v>0.37705354933393664</v>
      </c>
    </row>
    <row r="57" spans="1:13">
      <c r="A57" s="216">
        <v>53</v>
      </c>
      <c r="B57" s="217">
        <v>22</v>
      </c>
      <c r="C57" s="218" t="s">
        <v>334</v>
      </c>
      <c r="D57" s="219">
        <v>-852.13782453656904</v>
      </c>
      <c r="E57" s="220">
        <v>-851.92741000000001</v>
      </c>
      <c r="F57" s="221">
        <f>D57-E57</f>
        <v>-0.21041453656903286</v>
      </c>
      <c r="G57" s="221">
        <f>ABS(F57)</f>
        <v>0.21041453656903286</v>
      </c>
      <c r="H57" s="222">
        <v>-851.73904006515579</v>
      </c>
      <c r="I57" s="223">
        <f t="shared" si="4"/>
        <v>-0.39878447141325069</v>
      </c>
      <c r="J57" s="224">
        <f t="shared" si="5"/>
        <v>0.39878447141325069</v>
      </c>
    </row>
    <row r="58" spans="1:13">
      <c r="A58" s="225">
        <v>54</v>
      </c>
      <c r="B58" s="208">
        <v>22</v>
      </c>
      <c r="C58" s="207" t="s">
        <v>45</v>
      </c>
      <c r="D58" s="209">
        <v>-851.20050549746099</v>
      </c>
      <c r="E58" s="210">
        <v>-850.95171000000005</v>
      </c>
      <c r="F58" s="211">
        <f>D58-E58</f>
        <v>-0.24879549746094654</v>
      </c>
      <c r="G58" s="211">
        <f>ABS(F58)</f>
        <v>0.24879549746094654</v>
      </c>
      <c r="H58" s="212">
        <v>-850.74680836641301</v>
      </c>
      <c r="I58" s="213">
        <f t="shared" si="4"/>
        <v>-0.45369713104798848</v>
      </c>
      <c r="J58" s="214">
        <f t="shared" si="5"/>
        <v>0.45369713104798848</v>
      </c>
    </row>
    <row r="59" spans="1:13" ht="15.75" thickBot="1">
      <c r="A59" s="226">
        <v>55</v>
      </c>
      <c r="B59" s="227">
        <v>22</v>
      </c>
      <c r="C59" s="228" t="s">
        <v>46</v>
      </c>
      <c r="D59" s="229">
        <v>-849.64981618219599</v>
      </c>
      <c r="E59" s="230">
        <v>-849.64981999999998</v>
      </c>
      <c r="F59" s="231">
        <f>D59-E59</f>
        <v>3.8178039858394186E-6</v>
      </c>
      <c r="G59" s="231">
        <f>ABS(F59)</f>
        <v>3.8178039858394186E-6</v>
      </c>
      <c r="H59" s="232">
        <v>-849.20333683503554</v>
      </c>
      <c r="I59" s="233">
        <f t="shared" si="4"/>
        <v>-0.44647934716044801</v>
      </c>
      <c r="J59" s="234">
        <f t="shared" si="5"/>
        <v>0.44647934716044801</v>
      </c>
    </row>
    <row r="60" spans="1:13">
      <c r="A60">
        <v>56</v>
      </c>
      <c r="B60" s="1">
        <v>23</v>
      </c>
      <c r="C60" t="s">
        <v>47</v>
      </c>
      <c r="D60" s="188">
        <v>-947.93657333835097</v>
      </c>
      <c r="H60" s="189">
        <v>-947.50777365491263</v>
      </c>
      <c r="I60" s="167">
        <f t="shared" si="4"/>
        <v>-0.42879968343834207</v>
      </c>
      <c r="J60" s="174">
        <f t="shared" si="5"/>
        <v>0.42879968343834207</v>
      </c>
    </row>
    <row r="61" spans="1:13">
      <c r="A61" s="207">
        <v>57</v>
      </c>
      <c r="B61" s="208">
        <v>23</v>
      </c>
      <c r="C61" s="207" t="s">
        <v>48</v>
      </c>
      <c r="D61" s="209">
        <v>-947.47459288731602</v>
      </c>
      <c r="E61" s="210">
        <v>-947.27044999999998</v>
      </c>
      <c r="F61" s="211">
        <f>D61-E61</f>
        <v>-0.20414288731603847</v>
      </c>
      <c r="G61" s="211">
        <f>ABS(F61)</f>
        <v>0.20414288731603847</v>
      </c>
      <c r="H61" s="212">
        <v>-947.03003246662911</v>
      </c>
      <c r="I61" s="213">
        <f t="shared" si="4"/>
        <v>-0.44456042068691204</v>
      </c>
      <c r="J61" s="214">
        <f t="shared" si="5"/>
        <v>0.44456042068691204</v>
      </c>
    </row>
    <row r="62" spans="1:13">
      <c r="A62" s="207">
        <v>58</v>
      </c>
      <c r="B62" s="208">
        <v>23</v>
      </c>
      <c r="C62" s="207" t="s">
        <v>49</v>
      </c>
      <c r="D62" s="209">
        <v>-946.47621205031203</v>
      </c>
      <c r="E62" s="210">
        <v>-946.23451</v>
      </c>
      <c r="F62" s="211">
        <f>D62-E62</f>
        <v>-0.2417020503120284</v>
      </c>
      <c r="G62" s="211">
        <f>ABS(F62)</f>
        <v>0.2417020503120284</v>
      </c>
      <c r="H62" s="212">
        <v>-946.0010514457108</v>
      </c>
      <c r="I62" s="213">
        <f t="shared" si="4"/>
        <v>-0.47516060460122844</v>
      </c>
      <c r="J62" s="214">
        <f t="shared" si="5"/>
        <v>0.47516060460122844</v>
      </c>
    </row>
    <row r="63" spans="1:13">
      <c r="A63">
        <v>59</v>
      </c>
      <c r="B63" s="1">
        <v>23</v>
      </c>
      <c r="C63" t="s">
        <v>50</v>
      </c>
      <c r="D63" s="188">
        <v>-944.84025793732906</v>
      </c>
      <c r="H63" s="189">
        <v>-944.31058262563067</v>
      </c>
      <c r="I63" s="167">
        <f t="shared" si="4"/>
        <v>-0.52967531169838367</v>
      </c>
      <c r="J63" s="174">
        <f t="shared" si="5"/>
        <v>0.52967531169838367</v>
      </c>
    </row>
    <row r="64" spans="1:13">
      <c r="A64" s="207">
        <v>60</v>
      </c>
      <c r="B64" s="208">
        <v>23</v>
      </c>
      <c r="C64" s="207" t="s">
        <v>51</v>
      </c>
      <c r="D64" s="209">
        <v>-942.48162311181898</v>
      </c>
      <c r="E64" s="210">
        <v>-942.48155999999994</v>
      </c>
      <c r="F64" s="211">
        <f>D64-E64</f>
        <v>-6.3111819031291816E-5</v>
      </c>
      <c r="G64" s="211">
        <f>ABS(F64)</f>
        <v>6.3111819031291816E-5</v>
      </c>
      <c r="H64" s="212">
        <v>-941.95862600638873</v>
      </c>
      <c r="I64" s="213">
        <f t="shared" si="4"/>
        <v>-0.52299710543024958</v>
      </c>
      <c r="J64" s="214">
        <f t="shared" si="5"/>
        <v>0.52299710543024958</v>
      </c>
    </row>
    <row r="65" spans="1:10">
      <c r="A65">
        <v>61</v>
      </c>
      <c r="B65" s="1">
        <v>24</v>
      </c>
      <c r="C65" t="s">
        <v>52</v>
      </c>
      <c r="D65" s="188">
        <v>-1049.3890059232499</v>
      </c>
      <c r="H65" s="189">
        <v>-1048.9726521818961</v>
      </c>
      <c r="I65" s="167">
        <f t="shared" si="4"/>
        <v>-0.41635374135375969</v>
      </c>
      <c r="J65" s="174">
        <f t="shared" si="5"/>
        <v>0.41635374135375969</v>
      </c>
    </row>
    <row r="66" spans="1:10">
      <c r="A66" s="207">
        <v>62</v>
      </c>
      <c r="B66" s="208">
        <v>24</v>
      </c>
      <c r="C66" s="207" t="s">
        <v>53</v>
      </c>
      <c r="D66" s="209">
        <v>-1048.89419480539</v>
      </c>
      <c r="E66" s="210">
        <v>-1048.6981000000001</v>
      </c>
      <c r="F66" s="211">
        <f>D66-E66</f>
        <v>-0.19609480538997559</v>
      </c>
      <c r="G66" s="211">
        <f>ABS(F66)</f>
        <v>0.19609480538997559</v>
      </c>
      <c r="H66" s="212">
        <v>-1048.4214123492613</v>
      </c>
      <c r="I66" s="213">
        <f t="shared" si="4"/>
        <v>-0.47278245612869796</v>
      </c>
      <c r="J66" s="214">
        <f t="shared" si="5"/>
        <v>0.47278245612869796</v>
      </c>
    </row>
    <row r="67" spans="1:10">
      <c r="A67" s="207">
        <v>63</v>
      </c>
      <c r="B67" s="208">
        <v>24</v>
      </c>
      <c r="C67" s="207" t="s">
        <v>54</v>
      </c>
      <c r="D67" s="209">
        <v>-1047.83786818766</v>
      </c>
      <c r="E67" s="210">
        <v>-1047.6067</v>
      </c>
      <c r="F67" s="211">
        <f>D67-E67</f>
        <v>-0.2311681876599323</v>
      </c>
      <c r="G67" s="211">
        <f>ABS(F67)</f>
        <v>0.2311681876599323</v>
      </c>
      <c r="H67" s="212">
        <v>-1047.3556820061672</v>
      </c>
      <c r="I67" s="213">
        <f t="shared" si="4"/>
        <v>-0.48218618149280701</v>
      </c>
      <c r="J67" s="214">
        <f t="shared" si="5"/>
        <v>0.48218618149280701</v>
      </c>
    </row>
    <row r="68" spans="1:10">
      <c r="A68">
        <v>64</v>
      </c>
      <c r="B68" s="1">
        <v>24</v>
      </c>
      <c r="C68" t="s">
        <v>55</v>
      </c>
      <c r="D68" s="188">
        <v>-1046.11969973797</v>
      </c>
      <c r="H68" s="189">
        <v>-1045.5917145417359</v>
      </c>
      <c r="I68" s="167">
        <f t="shared" si="4"/>
        <v>-0.52798519623411266</v>
      </c>
      <c r="J68" s="174">
        <f t="shared" si="5"/>
        <v>0.52798519623411266</v>
      </c>
    </row>
    <row r="69" spans="1:10">
      <c r="A69">
        <v>65</v>
      </c>
      <c r="B69" s="1">
        <v>24</v>
      </c>
      <c r="C69" t="s">
        <v>56</v>
      </c>
      <c r="D69" s="188">
        <v>-1043.6543682336801</v>
      </c>
      <c r="H69" s="189">
        <v>-1043.0560113116155</v>
      </c>
      <c r="I69" s="167">
        <f t="shared" si="4"/>
        <v>-0.5983569220645677</v>
      </c>
      <c r="J69" s="174">
        <f t="shared" si="5"/>
        <v>0.5983569220645677</v>
      </c>
    </row>
    <row r="70" spans="1:10">
      <c r="A70">
        <v>66</v>
      </c>
      <c r="B70" s="1">
        <v>24</v>
      </c>
      <c r="C70" t="s">
        <v>57</v>
      </c>
      <c r="D70" s="188">
        <v>-1040.36496360916</v>
      </c>
      <c r="H70" s="189">
        <v>-1039.7485723158068</v>
      </c>
      <c r="I70" s="167">
        <f t="shared" si="4"/>
        <v>-0.61639129335321741</v>
      </c>
      <c r="J70" s="174">
        <f t="shared" si="5"/>
        <v>0.61639129335321741</v>
      </c>
    </row>
    <row r="71" spans="1:10">
      <c r="A71">
        <v>67</v>
      </c>
      <c r="B71" s="1">
        <v>25</v>
      </c>
      <c r="C71" t="s">
        <v>58</v>
      </c>
      <c r="D71" s="188">
        <v>-1157.07794846658</v>
      </c>
      <c r="H71" s="189">
        <v>-1156.6481661565651</v>
      </c>
      <c r="I71" s="167">
        <f t="shared" si="4"/>
        <v>-0.42978231001484346</v>
      </c>
      <c r="J71" s="174">
        <f t="shared" si="5"/>
        <v>0.42978231001484346</v>
      </c>
    </row>
    <row r="72" spans="1:10">
      <c r="A72" s="207">
        <v>68</v>
      </c>
      <c r="B72" s="208">
        <v>25</v>
      </c>
      <c r="C72" s="207" t="s">
        <v>59</v>
      </c>
      <c r="D72" s="209">
        <v>-1156.54881504113</v>
      </c>
      <c r="E72" s="210">
        <v>-1156.4123</v>
      </c>
      <c r="F72" s="211">
        <f>D72-E72</f>
        <v>-0.13651504112999646</v>
      </c>
      <c r="G72" s="211">
        <f>ABS(F72)</f>
        <v>0.13651504112999646</v>
      </c>
      <c r="H72" s="212">
        <v>-1156.0969263239303</v>
      </c>
      <c r="I72" s="213">
        <f t="shared" si="4"/>
        <v>-0.45188871719960844</v>
      </c>
      <c r="J72" s="214">
        <f t="shared" si="5"/>
        <v>0.45188871719960844</v>
      </c>
    </row>
    <row r="73" spans="1:10">
      <c r="A73" s="207">
        <v>69</v>
      </c>
      <c r="B73" s="208">
        <v>25</v>
      </c>
      <c r="C73" s="207" t="s">
        <v>60</v>
      </c>
      <c r="D73" s="209">
        <v>-1155.43699002835</v>
      </c>
      <c r="E73" s="210">
        <v>-1155.2167999999999</v>
      </c>
      <c r="F73" s="211">
        <f>D73-E73</f>
        <v>-0.22019002835008905</v>
      </c>
      <c r="G73" s="211">
        <f>ABS(F73)</f>
        <v>0.22019002835008905</v>
      </c>
      <c r="H73" s="212">
        <v>-1154.9209480143095</v>
      </c>
      <c r="I73" s="213">
        <f t="shared" si="4"/>
        <v>-0.51604201404052219</v>
      </c>
      <c r="J73" s="214">
        <f t="shared" si="5"/>
        <v>0.51604201404052219</v>
      </c>
    </row>
    <row r="74" spans="1:10">
      <c r="A74" s="207">
        <v>70</v>
      </c>
      <c r="B74" s="208">
        <v>25</v>
      </c>
      <c r="C74" s="207" t="s">
        <v>61</v>
      </c>
      <c r="D74" s="209">
        <v>-1153.6391392211001</v>
      </c>
      <c r="E74" s="210">
        <v>-1153.3751</v>
      </c>
      <c r="F74" s="211">
        <f>D74-E74</f>
        <v>-0.2640392211001199</v>
      </c>
      <c r="G74" s="211">
        <f>ABS(F74)</f>
        <v>0.2640392211001199</v>
      </c>
      <c r="H74" s="212">
        <v>-1153.0834819055267</v>
      </c>
      <c r="I74" s="213">
        <f t="shared" si="4"/>
        <v>-0.55565731557339859</v>
      </c>
      <c r="J74" s="214">
        <f t="shared" si="5"/>
        <v>0.55565731557339859</v>
      </c>
    </row>
    <row r="75" spans="1:10">
      <c r="A75">
        <v>71</v>
      </c>
      <c r="B75" s="1">
        <v>25</v>
      </c>
      <c r="C75" t="s">
        <v>62</v>
      </c>
      <c r="D75" s="188">
        <v>-1151.0696530684299</v>
      </c>
      <c r="H75" s="189">
        <v>-1150.4375307088794</v>
      </c>
      <c r="I75" s="167">
        <f t="shared" si="4"/>
        <v>-0.63212235955052165</v>
      </c>
      <c r="J75" s="174">
        <f t="shared" si="5"/>
        <v>0.63212235955052165</v>
      </c>
    </row>
    <row r="76" spans="1:10">
      <c r="A76">
        <v>72</v>
      </c>
      <c r="B76" s="1">
        <v>25</v>
      </c>
      <c r="C76" t="s">
        <v>63</v>
      </c>
      <c r="D76" s="188">
        <v>-1147.6511920472101</v>
      </c>
      <c r="H76" s="189">
        <v>-1146.9463451021923</v>
      </c>
      <c r="I76" s="167">
        <f t="shared" si="4"/>
        <v>-0.70484694501783451</v>
      </c>
      <c r="J76" s="174">
        <f t="shared" si="5"/>
        <v>0.70484694501783451</v>
      </c>
    </row>
    <row r="77" spans="1:10">
      <c r="A77">
        <v>73</v>
      </c>
      <c r="B77" s="1">
        <v>25</v>
      </c>
      <c r="C77" t="s">
        <v>64</v>
      </c>
      <c r="D77" s="188">
        <v>-1143.31154740121</v>
      </c>
      <c r="H77" s="189">
        <v>-1142.609925085465</v>
      </c>
      <c r="I77" s="167">
        <f t="shared" si="4"/>
        <v>-0.70162231574499856</v>
      </c>
      <c r="J77" s="174">
        <f t="shared" si="5"/>
        <v>0.70162231574499856</v>
      </c>
    </row>
    <row r="78" spans="1:10">
      <c r="A78">
        <v>74</v>
      </c>
      <c r="B78" s="1">
        <v>26</v>
      </c>
      <c r="C78" t="s">
        <v>65</v>
      </c>
      <c r="D78" s="188">
        <v>-1271.13908871424</v>
      </c>
      <c r="H78" s="189">
        <v>-1270.5343155789201</v>
      </c>
      <c r="I78" s="167">
        <f t="shared" si="4"/>
        <v>-0.6047731353198742</v>
      </c>
      <c r="J78" s="174">
        <f t="shared" si="5"/>
        <v>0.6047731353198742</v>
      </c>
    </row>
    <row r="79" spans="1:10">
      <c r="A79" s="207">
        <v>75</v>
      </c>
      <c r="B79" s="208">
        <v>26</v>
      </c>
      <c r="C79" s="207" t="s">
        <v>66</v>
      </c>
      <c r="D79" s="209">
        <v>-1270.5910711648901</v>
      </c>
      <c r="E79" s="210">
        <v>-1270.3123000000001</v>
      </c>
      <c r="F79" s="211">
        <f>D79-E79</f>
        <v>-0.27877116489003129</v>
      </c>
      <c r="G79" s="211">
        <f>ABS(F79)</f>
        <v>0.27877116489003129</v>
      </c>
      <c r="H79" s="212">
        <v>-1269.9463264241094</v>
      </c>
      <c r="I79" s="213">
        <f t="shared" si="4"/>
        <v>-0.64474474078065214</v>
      </c>
      <c r="J79" s="214">
        <f t="shared" si="5"/>
        <v>0.64474474078065214</v>
      </c>
    </row>
    <row r="80" spans="1:10">
      <c r="A80" s="207">
        <v>76</v>
      </c>
      <c r="B80" s="208">
        <v>26</v>
      </c>
      <c r="C80" s="207" t="s">
        <v>67</v>
      </c>
      <c r="D80" s="209">
        <v>-1269.42573716173</v>
      </c>
      <c r="E80" s="210">
        <v>-1269.2762</v>
      </c>
      <c r="F80" s="211">
        <f>D80-E80</f>
        <v>-0.1495371617299952</v>
      </c>
      <c r="G80" s="211">
        <f>ABS(F80)</f>
        <v>0.1495371617299952</v>
      </c>
      <c r="H80" s="212">
        <v>-1268.9173454031911</v>
      </c>
      <c r="I80" s="213">
        <f t="shared" si="4"/>
        <v>-0.50839175853889174</v>
      </c>
      <c r="J80" s="214">
        <f t="shared" si="5"/>
        <v>0.50839175853889174</v>
      </c>
    </row>
    <row r="81" spans="1:10">
      <c r="A81">
        <v>77</v>
      </c>
      <c r="B81" s="1">
        <v>26</v>
      </c>
      <c r="C81" t="s">
        <v>68</v>
      </c>
      <c r="D81" s="188">
        <v>-1267.5503513974199</v>
      </c>
      <c r="H81" s="189">
        <v>-1266.9328820057058</v>
      </c>
      <c r="I81" s="167">
        <f t="shared" si="4"/>
        <v>-0.6174693917141667</v>
      </c>
      <c r="J81" s="174">
        <f t="shared" si="5"/>
        <v>0.6174693917141667</v>
      </c>
    </row>
    <row r="82" spans="1:10">
      <c r="A82">
        <v>78</v>
      </c>
      <c r="B82" s="1">
        <v>26</v>
      </c>
      <c r="C82" t="s">
        <v>69</v>
      </c>
      <c r="D82" s="188">
        <v>-1264.8789364670499</v>
      </c>
      <c r="H82" s="189">
        <v>-1264.2134321647075</v>
      </c>
      <c r="I82" s="167">
        <f t="shared" si="4"/>
        <v>-0.6655043023424696</v>
      </c>
      <c r="J82" s="174">
        <f t="shared" si="5"/>
        <v>0.6655043023424696</v>
      </c>
    </row>
    <row r="83" spans="1:10">
      <c r="A83">
        <v>79</v>
      </c>
      <c r="B83" s="1">
        <v>26</v>
      </c>
      <c r="C83" t="s">
        <v>70</v>
      </c>
      <c r="D83" s="188">
        <v>-1261.3336891448901</v>
      </c>
      <c r="H83" s="189">
        <v>-1260.6119985914931</v>
      </c>
      <c r="I83" s="167">
        <f t="shared" si="4"/>
        <v>-0.72169055339691113</v>
      </c>
      <c r="J83" s="174">
        <f t="shared" si="5"/>
        <v>0.72169055339691113</v>
      </c>
    </row>
    <row r="84" spans="1:10">
      <c r="A84">
        <v>80</v>
      </c>
      <c r="B84" s="1">
        <v>27</v>
      </c>
      <c r="C84" t="s">
        <v>71</v>
      </c>
      <c r="D84" s="188">
        <v>-1391.7570856513</v>
      </c>
      <c r="H84" s="189">
        <v>-1390.9250950263659</v>
      </c>
      <c r="I84" s="167">
        <f t="shared" si="4"/>
        <v>-0.83199062493417841</v>
      </c>
      <c r="J84" s="174">
        <f t="shared" si="5"/>
        <v>0.83199062493417841</v>
      </c>
    </row>
    <row r="85" spans="1:10">
      <c r="A85" s="207">
        <v>81</v>
      </c>
      <c r="B85" s="208">
        <v>27</v>
      </c>
      <c r="C85" s="207" t="s">
        <v>72</v>
      </c>
      <c r="D85" s="209">
        <v>-1391.1739511077301</v>
      </c>
      <c r="E85" s="210">
        <v>-1390.7897</v>
      </c>
      <c r="F85" s="211">
        <f>D85-E85</f>
        <v>-0.38425110773005144</v>
      </c>
      <c r="G85" s="211">
        <f>ABS(F85)</f>
        <v>0.38425110773005144</v>
      </c>
      <c r="H85" s="212">
        <v>-1390.3738551937311</v>
      </c>
      <c r="I85" s="213">
        <f t="shared" si="4"/>
        <v>-0.80009591399903002</v>
      </c>
      <c r="J85" s="214">
        <f t="shared" si="5"/>
        <v>0.80009591399903002</v>
      </c>
    </row>
    <row r="86" spans="1:10">
      <c r="A86" s="207">
        <v>82</v>
      </c>
      <c r="B86" s="208">
        <v>27</v>
      </c>
      <c r="C86" s="207" t="s">
        <v>73</v>
      </c>
      <c r="D86" s="209">
        <v>-1389.9567672112701</v>
      </c>
      <c r="E86" s="210">
        <v>-1389.644</v>
      </c>
      <c r="F86" s="211">
        <f>D86-E86</f>
        <v>-0.31276721127005658</v>
      </c>
      <c r="G86" s="211">
        <f>ABS(F86)</f>
        <v>0.31276721127005658</v>
      </c>
      <c r="H86" s="212">
        <v>-1389.2346262062856</v>
      </c>
      <c r="I86" s="213">
        <f t="shared" si="4"/>
        <v>-0.72214100498445077</v>
      </c>
      <c r="J86" s="214">
        <f t="shared" si="5"/>
        <v>0.72214100498445077</v>
      </c>
    </row>
    <row r="87" spans="1:10">
      <c r="A87">
        <v>83</v>
      </c>
      <c r="B87" s="1">
        <v>27</v>
      </c>
      <c r="C87" t="s">
        <v>74</v>
      </c>
      <c r="D87" s="188">
        <v>-1388.0056993446301</v>
      </c>
      <c r="H87" s="189">
        <v>-1387.4339094196785</v>
      </c>
      <c r="I87" s="167">
        <f t="shared" si="4"/>
        <v>-0.57178992495164493</v>
      </c>
      <c r="J87" s="174">
        <f t="shared" si="5"/>
        <v>0.57178992495164493</v>
      </c>
    </row>
    <row r="88" spans="1:10">
      <c r="A88">
        <v>84</v>
      </c>
      <c r="B88" s="1">
        <v>27</v>
      </c>
      <c r="C88" t="s">
        <v>75</v>
      </c>
      <c r="D88" s="188">
        <v>-1385.23432800459</v>
      </c>
      <c r="H88" s="189">
        <v>-1384.5674622899774</v>
      </c>
      <c r="I88" s="167">
        <f t="shared" si="4"/>
        <v>-0.66686571461264066</v>
      </c>
      <c r="J88" s="174">
        <f t="shared" si="5"/>
        <v>0.66686571461264066</v>
      </c>
    </row>
    <row r="89" spans="1:10">
      <c r="A89">
        <v>85</v>
      </c>
      <c r="B89" s="1">
        <v>28</v>
      </c>
      <c r="C89" t="s">
        <v>76</v>
      </c>
      <c r="D89" s="188">
        <v>-1519.06150025888</v>
      </c>
      <c r="H89" s="189">
        <v>-1518.0410004319565</v>
      </c>
      <c r="I89" s="167">
        <f t="shared" si="4"/>
        <v>-1.0204998269234693</v>
      </c>
      <c r="J89" s="174">
        <f t="shared" si="5"/>
        <v>1.0204998269234693</v>
      </c>
    </row>
    <row r="90" spans="1:10">
      <c r="A90" s="207">
        <v>86</v>
      </c>
      <c r="B90" s="208">
        <v>28</v>
      </c>
      <c r="C90" s="207" t="s">
        <v>77</v>
      </c>
      <c r="D90" s="209">
        <v>-1518.4512827461399</v>
      </c>
      <c r="E90" s="210">
        <v>-1517.9512</v>
      </c>
      <c r="F90" s="211">
        <f>D90-E90</f>
        <v>-0.50008274613992398</v>
      </c>
      <c r="G90" s="211">
        <f>ABS(F90)</f>
        <v>0.50008274613992398</v>
      </c>
      <c r="H90" s="212">
        <v>-1517.4897605993215</v>
      </c>
      <c r="I90" s="213">
        <f t="shared" si="4"/>
        <v>-0.96152214681842452</v>
      </c>
      <c r="J90" s="214">
        <f t="shared" si="5"/>
        <v>0.96152214681842452</v>
      </c>
    </row>
    <row r="91" spans="1:10">
      <c r="A91" s="207">
        <v>87</v>
      </c>
      <c r="B91" s="208">
        <v>28</v>
      </c>
      <c r="C91" s="207" t="s">
        <v>78</v>
      </c>
      <c r="D91" s="209">
        <v>-1517.18366063946</v>
      </c>
      <c r="E91" s="210">
        <v>-1516.7520999999999</v>
      </c>
      <c r="F91" s="211">
        <f>D91-E91</f>
        <v>-0.43156063946003087</v>
      </c>
      <c r="G91" s="211">
        <f>ABS(F91)</f>
        <v>0.43156063946003087</v>
      </c>
      <c r="H91" s="212">
        <v>-1516.3137822897006</v>
      </c>
      <c r="I91" s="213">
        <f t="shared" si="4"/>
        <v>-0.86987834975934675</v>
      </c>
      <c r="J91" s="214">
        <f t="shared" si="5"/>
        <v>0.86987834975934675</v>
      </c>
    </row>
    <row r="92" spans="1:10" ht="15.75" thickBot="1">
      <c r="A92">
        <v>88</v>
      </c>
      <c r="B92" s="1">
        <v>28</v>
      </c>
      <c r="C92" t="s">
        <v>79</v>
      </c>
      <c r="D92" s="188">
        <v>-1515.1585320321501</v>
      </c>
      <c r="H92" s="189">
        <v>-1514.3660682143909</v>
      </c>
      <c r="I92" s="167">
        <f t="shared" si="4"/>
        <v>-0.79246381775919872</v>
      </c>
      <c r="J92" s="174">
        <f t="shared" si="5"/>
        <v>0.79246381775919872</v>
      </c>
    </row>
    <row r="93" spans="1:10">
      <c r="A93" s="216">
        <v>89</v>
      </c>
      <c r="B93" s="217">
        <v>29</v>
      </c>
      <c r="C93" s="218" t="s">
        <v>80</v>
      </c>
      <c r="D93" s="219">
        <v>-1653.2137154997299</v>
      </c>
      <c r="E93" s="220">
        <v>-1653.2136</v>
      </c>
      <c r="F93" s="221">
        <f>D93-E93</f>
        <v>-1.154997298726812E-4</v>
      </c>
      <c r="G93" s="221">
        <f>ABS(F93)</f>
        <v>1.154997298726812E-4</v>
      </c>
      <c r="H93" s="222">
        <v>-1652.0657784065702</v>
      </c>
      <c r="I93" s="223">
        <f t="shared" si="4"/>
        <v>-1.1479370931597259</v>
      </c>
      <c r="J93" s="224">
        <f t="shared" si="5"/>
        <v>1.1479370931597259</v>
      </c>
    </row>
    <row r="94" spans="1:10" ht="15.75" thickBot="1">
      <c r="A94" s="226">
        <v>90</v>
      </c>
      <c r="B94" s="227">
        <v>29</v>
      </c>
      <c r="C94" s="228" t="s">
        <v>81</v>
      </c>
      <c r="D94" s="229">
        <v>-1652.5772815195101</v>
      </c>
      <c r="E94" s="230">
        <v>-1651.9503</v>
      </c>
      <c r="F94" s="235">
        <f>D94-E94</f>
        <v>-0.62698151951008185</v>
      </c>
      <c r="G94" s="235">
        <f>ABS(F94)</f>
        <v>0.62698151951008185</v>
      </c>
      <c r="H94" s="232">
        <v>-1651.4410399295839</v>
      </c>
      <c r="I94" s="233">
        <f t="shared" si="4"/>
        <v>-1.1362415899261578</v>
      </c>
      <c r="J94" s="234">
        <f t="shared" si="5"/>
        <v>1.1362415899261578</v>
      </c>
    </row>
    <row r="95" spans="1:10">
      <c r="A95">
        <v>91</v>
      </c>
      <c r="B95" s="1">
        <v>29</v>
      </c>
      <c r="C95" t="s">
        <v>82</v>
      </c>
      <c r="D95" s="188">
        <v>-1651.26044165905</v>
      </c>
      <c r="H95" s="189">
        <v>-1650.1915629756118</v>
      </c>
      <c r="I95" s="167">
        <f t="shared" si="4"/>
        <v>-1.0688786834382427</v>
      </c>
      <c r="J95" s="174">
        <f t="shared" si="5"/>
        <v>1.0688786834382427</v>
      </c>
    </row>
    <row r="96" spans="1:10">
      <c r="A96">
        <v>92</v>
      </c>
      <c r="B96" s="1">
        <v>29</v>
      </c>
      <c r="C96" t="s">
        <v>83</v>
      </c>
      <c r="D96" s="188">
        <v>-1649.16268779913</v>
      </c>
      <c r="H96" s="189">
        <v>-1648.1703502559508</v>
      </c>
      <c r="I96" s="167">
        <f t="shared" si="4"/>
        <v>-0.9923375431792465</v>
      </c>
      <c r="J96" s="174">
        <f t="shared" si="5"/>
        <v>0.9923375431792465</v>
      </c>
    </row>
    <row r="97" spans="1:10">
      <c r="A97" s="207">
        <v>93</v>
      </c>
      <c r="B97" s="208">
        <v>30</v>
      </c>
      <c r="C97" s="207" t="s">
        <v>335</v>
      </c>
      <c r="D97" s="209">
        <v>-1793.7072868914499</v>
      </c>
      <c r="E97" s="210">
        <v>-1793.7074</v>
      </c>
      <c r="F97" s="215">
        <f>D97-E97</f>
        <v>1.1310855006740894E-4</v>
      </c>
      <c r="G97" s="215">
        <f>ABS(F97)</f>
        <v>1.1310855006740894E-4</v>
      </c>
      <c r="H97" s="212">
        <v>-1792.4114397953965</v>
      </c>
      <c r="I97" s="213">
        <f t="shared" si="4"/>
        <v>-1.2958470960534214</v>
      </c>
      <c r="J97" s="214">
        <f t="shared" si="5"/>
        <v>1.2958470960534214</v>
      </c>
    </row>
    <row r="98" spans="1:10">
      <c r="A98">
        <v>94</v>
      </c>
      <c r="B98" s="1">
        <v>31</v>
      </c>
      <c r="C98" t="s">
        <v>84</v>
      </c>
      <c r="D98" s="188">
        <v>-1942.3635997537201</v>
      </c>
      <c r="H98" s="189">
        <v>-1940.9154507072183</v>
      </c>
      <c r="I98" s="167">
        <f t="shared" si="4"/>
        <v>-1.4481490465018396</v>
      </c>
      <c r="J98" s="174">
        <f t="shared" si="5"/>
        <v>1.4481490465018396</v>
      </c>
    </row>
    <row r="99" spans="1:10">
      <c r="A99">
        <v>95</v>
      </c>
      <c r="B99" s="1">
        <v>31</v>
      </c>
      <c r="C99" t="s">
        <v>85</v>
      </c>
      <c r="D99" s="188">
        <v>-1941.6739959963299</v>
      </c>
      <c r="H99" s="189">
        <v>-1940.2539629080566</v>
      </c>
      <c r="I99" s="167">
        <f t="shared" si="4"/>
        <v>-1.4200330882733851</v>
      </c>
      <c r="J99" s="174">
        <f t="shared" si="5"/>
        <v>1.4200330882733851</v>
      </c>
    </row>
    <row r="100" spans="1:10">
      <c r="A100" s="207">
        <v>96</v>
      </c>
      <c r="B100" s="208">
        <v>31</v>
      </c>
      <c r="C100" s="207" t="s">
        <v>86</v>
      </c>
      <c r="D100" s="209">
        <v>-1940.5852163173399</v>
      </c>
      <c r="E100" s="210">
        <v>-1940.5852</v>
      </c>
      <c r="F100" s="211">
        <f>D100-E100</f>
        <v>-1.6317339941451792E-5</v>
      </c>
      <c r="G100" s="211">
        <f>ABS(F100)</f>
        <v>1.6317339941451792E-5</v>
      </c>
      <c r="H100" s="212">
        <v>-1939.151483242787</v>
      </c>
      <c r="I100" s="213">
        <f t="shared" si="4"/>
        <v>-1.4337330745529471</v>
      </c>
      <c r="J100" s="214">
        <f t="shared" si="5"/>
        <v>1.4337330745529471</v>
      </c>
    </row>
    <row r="101" spans="1:10">
      <c r="A101">
        <v>97</v>
      </c>
      <c r="B101" s="1">
        <v>32</v>
      </c>
      <c r="C101" t="s">
        <v>87</v>
      </c>
      <c r="D101" s="188">
        <v>-2097.21760646236</v>
      </c>
      <c r="H101" s="189">
        <v>-2095.6300970667257</v>
      </c>
      <c r="I101" s="167">
        <f t="shared" si="4"/>
        <v>-1.5875093956342425</v>
      </c>
      <c r="J101" s="174">
        <f t="shared" si="5"/>
        <v>1.5875093956342425</v>
      </c>
    </row>
    <row r="102" spans="1:10">
      <c r="A102">
        <v>98</v>
      </c>
      <c r="B102" s="1">
        <v>32</v>
      </c>
      <c r="C102" t="s">
        <v>88</v>
      </c>
      <c r="D102" s="188">
        <v>-2096.66100524886</v>
      </c>
      <c r="H102" s="189">
        <v>-2095.0788572340912</v>
      </c>
      <c r="I102" s="167">
        <f t="shared" si="4"/>
        <v>-1.5821480147687907</v>
      </c>
      <c r="J102" s="174">
        <f t="shared" si="5"/>
        <v>1.5821480147687907</v>
      </c>
    </row>
    <row r="103" spans="1:10">
      <c r="A103">
        <v>99</v>
      </c>
      <c r="B103" s="1">
        <v>32</v>
      </c>
      <c r="C103" t="s">
        <v>89</v>
      </c>
      <c r="D103" s="188">
        <v>-2095.4772417358599</v>
      </c>
      <c r="H103" s="189">
        <v>-2093.8661296022942</v>
      </c>
      <c r="I103" s="167">
        <f t="shared" si="4"/>
        <v>-1.6111121335657117</v>
      </c>
      <c r="J103" s="174">
        <f t="shared" si="5"/>
        <v>1.6111121335657117</v>
      </c>
    </row>
    <row r="104" spans="1:10">
      <c r="A104" s="207">
        <v>100</v>
      </c>
      <c r="B104" s="208">
        <v>32</v>
      </c>
      <c r="C104" s="207" t="s">
        <v>90</v>
      </c>
      <c r="D104" s="209">
        <v>-2093.8373265566202</v>
      </c>
      <c r="E104" s="210">
        <v>-2093.8375000000001</v>
      </c>
      <c r="F104" s="215">
        <f>D104-E104</f>
        <v>1.7344337993563386E-4</v>
      </c>
      <c r="G104" s="215">
        <f>ABS(F104)</f>
        <v>1.7344337993563386E-4</v>
      </c>
      <c r="H104" s="212">
        <v>-2092.2491594265657</v>
      </c>
      <c r="I104" s="213">
        <f t="shared" si="4"/>
        <v>-1.588167130054444</v>
      </c>
      <c r="J104" s="214">
        <f t="shared" si="5"/>
        <v>1.588167130054444</v>
      </c>
    </row>
    <row r="105" spans="1:10">
      <c r="A105">
        <v>101</v>
      </c>
      <c r="B105" s="1">
        <v>33</v>
      </c>
      <c r="C105" t="s">
        <v>336</v>
      </c>
      <c r="D105" s="188">
        <v>-2258.4986073698201</v>
      </c>
      <c r="H105" s="189">
        <v>-2256.7391254847976</v>
      </c>
      <c r="I105" s="167">
        <f t="shared" si="4"/>
        <v>-1.7594818850225238</v>
      </c>
      <c r="J105" s="174">
        <f t="shared" si="5"/>
        <v>1.7594818850225238</v>
      </c>
    </row>
    <row r="106" spans="1:10">
      <c r="A106">
        <v>102</v>
      </c>
      <c r="B106" s="1">
        <v>33</v>
      </c>
      <c r="C106" t="s">
        <v>91</v>
      </c>
      <c r="D106" s="188">
        <v>-2257.4927696974501</v>
      </c>
      <c r="H106" s="189">
        <v>-2255.7101444638788</v>
      </c>
      <c r="I106" s="167">
        <f t="shared" si="4"/>
        <v>-1.7826252335712525</v>
      </c>
      <c r="J106" s="174">
        <f t="shared" si="5"/>
        <v>1.7826252335712525</v>
      </c>
    </row>
    <row r="107" spans="1:10">
      <c r="A107">
        <v>103</v>
      </c>
      <c r="B107" s="1">
        <v>33</v>
      </c>
      <c r="C107" t="s">
        <v>337</v>
      </c>
      <c r="D107" s="188">
        <v>-2253.4662869626</v>
      </c>
      <c r="H107" s="189">
        <v>-2251.7044683467325</v>
      </c>
      <c r="I107" s="167">
        <f t="shared" si="4"/>
        <v>-1.7618186158674689</v>
      </c>
      <c r="J107" s="174">
        <f t="shared" si="5"/>
        <v>1.7618186158674689</v>
      </c>
    </row>
    <row r="108" spans="1:10">
      <c r="A108">
        <v>104</v>
      </c>
      <c r="B108" s="1">
        <v>34</v>
      </c>
      <c r="C108" t="s">
        <v>338</v>
      </c>
      <c r="D108" s="188">
        <v>-2427.5068083741799</v>
      </c>
      <c r="H108" s="189">
        <v>-2425.6022608819321</v>
      </c>
      <c r="I108" s="167">
        <f t="shared" si="4"/>
        <v>-1.9045474922477297</v>
      </c>
      <c r="J108" s="174">
        <f t="shared" si="5"/>
        <v>1.9045474922477297</v>
      </c>
    </row>
    <row r="109" spans="1:10">
      <c r="A109">
        <v>105</v>
      </c>
      <c r="B109" s="1">
        <v>34</v>
      </c>
      <c r="C109" t="s">
        <v>339</v>
      </c>
      <c r="D109" s="188">
        <v>-2424.8598623420999</v>
      </c>
      <c r="H109" s="189">
        <v>-2422.8828110409336</v>
      </c>
      <c r="I109" s="167">
        <f t="shared" si="4"/>
        <v>-1.9770513011662842</v>
      </c>
      <c r="J109" s="174">
        <f t="shared" si="5"/>
        <v>1.9770513011662842</v>
      </c>
    </row>
    <row r="110" spans="1:10">
      <c r="A110">
        <v>106</v>
      </c>
      <c r="B110" s="1">
        <v>34</v>
      </c>
      <c r="C110" t="s">
        <v>340</v>
      </c>
      <c r="D110" s="188">
        <v>-2419.4809547258301</v>
      </c>
      <c r="H110" s="189">
        <v>-2417.5174100032878</v>
      </c>
      <c r="I110" s="167">
        <f t="shared" si="4"/>
        <v>-1.9635447225423377</v>
      </c>
      <c r="J110" s="174">
        <f t="shared" si="5"/>
        <v>1.9635447225423377</v>
      </c>
    </row>
    <row r="111" spans="1:10">
      <c r="A111">
        <v>107</v>
      </c>
      <c r="B111" s="1">
        <v>35</v>
      </c>
      <c r="C111" t="s">
        <v>92</v>
      </c>
      <c r="D111" s="188">
        <v>-2604.5993958417898</v>
      </c>
      <c r="H111" s="189">
        <v>-2602.4767485133593</v>
      </c>
      <c r="I111" s="167">
        <f t="shared" si="4"/>
        <v>-2.122647328430503</v>
      </c>
      <c r="J111" s="174">
        <f t="shared" si="5"/>
        <v>2.122647328430503</v>
      </c>
    </row>
    <row r="112" spans="1:10">
      <c r="A112">
        <v>108</v>
      </c>
      <c r="B112" s="1">
        <v>35</v>
      </c>
      <c r="C112" t="s">
        <v>341</v>
      </c>
      <c r="D112" s="188">
        <v>-2602.5813739461701</v>
      </c>
      <c r="H112" s="189">
        <v>-2600.4555357936983</v>
      </c>
      <c r="I112" s="167">
        <f t="shared" si="4"/>
        <v>-2.1258381524717151</v>
      </c>
      <c r="J112" s="174">
        <f t="shared" si="5"/>
        <v>2.1258381524717151</v>
      </c>
    </row>
    <row r="113" spans="1:12">
      <c r="A113">
        <v>109</v>
      </c>
      <c r="B113" s="1">
        <v>35</v>
      </c>
      <c r="C113" t="s">
        <v>93</v>
      </c>
      <c r="D113" s="188">
        <v>-2600.91593120774</v>
      </c>
      <c r="H113" s="189">
        <v>-2598.7650669736186</v>
      </c>
      <c r="I113" s="167">
        <f t="shared" si="4"/>
        <v>-2.1508642341213999</v>
      </c>
      <c r="J113" s="174">
        <f t="shared" si="5"/>
        <v>2.1508642341213999</v>
      </c>
    </row>
    <row r="114" spans="1:12">
      <c r="A114">
        <v>110</v>
      </c>
      <c r="B114" s="1">
        <v>35</v>
      </c>
      <c r="C114" t="s">
        <v>94</v>
      </c>
      <c r="D114" s="188">
        <v>-2598.7718723397302</v>
      </c>
      <c r="H114" s="189">
        <v>-2596.5968569652546</v>
      </c>
      <c r="I114" s="167">
        <f t="shared" si="4"/>
        <v>-2.1750153744756062</v>
      </c>
      <c r="J114" s="174">
        <f t="shared" si="5"/>
        <v>2.1750153744756062</v>
      </c>
    </row>
    <row r="115" spans="1:12">
      <c r="A115">
        <v>111</v>
      </c>
      <c r="B115" s="1">
        <v>35</v>
      </c>
      <c r="C115" t="s">
        <v>342</v>
      </c>
      <c r="D115" s="188">
        <v>-2591.8956438197501</v>
      </c>
      <c r="H115" s="189">
        <v>-2589.7247337184072</v>
      </c>
      <c r="I115" s="167">
        <f t="shared" si="4"/>
        <v>-2.1709101013429972</v>
      </c>
      <c r="J115" s="174">
        <f t="shared" si="5"/>
        <v>2.1709101013429972</v>
      </c>
    </row>
    <row r="116" spans="1:12">
      <c r="A116">
        <v>112</v>
      </c>
      <c r="B116" s="1">
        <v>35</v>
      </c>
      <c r="C116" t="s">
        <v>343</v>
      </c>
      <c r="D116" s="188">
        <v>-2605.11623140863</v>
      </c>
      <c r="E116" s="50">
        <v>-2605.1163000000001</v>
      </c>
      <c r="F116" s="215">
        <f>D116-E116</f>
        <v>6.8591370109061245E-5</v>
      </c>
      <c r="G116" s="215">
        <f>ABS(F116)</f>
        <v>6.8591370109061245E-5</v>
      </c>
      <c r="H116" s="189"/>
      <c r="J116" s="174"/>
    </row>
    <row r="117" spans="1:12" ht="15.75" thickBot="1">
      <c r="A117">
        <v>113</v>
      </c>
      <c r="B117" s="1">
        <v>36</v>
      </c>
      <c r="C117" t="s">
        <v>344</v>
      </c>
      <c r="D117" s="188">
        <v>-2787.48678340782</v>
      </c>
      <c r="H117" s="189">
        <v>-2785.1576290485405</v>
      </c>
      <c r="I117" s="167">
        <f t="shared" ref="I117:I177" si="6">D117-H117</f>
        <v>-2.3291543592795279</v>
      </c>
      <c r="J117" s="174">
        <f t="shared" ref="J117:J177" si="7">ABS(I117)</f>
        <v>2.3291543592795279</v>
      </c>
    </row>
    <row r="118" spans="1:12" ht="15.75" thickBot="1">
      <c r="A118" s="207">
        <v>114</v>
      </c>
      <c r="B118" s="208">
        <v>37</v>
      </c>
      <c r="C118" s="207" t="s">
        <v>95</v>
      </c>
      <c r="D118" s="236">
        <v>-2979.6657153012602</v>
      </c>
      <c r="E118" s="237">
        <v>-2971.9171999999999</v>
      </c>
      <c r="F118" s="238">
        <f>D118-E118</f>
        <v>-7.7485153012603405</v>
      </c>
      <c r="G118" s="239">
        <f>ABS(F118)</f>
        <v>7.7485153012603405</v>
      </c>
      <c r="H118" s="240">
        <v>-2977.0625894498107</v>
      </c>
      <c r="I118" s="240">
        <f t="shared" si="6"/>
        <v>-2.6031258514494766</v>
      </c>
      <c r="J118" s="241">
        <f t="shared" si="7"/>
        <v>2.6031258514494766</v>
      </c>
      <c r="K118" s="242"/>
      <c r="L118" s="242"/>
    </row>
    <row r="119" spans="1:12">
      <c r="A119" s="207">
        <v>115</v>
      </c>
      <c r="B119" s="208">
        <v>38</v>
      </c>
      <c r="C119" s="207" t="s">
        <v>345</v>
      </c>
      <c r="D119" s="236">
        <v>-3177.5223130563199</v>
      </c>
      <c r="E119" s="237">
        <v>-3177.5216</v>
      </c>
      <c r="F119" s="243">
        <f>D119-E119</f>
        <v>-7.1305631990981055E-4</v>
      </c>
      <c r="G119" s="243">
        <f>ABS(F119)</f>
        <v>7.1305631990981055E-4</v>
      </c>
      <c r="H119" s="212">
        <v>-3174.6636947883076</v>
      </c>
      <c r="I119" s="213">
        <f t="shared" si="6"/>
        <v>-2.8586182680123784</v>
      </c>
      <c r="J119" s="214">
        <f t="shared" si="7"/>
        <v>2.8586182680123784</v>
      </c>
    </row>
    <row r="120" spans="1:12">
      <c r="A120">
        <v>116</v>
      </c>
      <c r="B120" s="1">
        <v>39</v>
      </c>
      <c r="C120" t="s">
        <v>346</v>
      </c>
      <c r="D120" s="188">
        <v>-3383.15616646852</v>
      </c>
      <c r="H120" s="189">
        <v>-3380.018907105868</v>
      </c>
      <c r="I120" s="167">
        <f t="shared" si="6"/>
        <v>-3.1372593626520029</v>
      </c>
      <c r="J120" s="174">
        <f t="shared" si="7"/>
        <v>3.1372593626520029</v>
      </c>
    </row>
    <row r="121" spans="1:12">
      <c r="A121" s="207">
        <v>117</v>
      </c>
      <c r="B121" s="208">
        <v>39</v>
      </c>
      <c r="C121" s="207" t="s">
        <v>96</v>
      </c>
      <c r="D121" s="209">
        <v>-3382.43718051822</v>
      </c>
      <c r="E121" s="210">
        <v>-3382.4497999999999</v>
      </c>
      <c r="F121" s="215">
        <f>D121-E121</f>
        <v>1.2619481779893249E-2</v>
      </c>
      <c r="G121" s="215">
        <f>ABS(F121)</f>
        <v>1.2619481779893249E-2</v>
      </c>
      <c r="H121" s="212">
        <v>-3379.3206699845305</v>
      </c>
      <c r="I121" s="213">
        <f t="shared" si="6"/>
        <v>-3.1165105336895067</v>
      </c>
      <c r="J121" s="214">
        <f t="shared" si="7"/>
        <v>3.1165105336895067</v>
      </c>
    </row>
    <row r="122" spans="1:12">
      <c r="A122">
        <v>118</v>
      </c>
      <c r="B122" s="1">
        <v>40</v>
      </c>
      <c r="C122" t="s">
        <v>97</v>
      </c>
      <c r="D122" s="188">
        <v>-3596.87789752461</v>
      </c>
      <c r="H122" s="189">
        <v>-3593.4957196242476</v>
      </c>
      <c r="I122" s="167">
        <f t="shared" si="6"/>
        <v>-3.3821779003624215</v>
      </c>
      <c r="J122" s="174">
        <f t="shared" si="7"/>
        <v>3.3821779003624215</v>
      </c>
    </row>
    <row r="123" spans="1:12">
      <c r="A123">
        <v>119</v>
      </c>
      <c r="B123" s="1">
        <v>40</v>
      </c>
      <c r="C123" t="s">
        <v>98</v>
      </c>
      <c r="D123" s="188">
        <v>-3596.4396023121199</v>
      </c>
      <c r="H123" s="189">
        <v>-3593.05472775814</v>
      </c>
      <c r="I123" s="167">
        <f t="shared" si="6"/>
        <v>-3.3848745539798983</v>
      </c>
      <c r="J123" s="174">
        <f t="shared" si="7"/>
        <v>3.3848745539798983</v>
      </c>
    </row>
    <row r="124" spans="1:12">
      <c r="A124">
        <v>120</v>
      </c>
      <c r="B124" s="1">
        <v>40</v>
      </c>
      <c r="C124" t="s">
        <v>99</v>
      </c>
      <c r="D124" s="188">
        <v>-3595.6489430961801</v>
      </c>
      <c r="H124" s="189">
        <v>-3592.2462426702755</v>
      </c>
      <c r="I124" s="167">
        <f t="shared" si="6"/>
        <v>-3.4027004259046407</v>
      </c>
      <c r="J124" s="174">
        <f t="shared" si="7"/>
        <v>3.4027004259046407</v>
      </c>
    </row>
    <row r="125" spans="1:12">
      <c r="A125" s="207">
        <v>121</v>
      </c>
      <c r="B125" s="208">
        <v>40</v>
      </c>
      <c r="C125" s="207" t="s">
        <v>100</v>
      </c>
      <c r="D125" s="209">
        <v>-3594.4243077742999</v>
      </c>
      <c r="E125" s="210">
        <v>-3594.4232999999999</v>
      </c>
      <c r="F125" s="211">
        <f>D125-E125</f>
        <v>-1.0077742999783368E-3</v>
      </c>
      <c r="G125" s="211">
        <f>ABS(F125)</f>
        <v>1.0077742999783368E-3</v>
      </c>
      <c r="H125" s="212">
        <v>-3590.9967657163033</v>
      </c>
      <c r="I125" s="213">
        <f t="shared" si="6"/>
        <v>-3.4275420579965612</v>
      </c>
      <c r="J125" s="214">
        <f t="shared" si="7"/>
        <v>3.4275420579965612</v>
      </c>
    </row>
    <row r="126" spans="1:12">
      <c r="A126">
        <v>122</v>
      </c>
      <c r="B126" s="1">
        <v>41</v>
      </c>
      <c r="C126" t="s">
        <v>347</v>
      </c>
      <c r="D126" s="188">
        <v>-3817.4918205187801</v>
      </c>
      <c r="H126" s="189">
        <v>-3813.8446553894751</v>
      </c>
      <c r="I126" s="167">
        <f t="shared" si="6"/>
        <v>-3.6471651293049945</v>
      </c>
      <c r="J126" s="174">
        <f t="shared" si="7"/>
        <v>3.6471651293049945</v>
      </c>
    </row>
    <row r="127" spans="1:12">
      <c r="A127" s="207">
        <v>123</v>
      </c>
      <c r="B127" s="208">
        <v>41</v>
      </c>
      <c r="C127" s="207" t="s">
        <v>101</v>
      </c>
      <c r="D127" s="209">
        <v>-3816.6317824753501</v>
      </c>
      <c r="E127" s="210">
        <v>-3814.6403</v>
      </c>
      <c r="F127" s="211">
        <f>D127-E127</f>
        <v>-1.9914824753500397</v>
      </c>
      <c r="G127" s="211">
        <f>ABS(F127)</f>
        <v>1.9914824753500397</v>
      </c>
      <c r="H127" s="212">
        <v>-3812.9626716572593</v>
      </c>
      <c r="I127" s="213">
        <f t="shared" si="6"/>
        <v>-3.6691108180907577</v>
      </c>
      <c r="J127" s="214">
        <f t="shared" si="7"/>
        <v>3.6691108180907577</v>
      </c>
    </row>
    <row r="128" spans="1:12">
      <c r="A128">
        <v>124</v>
      </c>
      <c r="B128" s="1">
        <v>41</v>
      </c>
      <c r="C128" t="s">
        <v>102</v>
      </c>
      <c r="D128" s="188">
        <v>-3815.3165988481801</v>
      </c>
      <c r="H128" s="189">
        <v>-3811.6029467367603</v>
      </c>
      <c r="I128" s="167">
        <f t="shared" si="6"/>
        <v>-3.7136521114198331</v>
      </c>
      <c r="J128" s="174">
        <f t="shared" si="7"/>
        <v>3.7136521114198331</v>
      </c>
    </row>
    <row r="129" spans="1:10">
      <c r="A129" s="207">
        <v>125</v>
      </c>
      <c r="B129" s="208">
        <v>41</v>
      </c>
      <c r="C129" s="207" t="s">
        <v>103</v>
      </c>
      <c r="D129" s="209">
        <v>-3813.5026974277598</v>
      </c>
      <c r="E129" s="210">
        <v>-3813.5021999999999</v>
      </c>
      <c r="F129" s="211">
        <f>D129-E129</f>
        <v>-4.974277599103516E-4</v>
      </c>
      <c r="G129" s="211">
        <f>ABS(F129)</f>
        <v>4.974277599103516E-4</v>
      </c>
      <c r="H129" s="212">
        <v>-3809.8022299501531</v>
      </c>
      <c r="I129" s="213">
        <f t="shared" si="6"/>
        <v>-3.7004674776067077</v>
      </c>
      <c r="J129" s="214">
        <f t="shared" si="7"/>
        <v>3.7004674776067077</v>
      </c>
    </row>
    <row r="130" spans="1:10">
      <c r="A130">
        <v>126</v>
      </c>
      <c r="B130" s="1">
        <v>42</v>
      </c>
      <c r="C130" t="s">
        <v>104</v>
      </c>
      <c r="D130" s="188">
        <v>-4046.9372757229999</v>
      </c>
      <c r="H130" s="189">
        <v>-4043.0501777990353</v>
      </c>
      <c r="I130" s="167">
        <f t="shared" si="6"/>
        <v>-3.8870979239645749</v>
      </c>
      <c r="J130" s="174">
        <f t="shared" si="7"/>
        <v>3.8870979239645749</v>
      </c>
    </row>
    <row r="131" spans="1:10">
      <c r="A131">
        <v>127</v>
      </c>
      <c r="B131" s="1">
        <v>42</v>
      </c>
      <c r="C131" t="s">
        <v>105</v>
      </c>
      <c r="D131" s="188">
        <v>-4046.43389183506</v>
      </c>
      <c r="H131" s="189">
        <v>-4042.4989379664003</v>
      </c>
      <c r="I131" s="167">
        <f t="shared" si="6"/>
        <v>-3.9349538686597043</v>
      </c>
      <c r="J131" s="174">
        <f t="shared" si="7"/>
        <v>3.9349538686597043</v>
      </c>
    </row>
    <row r="132" spans="1:10">
      <c r="A132" s="207">
        <v>128</v>
      </c>
      <c r="B132" s="208">
        <v>42</v>
      </c>
      <c r="C132" s="207" t="s">
        <v>106</v>
      </c>
      <c r="D132" s="209">
        <v>-4045.5058969911202</v>
      </c>
      <c r="E132" s="210">
        <v>-4043.3842</v>
      </c>
      <c r="F132" s="211">
        <f>D132-E132</f>
        <v>-2.1216969911201886</v>
      </c>
      <c r="G132" s="211">
        <f>ABS(F132)</f>
        <v>2.1216969911201886</v>
      </c>
      <c r="H132" s="212">
        <v>-4041.5434555898332</v>
      </c>
      <c r="I132" s="213">
        <f t="shared" si="6"/>
        <v>-3.9624414012869238</v>
      </c>
      <c r="J132" s="214">
        <f t="shared" si="7"/>
        <v>3.9624414012869238</v>
      </c>
    </row>
    <row r="133" spans="1:10">
      <c r="A133">
        <v>129</v>
      </c>
      <c r="B133" s="1">
        <v>42</v>
      </c>
      <c r="C133" t="s">
        <v>107</v>
      </c>
      <c r="D133" s="188">
        <v>-4044.1017552366002</v>
      </c>
      <c r="H133" s="189">
        <v>-4040.1102320249829</v>
      </c>
      <c r="I133" s="167">
        <f t="shared" si="6"/>
        <v>-3.9915232116172774</v>
      </c>
      <c r="J133" s="174">
        <f t="shared" si="7"/>
        <v>3.9915232116172774</v>
      </c>
    </row>
    <row r="134" spans="1:10">
      <c r="A134">
        <v>130</v>
      </c>
      <c r="B134" s="1">
        <v>42</v>
      </c>
      <c r="C134" t="s">
        <v>108</v>
      </c>
      <c r="D134" s="188">
        <v>-4042.1783639246</v>
      </c>
      <c r="H134" s="189">
        <v>-4038.1625179496732</v>
      </c>
      <c r="I134" s="167">
        <f t="shared" si="6"/>
        <v>-4.0158459749268332</v>
      </c>
      <c r="J134" s="174">
        <f t="shared" si="7"/>
        <v>4.0158459749268332</v>
      </c>
    </row>
    <row r="135" spans="1:10">
      <c r="A135" s="207">
        <v>131</v>
      </c>
      <c r="B135" s="208">
        <v>42</v>
      </c>
      <c r="C135" s="207" t="s">
        <v>109</v>
      </c>
      <c r="D135" s="209">
        <v>-4039.6977417472899</v>
      </c>
      <c r="E135" s="210">
        <v>-4039.6959999999999</v>
      </c>
      <c r="F135" s="211">
        <f>D135-E135</f>
        <v>-1.7417472899978748E-3</v>
      </c>
      <c r="G135" s="211">
        <f>ABS(F135)</f>
        <v>1.7417472899978748E-3</v>
      </c>
      <c r="H135" s="212">
        <v>-4035.6635640417285</v>
      </c>
      <c r="I135" s="213">
        <f t="shared" si="6"/>
        <v>-4.034177705561433</v>
      </c>
      <c r="J135" s="214">
        <f t="shared" si="7"/>
        <v>4.034177705561433</v>
      </c>
    </row>
    <row r="136" spans="1:10">
      <c r="A136">
        <v>132</v>
      </c>
      <c r="B136" s="1">
        <v>43</v>
      </c>
      <c r="C136" t="s">
        <v>110</v>
      </c>
      <c r="D136" s="188">
        <v>-4283.87764663286</v>
      </c>
      <c r="H136" s="189">
        <v>-4279.7158126102531</v>
      </c>
      <c r="I136" s="167">
        <f t="shared" si="6"/>
        <v>-4.161834022606854</v>
      </c>
      <c r="J136" s="174">
        <f t="shared" si="7"/>
        <v>4.161834022606854</v>
      </c>
    </row>
    <row r="137" spans="1:10">
      <c r="A137">
        <v>133</v>
      </c>
      <c r="B137" s="1">
        <v>43</v>
      </c>
      <c r="C137" t="s">
        <v>111</v>
      </c>
      <c r="D137" s="188">
        <v>-4283.3807665303302</v>
      </c>
      <c r="H137" s="189">
        <v>-4279.2013220997942</v>
      </c>
      <c r="I137" s="167">
        <f t="shared" si="6"/>
        <v>-4.179444430536023</v>
      </c>
      <c r="J137" s="174">
        <f t="shared" si="7"/>
        <v>4.179444430536023</v>
      </c>
    </row>
    <row r="138" spans="1:10">
      <c r="A138">
        <v>134</v>
      </c>
      <c r="B138" s="1">
        <v>43</v>
      </c>
      <c r="C138" t="s">
        <v>112</v>
      </c>
      <c r="D138" s="188">
        <v>-4282.3857075784999</v>
      </c>
      <c r="H138" s="189">
        <v>-4278.1355917566998</v>
      </c>
      <c r="I138" s="167">
        <f t="shared" si="6"/>
        <v>-4.2501158218001365</v>
      </c>
      <c r="J138" s="174">
        <f t="shared" si="7"/>
        <v>4.2501158218001365</v>
      </c>
    </row>
    <row r="139" spans="1:10">
      <c r="A139">
        <v>135</v>
      </c>
      <c r="B139" s="1">
        <v>43</v>
      </c>
      <c r="C139" t="s">
        <v>113</v>
      </c>
      <c r="D139" s="188">
        <v>-4280.8937162928096</v>
      </c>
      <c r="H139" s="189">
        <v>-4276.6288695474987</v>
      </c>
      <c r="I139" s="167">
        <f t="shared" si="6"/>
        <v>-4.2648467453109333</v>
      </c>
      <c r="J139" s="174">
        <f t="shared" si="7"/>
        <v>4.2648467453109333</v>
      </c>
    </row>
    <row r="140" spans="1:10">
      <c r="A140">
        <v>136</v>
      </c>
      <c r="B140" s="1">
        <v>43</v>
      </c>
      <c r="C140" t="s">
        <v>114</v>
      </c>
      <c r="D140" s="188">
        <v>-4278.8620530123098</v>
      </c>
      <c r="H140" s="189">
        <v>-4274.5341581834864</v>
      </c>
      <c r="I140" s="167">
        <f t="shared" si="6"/>
        <v>-4.327894828823446</v>
      </c>
      <c r="J140" s="174">
        <f t="shared" si="7"/>
        <v>4.327894828823446</v>
      </c>
    </row>
    <row r="141" spans="1:10">
      <c r="A141">
        <v>137</v>
      </c>
      <c r="B141" s="1">
        <v>43</v>
      </c>
      <c r="C141" t="s">
        <v>115</v>
      </c>
      <c r="D141" s="188">
        <v>-4276.2528738474202</v>
      </c>
      <c r="H141" s="189">
        <v>-4271.8882069868387</v>
      </c>
      <c r="I141" s="167">
        <f t="shared" si="6"/>
        <v>-4.3646668605815648</v>
      </c>
      <c r="J141" s="174">
        <f t="shared" si="7"/>
        <v>4.3646668605815648</v>
      </c>
    </row>
    <row r="142" spans="1:10">
      <c r="A142">
        <v>138</v>
      </c>
      <c r="B142" s="1">
        <v>43</v>
      </c>
      <c r="C142" t="s">
        <v>116</v>
      </c>
      <c r="D142" s="188">
        <v>-4273.0315771384803</v>
      </c>
      <c r="H142" s="189">
        <v>-4268.6542666353807</v>
      </c>
      <c r="I142" s="167">
        <f t="shared" si="6"/>
        <v>-4.3773105030995794</v>
      </c>
      <c r="J142" s="174">
        <f t="shared" si="7"/>
        <v>4.3773105030995794</v>
      </c>
    </row>
    <row r="143" spans="1:10">
      <c r="A143">
        <v>139</v>
      </c>
      <c r="B143" s="1">
        <v>44</v>
      </c>
      <c r="C143" t="s">
        <v>117</v>
      </c>
      <c r="D143" s="188">
        <v>-4529.0496594657598</v>
      </c>
      <c r="H143" s="189">
        <v>-4524.3927996557641</v>
      </c>
      <c r="I143" s="167">
        <f t="shared" si="6"/>
        <v>-4.6568598099956944</v>
      </c>
      <c r="J143" s="174">
        <f t="shared" si="7"/>
        <v>4.6568598099956944</v>
      </c>
    </row>
    <row r="144" spans="1:10">
      <c r="A144">
        <v>140</v>
      </c>
      <c r="B144" s="1">
        <v>44</v>
      </c>
      <c r="C144" t="s">
        <v>118</v>
      </c>
      <c r="D144" s="188">
        <v>-4528.4556308443298</v>
      </c>
      <c r="H144" s="189">
        <v>-4523.8783091453051</v>
      </c>
      <c r="I144" s="167">
        <f t="shared" si="6"/>
        <v>-4.577321699024651</v>
      </c>
      <c r="J144" s="174">
        <f t="shared" si="7"/>
        <v>4.577321699024651</v>
      </c>
    </row>
    <row r="145" spans="1:10">
      <c r="A145" s="207">
        <v>141</v>
      </c>
      <c r="B145" s="208">
        <v>44</v>
      </c>
      <c r="C145" s="207" t="s">
        <v>119</v>
      </c>
      <c r="D145" s="209">
        <v>-4527.39405246365</v>
      </c>
      <c r="E145" s="210">
        <v>-4525.0367999999999</v>
      </c>
      <c r="F145" s="211">
        <f>D145-E145</f>
        <v>-2.3572524636501839</v>
      </c>
      <c r="G145" s="211">
        <f>ABS(F145)</f>
        <v>2.3572524636501839</v>
      </c>
      <c r="H145" s="212">
        <v>-4522.886077446562</v>
      </c>
      <c r="I145" s="213">
        <f t="shared" si="6"/>
        <v>-4.5079750170880288</v>
      </c>
      <c r="J145" s="214">
        <f t="shared" si="7"/>
        <v>4.5079750170880288</v>
      </c>
    </row>
    <row r="146" spans="1:10">
      <c r="A146" s="207">
        <v>142</v>
      </c>
      <c r="B146" s="208">
        <v>44</v>
      </c>
      <c r="C146" s="207" t="s">
        <v>120</v>
      </c>
      <c r="D146" s="209">
        <v>-4525.8149800166302</v>
      </c>
      <c r="E146" s="210">
        <v>-4523.3895000000002</v>
      </c>
      <c r="F146" s="211">
        <f>D146-E146</f>
        <v>-2.4254800166299901</v>
      </c>
      <c r="G146" s="211">
        <f>ABS(F146)</f>
        <v>2.4254800166299901</v>
      </c>
      <c r="H146" s="212">
        <v>-4521.2323579486583</v>
      </c>
      <c r="I146" s="213">
        <f t="shared" si="6"/>
        <v>-4.5826220679718972</v>
      </c>
      <c r="J146" s="214">
        <f t="shared" si="7"/>
        <v>4.5826220679718972</v>
      </c>
    </row>
    <row r="147" spans="1:10">
      <c r="A147">
        <v>143</v>
      </c>
      <c r="B147" s="1">
        <v>44</v>
      </c>
      <c r="C147" t="s">
        <v>121</v>
      </c>
      <c r="D147" s="188">
        <v>-4523.67594624925</v>
      </c>
      <c r="H147" s="189">
        <v>-4519.0641479402939</v>
      </c>
      <c r="I147" s="167">
        <f t="shared" si="6"/>
        <v>-4.6117983089561676</v>
      </c>
      <c r="J147" s="174">
        <f t="shared" si="7"/>
        <v>4.6117983089561676</v>
      </c>
    </row>
    <row r="148" spans="1:10">
      <c r="A148">
        <v>144</v>
      </c>
      <c r="B148" s="1">
        <v>44</v>
      </c>
      <c r="C148" t="s">
        <v>122</v>
      </c>
      <c r="D148" s="188">
        <v>-4520.9392034445</v>
      </c>
      <c r="H148" s="189">
        <v>-4516.2711994549445</v>
      </c>
      <c r="I148" s="167">
        <f t="shared" si="6"/>
        <v>-4.6680039895554728</v>
      </c>
      <c r="J148" s="174">
        <f t="shared" si="7"/>
        <v>4.6680039895554728</v>
      </c>
    </row>
    <row r="149" spans="1:10">
      <c r="A149">
        <v>145</v>
      </c>
      <c r="B149" s="1">
        <v>44</v>
      </c>
      <c r="C149" t="s">
        <v>123</v>
      </c>
      <c r="D149" s="188">
        <v>-4517.5701792083501</v>
      </c>
      <c r="H149" s="189">
        <v>-4512.8535124926084</v>
      </c>
      <c r="I149" s="167">
        <f t="shared" si="6"/>
        <v>-4.7166667157416668</v>
      </c>
      <c r="J149" s="174">
        <f t="shared" si="7"/>
        <v>4.7166667157416668</v>
      </c>
    </row>
    <row r="150" spans="1:10">
      <c r="A150">
        <v>146</v>
      </c>
      <c r="B150" s="1">
        <v>44</v>
      </c>
      <c r="C150" t="s">
        <v>124</v>
      </c>
      <c r="D150" s="188">
        <v>-4513.5365358057197</v>
      </c>
      <c r="H150" s="189">
        <v>-4508.8110870532864</v>
      </c>
      <c r="I150" s="167">
        <f t="shared" si="6"/>
        <v>-4.7254487524332944</v>
      </c>
      <c r="J150" s="174">
        <f t="shared" si="7"/>
        <v>4.7254487524332944</v>
      </c>
    </row>
    <row r="151" spans="1:10">
      <c r="A151">
        <v>147</v>
      </c>
      <c r="B151" s="1">
        <v>45</v>
      </c>
      <c r="C151" t="s">
        <v>125</v>
      </c>
      <c r="D151" s="188">
        <v>-4782.4218062473601</v>
      </c>
      <c r="H151" s="189">
        <v>-4777.3751335129737</v>
      </c>
      <c r="I151" s="167">
        <f t="shared" si="6"/>
        <v>-5.0466727343864477</v>
      </c>
      <c r="J151" s="174">
        <f t="shared" si="7"/>
        <v>5.0466727343864477</v>
      </c>
    </row>
    <row r="152" spans="1:10">
      <c r="A152">
        <v>148</v>
      </c>
      <c r="B152" s="1">
        <v>45</v>
      </c>
      <c r="C152" t="s">
        <v>126</v>
      </c>
      <c r="D152" s="188">
        <v>-4781.7824208974098</v>
      </c>
      <c r="H152" s="189">
        <v>-4776.7871443581625</v>
      </c>
      <c r="I152" s="167">
        <f t="shared" si="6"/>
        <v>-4.9952765392472429</v>
      </c>
      <c r="J152" s="174">
        <f t="shared" si="7"/>
        <v>4.9952765392472429</v>
      </c>
    </row>
    <row r="153" spans="1:10">
      <c r="A153" s="207">
        <v>149</v>
      </c>
      <c r="B153" s="208">
        <v>45</v>
      </c>
      <c r="C153" s="207" t="s">
        <v>127</v>
      </c>
      <c r="D153" s="209">
        <v>-4780.65462526794</v>
      </c>
      <c r="E153" s="210">
        <v>-4778.0232999999998</v>
      </c>
      <c r="F153" s="211">
        <f>D153-E153</f>
        <v>-2.6313252679401558</v>
      </c>
      <c r="G153" s="211">
        <f>ABS(F153)</f>
        <v>2.6313252679401558</v>
      </c>
      <c r="H153" s="212">
        <v>-4775.6846646928934</v>
      </c>
      <c r="I153" s="213">
        <f t="shared" si="6"/>
        <v>-4.9699605750465707</v>
      </c>
      <c r="J153" s="214">
        <f t="shared" si="7"/>
        <v>4.9699605750465707</v>
      </c>
    </row>
    <row r="154" spans="1:10">
      <c r="A154" s="207">
        <v>150</v>
      </c>
      <c r="B154" s="208">
        <v>45</v>
      </c>
      <c r="C154" s="207" t="s">
        <v>128</v>
      </c>
      <c r="D154" s="209">
        <v>-4778.9889896832601</v>
      </c>
      <c r="E154" s="210">
        <v>-4776.4525999999996</v>
      </c>
      <c r="F154" s="211">
        <f>D154-E154</f>
        <v>-2.5363896832604951</v>
      </c>
      <c r="G154" s="211">
        <f>ABS(F154)</f>
        <v>2.5363896832604951</v>
      </c>
      <c r="H154" s="212">
        <v>-4774.1411931615157</v>
      </c>
      <c r="I154" s="213">
        <f t="shared" si="6"/>
        <v>-4.8477965217443852</v>
      </c>
      <c r="J154" s="214">
        <f t="shared" si="7"/>
        <v>4.8477965217443852</v>
      </c>
    </row>
    <row r="155" spans="1:10">
      <c r="A155">
        <v>151</v>
      </c>
      <c r="B155" s="1">
        <v>45</v>
      </c>
      <c r="C155" t="s">
        <v>129</v>
      </c>
      <c r="D155" s="188">
        <v>-4776.7432441535102</v>
      </c>
      <c r="H155" s="189">
        <v>-4771.8259858644496</v>
      </c>
      <c r="I155" s="167">
        <f t="shared" si="6"/>
        <v>-4.9172582890605554</v>
      </c>
      <c r="J155" s="174">
        <f t="shared" si="7"/>
        <v>4.9172582890605554</v>
      </c>
    </row>
    <row r="156" spans="1:10">
      <c r="A156">
        <v>152</v>
      </c>
      <c r="B156" s="1">
        <v>45</v>
      </c>
      <c r="C156" t="s">
        <v>130</v>
      </c>
      <c r="D156" s="188">
        <v>-4773.8796988520298</v>
      </c>
      <c r="H156" s="189">
        <v>-4768.8860400903968</v>
      </c>
      <c r="I156" s="167">
        <f t="shared" si="6"/>
        <v>-4.9936587616330144</v>
      </c>
      <c r="J156" s="174">
        <f t="shared" si="7"/>
        <v>4.9936587616330144</v>
      </c>
    </row>
    <row r="157" spans="1:10">
      <c r="A157" s="207">
        <v>153</v>
      </c>
      <c r="B157" s="208">
        <v>46</v>
      </c>
      <c r="C157" s="207" t="s">
        <v>348</v>
      </c>
      <c r="D157" s="209">
        <v>-5043.4773171055804</v>
      </c>
      <c r="E157" s="210">
        <v>-5040.5466999999999</v>
      </c>
      <c r="F157" s="211">
        <f>D157-E157</f>
        <v>-2.9306171055804953</v>
      </c>
      <c r="G157" s="211">
        <f>ABS(F157)</f>
        <v>2.9306171055804953</v>
      </c>
      <c r="H157" s="212">
        <v>-5038.0380757048943</v>
      </c>
      <c r="I157" s="213">
        <f t="shared" si="6"/>
        <v>-5.4392414006861145</v>
      </c>
      <c r="J157" s="214">
        <f t="shared" si="7"/>
        <v>5.4392414006861145</v>
      </c>
    </row>
    <row r="158" spans="1:10" ht="15.75" thickBot="1">
      <c r="A158" s="207">
        <v>154</v>
      </c>
      <c r="B158" s="208">
        <v>46</v>
      </c>
      <c r="C158" s="207" t="s">
        <v>349</v>
      </c>
      <c r="D158" s="209">
        <v>-5040.5315584397304</v>
      </c>
      <c r="E158" s="210">
        <v>-5037.7052999999996</v>
      </c>
      <c r="F158" s="211">
        <f>D158-E158</f>
        <v>-2.8262584397307364</v>
      </c>
      <c r="G158" s="211">
        <f>ABS(F158)</f>
        <v>2.8262584397307364</v>
      </c>
      <c r="H158" s="212">
        <v>-5035.2083778973683</v>
      </c>
      <c r="I158" s="213">
        <f t="shared" si="6"/>
        <v>-5.3231805423620244</v>
      </c>
      <c r="J158" s="214">
        <f t="shared" si="7"/>
        <v>5.3231805423620244</v>
      </c>
    </row>
    <row r="159" spans="1:10">
      <c r="A159" s="216">
        <v>155</v>
      </c>
      <c r="B159" s="217">
        <v>47</v>
      </c>
      <c r="C159" s="218" t="s">
        <v>131</v>
      </c>
      <c r="D159" s="219">
        <v>-5314.3992438351697</v>
      </c>
      <c r="E159" s="220">
        <v>-5314.4008000000003</v>
      </c>
      <c r="F159" s="244">
        <f>D159-E159</f>
        <v>1.5561648306174902E-3</v>
      </c>
      <c r="G159" s="244">
        <f>ABS(F159)</f>
        <v>1.5561648306174902E-3</v>
      </c>
      <c r="H159" s="222">
        <v>-5308.476337595539</v>
      </c>
      <c r="I159" s="223">
        <f t="shared" si="6"/>
        <v>-5.9229062396307199</v>
      </c>
      <c r="J159" s="224">
        <f t="shared" si="7"/>
        <v>5.9229062396307199</v>
      </c>
    </row>
    <row r="160" spans="1:10" ht="15.75" thickBot="1">
      <c r="A160" s="226">
        <v>156</v>
      </c>
      <c r="B160" s="227">
        <v>47</v>
      </c>
      <c r="C160" s="228" t="s">
        <v>132</v>
      </c>
      <c r="D160" s="229">
        <v>-5313.6684420352803</v>
      </c>
      <c r="E160" s="230">
        <v>-5310.4718999999996</v>
      </c>
      <c r="F160" s="235">
        <f>D160-E160</f>
        <v>-3.1965420352807996</v>
      </c>
      <c r="G160" s="235">
        <f>ABS(F160)</f>
        <v>3.1965420352807996</v>
      </c>
      <c r="H160" s="232">
        <v>-5307.7781004742019</v>
      </c>
      <c r="I160" s="233">
        <f t="shared" si="6"/>
        <v>-5.8903415610784577</v>
      </c>
      <c r="J160" s="234">
        <f t="shared" si="7"/>
        <v>5.8903415610784577</v>
      </c>
    </row>
    <row r="161" spans="1:12">
      <c r="A161">
        <v>157</v>
      </c>
      <c r="B161" s="1">
        <v>47</v>
      </c>
      <c r="C161" t="s">
        <v>133</v>
      </c>
      <c r="D161" s="188">
        <v>-5312.4084557349197</v>
      </c>
      <c r="H161" s="189">
        <v>-5306.5653728424049</v>
      </c>
      <c r="I161" s="167">
        <f t="shared" si="6"/>
        <v>-5.843082892514758</v>
      </c>
      <c r="J161" s="174">
        <f t="shared" si="7"/>
        <v>5.843082892514758</v>
      </c>
    </row>
    <row r="162" spans="1:12">
      <c r="A162" s="207">
        <v>158</v>
      </c>
      <c r="B162" s="208">
        <v>48</v>
      </c>
      <c r="C162" s="207" t="s">
        <v>350</v>
      </c>
      <c r="D162" s="209">
        <v>-5592.47654721247</v>
      </c>
      <c r="E162" s="210">
        <v>-5592.4772000000003</v>
      </c>
      <c r="F162" s="215">
        <f>D162-E162</f>
        <v>6.5278753027087077E-4</v>
      </c>
      <c r="G162" s="215">
        <f>ABS(F162)</f>
        <v>6.5278753027087077E-4</v>
      </c>
      <c r="H162" s="212">
        <v>-5586.1174666326124</v>
      </c>
      <c r="I162" s="213">
        <f t="shared" si="6"/>
        <v>-6.3590805798576184</v>
      </c>
      <c r="J162" s="214">
        <f t="shared" si="7"/>
        <v>6.3590805798576184</v>
      </c>
    </row>
    <row r="163" spans="1:12">
      <c r="A163">
        <v>159</v>
      </c>
      <c r="B163" s="1">
        <v>49</v>
      </c>
      <c r="C163" t="s">
        <v>134</v>
      </c>
      <c r="D163" s="188">
        <v>-5880.2431028942601</v>
      </c>
      <c r="H163" s="189">
        <v>-5873.423667401883</v>
      </c>
      <c r="I163" s="167">
        <f t="shared" si="6"/>
        <v>-6.8194354923771243</v>
      </c>
      <c r="J163" s="174">
        <f t="shared" si="7"/>
        <v>6.8194354923771243</v>
      </c>
    </row>
    <row r="164" spans="1:12">
      <c r="A164">
        <v>160</v>
      </c>
      <c r="B164" s="1">
        <v>49</v>
      </c>
      <c r="C164" t="s">
        <v>135</v>
      </c>
      <c r="D164" s="188">
        <v>-5879.6169400546396</v>
      </c>
      <c r="H164" s="189">
        <v>-5872.7989289248972</v>
      </c>
      <c r="I164" s="167">
        <f t="shared" si="6"/>
        <v>-6.8180111297424446</v>
      </c>
      <c r="J164" s="174">
        <f t="shared" si="7"/>
        <v>6.8180111297424446</v>
      </c>
    </row>
    <row r="165" spans="1:12">
      <c r="A165" s="207">
        <v>161</v>
      </c>
      <c r="B165" s="208">
        <v>49</v>
      </c>
      <c r="C165" s="207" t="s">
        <v>136</v>
      </c>
      <c r="D165" s="209">
        <v>-5878.6386635327599</v>
      </c>
      <c r="E165" s="210">
        <v>-5878.6382000000003</v>
      </c>
      <c r="F165" s="211">
        <f>D165-E165</f>
        <v>-4.635327595678973E-4</v>
      </c>
      <c r="G165" s="211">
        <f>ABS(F165)</f>
        <v>4.635327595678973E-4</v>
      </c>
      <c r="H165" s="212">
        <v>-5871.8434465483306</v>
      </c>
      <c r="I165" s="213">
        <f t="shared" si="6"/>
        <v>-6.7952169844293167</v>
      </c>
      <c r="J165" s="214">
        <f t="shared" si="7"/>
        <v>6.7952169844293167</v>
      </c>
    </row>
    <row r="166" spans="1:12">
      <c r="A166" s="207">
        <v>162</v>
      </c>
      <c r="B166" s="208">
        <v>50</v>
      </c>
      <c r="C166" s="207" t="s">
        <v>351</v>
      </c>
      <c r="D166" s="209">
        <v>-6175.3940009503103</v>
      </c>
      <c r="E166" s="210">
        <v>-6175.3927999999996</v>
      </c>
      <c r="F166" s="211">
        <f>D166-E166</f>
        <v>-1.2009503107037744E-3</v>
      </c>
      <c r="G166" s="211">
        <f>ABS(F166)</f>
        <v>1.2009503107037744E-3</v>
      </c>
      <c r="H166" s="212">
        <v>-6168.0797326062848</v>
      </c>
      <c r="I166" s="213">
        <f t="shared" si="6"/>
        <v>-7.3142683440255496</v>
      </c>
      <c r="J166" s="214">
        <f t="shared" si="7"/>
        <v>7.3142683440255496</v>
      </c>
    </row>
    <row r="167" spans="1:12" ht="15.75" thickBot="1">
      <c r="A167" s="207">
        <v>163</v>
      </c>
      <c r="B167" s="208">
        <v>50</v>
      </c>
      <c r="C167" s="207" t="s">
        <v>352</v>
      </c>
      <c r="D167" s="209">
        <v>-6172.9010925286502</v>
      </c>
      <c r="E167" s="210">
        <v>-6172.8999000000003</v>
      </c>
      <c r="F167" s="211">
        <f>D167-E167</f>
        <v>-1.1925286498808418E-3</v>
      </c>
      <c r="G167" s="211">
        <f>ABS(F167)</f>
        <v>1.1925286498808418E-3</v>
      </c>
      <c r="H167" s="212">
        <v>-6165.6175280205161</v>
      </c>
      <c r="I167" s="213">
        <f t="shared" si="6"/>
        <v>-7.2835645081340772</v>
      </c>
      <c r="J167" s="214">
        <f t="shared" si="7"/>
        <v>7.2835645081340772</v>
      </c>
    </row>
    <row r="168" spans="1:12">
      <c r="A168" s="207">
        <v>164</v>
      </c>
      <c r="B168" s="208">
        <v>51</v>
      </c>
      <c r="C168" s="207" t="s">
        <v>353</v>
      </c>
      <c r="D168" s="245">
        <v>-6478.7889424004197</v>
      </c>
      <c r="E168" s="246">
        <v>-6478.7870999999996</v>
      </c>
      <c r="F168" s="247">
        <f>D168-E168</f>
        <v>-1.8424004201733624E-3</v>
      </c>
      <c r="G168" s="247">
        <f>ABS(F168)</f>
        <v>1.8424004201733624E-3</v>
      </c>
      <c r="H168" s="248">
        <v>-6470.9676459780339</v>
      </c>
      <c r="I168" s="249">
        <f t="shared" si="6"/>
        <v>-7.8212964223857853</v>
      </c>
      <c r="J168" s="250">
        <f t="shared" si="7"/>
        <v>7.8212964223857853</v>
      </c>
      <c r="K168" s="242"/>
      <c r="L168" s="242"/>
    </row>
    <row r="169" spans="1:12" ht="15.75" thickBot="1">
      <c r="A169" s="207">
        <v>165</v>
      </c>
      <c r="B169" s="208">
        <v>51</v>
      </c>
      <c r="C169" s="207" t="s">
        <v>354</v>
      </c>
      <c r="D169" s="245">
        <v>-6475.2938104616396</v>
      </c>
      <c r="E169" s="246">
        <v>-6475.2920000000004</v>
      </c>
      <c r="F169" s="247">
        <f>D169-E169</f>
        <v>-1.8104616392520256E-3</v>
      </c>
      <c r="G169" s="247">
        <f>ABS(F169)</f>
        <v>1.8104616392520256E-3</v>
      </c>
      <c r="H169" s="248">
        <v>-6467.4764603713465</v>
      </c>
      <c r="I169" s="251">
        <f t="shared" si="6"/>
        <v>-7.8173500902930755</v>
      </c>
      <c r="J169" s="252">
        <f t="shared" si="7"/>
        <v>7.8173500902930755</v>
      </c>
      <c r="K169" s="242"/>
      <c r="L169" s="242"/>
    </row>
    <row r="170" spans="1:12">
      <c r="A170">
        <v>166</v>
      </c>
      <c r="B170" s="1">
        <v>52</v>
      </c>
      <c r="C170" t="s">
        <v>355</v>
      </c>
      <c r="D170" s="188">
        <v>-6792.7427097884902</v>
      </c>
      <c r="H170" s="189">
        <v>-6784.4393641363704</v>
      </c>
      <c r="I170" s="167">
        <f t="shared" si="6"/>
        <v>-8.3033456521197877</v>
      </c>
      <c r="J170" s="174">
        <f t="shared" si="7"/>
        <v>8.3033456521197877</v>
      </c>
    </row>
    <row r="171" spans="1:12">
      <c r="A171">
        <v>167</v>
      </c>
      <c r="B171" s="1">
        <v>52</v>
      </c>
      <c r="C171" t="s">
        <v>356</v>
      </c>
      <c r="D171" s="188">
        <v>-6790.4518265162296</v>
      </c>
      <c r="H171" s="189">
        <v>-6782.0874075171287</v>
      </c>
      <c r="I171" s="167">
        <f t="shared" si="6"/>
        <v>-8.3644189991009625</v>
      </c>
      <c r="J171" s="174">
        <f t="shared" si="7"/>
        <v>8.3644189991009625</v>
      </c>
    </row>
    <row r="172" spans="1:12">
      <c r="A172">
        <v>168</v>
      </c>
      <c r="B172" s="1">
        <v>52</v>
      </c>
      <c r="C172" t="s">
        <v>137</v>
      </c>
      <c r="D172" s="188">
        <v>-6788.3840549921397</v>
      </c>
      <c r="H172" s="189">
        <v>-6780.0294454752921</v>
      </c>
      <c r="I172" s="167">
        <f t="shared" si="6"/>
        <v>-8.3546095168476313</v>
      </c>
      <c r="J172" s="174">
        <f t="shared" si="7"/>
        <v>8.3546095168476313</v>
      </c>
    </row>
    <row r="173" spans="1:12">
      <c r="A173">
        <v>169</v>
      </c>
      <c r="B173" s="1">
        <v>52</v>
      </c>
      <c r="C173" t="s">
        <v>138</v>
      </c>
      <c r="D173" s="188">
        <v>-6785.8475400029702</v>
      </c>
      <c r="H173" s="189">
        <v>-6777.4937422451721</v>
      </c>
      <c r="I173" s="167">
        <f t="shared" si="6"/>
        <v>-8.35379775779802</v>
      </c>
      <c r="J173" s="174">
        <f t="shared" si="7"/>
        <v>8.35379775779802</v>
      </c>
    </row>
    <row r="174" spans="1:12">
      <c r="A174">
        <v>170</v>
      </c>
      <c r="B174" s="1">
        <v>53</v>
      </c>
      <c r="C174" t="s">
        <v>139</v>
      </c>
      <c r="D174" s="188">
        <v>-7115.4169791156701</v>
      </c>
      <c r="H174" s="189">
        <v>-7106.5471730059862</v>
      </c>
      <c r="I174" s="167">
        <f t="shared" si="6"/>
        <v>-8.8698061096838501</v>
      </c>
      <c r="J174" s="174">
        <f t="shared" si="7"/>
        <v>8.8698061096838501</v>
      </c>
    </row>
    <row r="175" spans="1:12">
      <c r="A175">
        <v>171</v>
      </c>
      <c r="B175" s="1">
        <v>53</v>
      </c>
      <c r="C175" t="s">
        <v>357</v>
      </c>
      <c r="D175" s="188">
        <v>-7113.66909455309</v>
      </c>
      <c r="H175" s="189">
        <v>-7104.8199548637313</v>
      </c>
      <c r="I175" s="167">
        <f t="shared" si="6"/>
        <v>-8.849139689358708</v>
      </c>
      <c r="J175" s="174">
        <f t="shared" si="7"/>
        <v>8.849139689358708</v>
      </c>
    </row>
    <row r="176" spans="1:12">
      <c r="A176">
        <v>172</v>
      </c>
      <c r="B176" s="1">
        <v>53</v>
      </c>
      <c r="C176" t="s">
        <v>358</v>
      </c>
      <c r="D176" s="188">
        <v>-7110.4238570162997</v>
      </c>
      <c r="H176" s="189">
        <v>-7101.512515867922</v>
      </c>
      <c r="I176" s="167">
        <f t="shared" si="6"/>
        <v>-8.9113411483776872</v>
      </c>
      <c r="J176" s="174">
        <f t="shared" si="7"/>
        <v>8.9113411483776872</v>
      </c>
    </row>
    <row r="177" spans="1:10">
      <c r="A177">
        <v>173</v>
      </c>
      <c r="B177" s="1">
        <v>53</v>
      </c>
      <c r="C177" t="s">
        <v>359</v>
      </c>
      <c r="D177" s="188">
        <v>-7104.6077534057204</v>
      </c>
      <c r="H177" s="189">
        <v>-7095.7061229641686</v>
      </c>
      <c r="I177" s="167">
        <f t="shared" si="6"/>
        <v>-8.901630441551788</v>
      </c>
      <c r="J177" s="174">
        <f t="shared" si="7"/>
        <v>8.901630441551788</v>
      </c>
    </row>
    <row r="178" spans="1:10">
      <c r="A178">
        <v>174</v>
      </c>
      <c r="B178" s="1">
        <v>53</v>
      </c>
      <c r="C178" t="s">
        <v>360</v>
      </c>
      <c r="D178" s="188">
        <v>-7115.8866227333901</v>
      </c>
      <c r="E178" s="50">
        <v>-7115.8854000000001</v>
      </c>
      <c r="F178" s="52">
        <f>D178-E178</f>
        <v>-1.2227333900227677E-3</v>
      </c>
      <c r="G178" s="52">
        <f>ABS(F178)</f>
        <v>1.2227333900227677E-3</v>
      </c>
      <c r="H178" s="189"/>
      <c r="J178" s="174"/>
    </row>
    <row r="179" spans="1:10">
      <c r="A179">
        <v>175</v>
      </c>
      <c r="B179" s="1">
        <v>54</v>
      </c>
      <c r="C179" t="s">
        <v>361</v>
      </c>
      <c r="D179" s="188">
        <v>-7445.7002123126904</v>
      </c>
      <c r="H179" s="189">
        <v>-7436.2620915659636</v>
      </c>
      <c r="I179" s="167">
        <f t="shared" ref="I179:I242" si="8">D179-H179</f>
        <v>-9.4381207467267814</v>
      </c>
      <c r="J179" s="174">
        <f t="shared" ref="J179:J242" si="9">ABS(I179)</f>
        <v>9.4381207467267814</v>
      </c>
    </row>
    <row r="180" spans="1:10">
      <c r="A180">
        <v>176</v>
      </c>
      <c r="B180" s="1">
        <v>54</v>
      </c>
      <c r="C180" t="s">
        <v>362</v>
      </c>
      <c r="D180" s="188">
        <v>-7443.0420663395698</v>
      </c>
      <c r="H180" s="189">
        <v>-7433.6528896914915</v>
      </c>
      <c r="I180" s="167">
        <f t="shared" si="8"/>
        <v>-9.389176648078319</v>
      </c>
      <c r="J180" s="174">
        <f t="shared" si="9"/>
        <v>9.389176648078319</v>
      </c>
    </row>
    <row r="181" spans="1:10">
      <c r="A181">
        <v>177</v>
      </c>
      <c r="B181" s="1">
        <v>54</v>
      </c>
      <c r="C181" t="s">
        <v>363</v>
      </c>
      <c r="D181" s="188">
        <v>-7438.7365439374798</v>
      </c>
      <c r="H181" s="189">
        <v>-7429.2429710304132</v>
      </c>
      <c r="I181" s="167">
        <f t="shared" si="8"/>
        <v>-9.4935729070666639</v>
      </c>
      <c r="J181" s="174">
        <f t="shared" si="9"/>
        <v>9.4935729070666639</v>
      </c>
    </row>
    <row r="182" spans="1:10">
      <c r="A182">
        <v>178</v>
      </c>
      <c r="B182" s="1">
        <v>54</v>
      </c>
      <c r="C182" t="s">
        <v>364</v>
      </c>
      <c r="D182" s="188">
        <v>-7431.6088381129603</v>
      </c>
      <c r="H182" s="189">
        <v>-7422.1136025283358</v>
      </c>
      <c r="I182" s="167">
        <f t="shared" si="8"/>
        <v>-9.4952355846244245</v>
      </c>
      <c r="J182" s="174">
        <f t="shared" si="9"/>
        <v>9.4952355846244245</v>
      </c>
    </row>
    <row r="183" spans="1:10">
      <c r="A183">
        <v>179</v>
      </c>
      <c r="B183" s="1">
        <v>55</v>
      </c>
      <c r="C183" t="s">
        <v>140</v>
      </c>
      <c r="D183" s="188">
        <v>-7786.6455328066604</v>
      </c>
      <c r="H183" s="189">
        <v>-7776.5240655903526</v>
      </c>
      <c r="I183" s="167">
        <f t="shared" si="8"/>
        <v>-10.121467216307792</v>
      </c>
      <c r="J183" s="174">
        <f t="shared" si="9"/>
        <v>10.121467216307792</v>
      </c>
    </row>
    <row r="184" spans="1:10">
      <c r="A184">
        <v>180</v>
      </c>
      <c r="B184" s="1">
        <v>56</v>
      </c>
      <c r="C184" t="s">
        <v>365</v>
      </c>
      <c r="D184" s="188">
        <v>-8135.14773837745</v>
      </c>
      <c r="H184" s="189">
        <v>-8124.3931493051032</v>
      </c>
      <c r="I184" s="167">
        <f t="shared" si="8"/>
        <v>-10.754589072346789</v>
      </c>
      <c r="J184" s="174">
        <f t="shared" si="9"/>
        <v>10.754589072346789</v>
      </c>
    </row>
    <row r="185" spans="1:10">
      <c r="A185">
        <v>181</v>
      </c>
      <c r="B185" s="1">
        <v>57</v>
      </c>
      <c r="C185" t="s">
        <v>366</v>
      </c>
      <c r="D185" s="188">
        <v>-8493.1075875753195</v>
      </c>
      <c r="H185" s="189">
        <v>-8481.6700594968206</v>
      </c>
      <c r="I185" s="167">
        <f t="shared" si="8"/>
        <v>-11.437528078498872</v>
      </c>
      <c r="J185" s="174">
        <f t="shared" si="9"/>
        <v>11.437528078498872</v>
      </c>
    </row>
    <row r="186" spans="1:10">
      <c r="A186">
        <v>182</v>
      </c>
      <c r="B186" s="1">
        <v>57</v>
      </c>
      <c r="C186" t="s">
        <v>141</v>
      </c>
      <c r="D186" s="188">
        <v>-8492.4427377647498</v>
      </c>
      <c r="H186" s="189">
        <v>-8481.0085716976591</v>
      </c>
      <c r="I186" s="167">
        <f t="shared" si="8"/>
        <v>-11.4341660670907</v>
      </c>
      <c r="J186" s="174">
        <f t="shared" si="9"/>
        <v>11.4341660670907</v>
      </c>
    </row>
    <row r="187" spans="1:10">
      <c r="A187">
        <v>183</v>
      </c>
      <c r="B187" s="1">
        <v>58</v>
      </c>
      <c r="C187" t="s">
        <v>367</v>
      </c>
      <c r="D187" s="188">
        <v>-8860.4801098549597</v>
      </c>
      <c r="H187" s="189">
        <v>-8848.3915454876824</v>
      </c>
      <c r="I187" s="167">
        <f t="shared" si="8"/>
        <v>-12.088564367277286</v>
      </c>
      <c r="J187" s="174">
        <f t="shared" si="9"/>
        <v>12.088564367277286</v>
      </c>
    </row>
    <row r="188" spans="1:10">
      <c r="A188">
        <v>184</v>
      </c>
      <c r="B188" s="1">
        <v>58</v>
      </c>
      <c r="C188" t="s">
        <v>142</v>
      </c>
      <c r="D188" s="188">
        <v>-8859.8510371439806</v>
      </c>
      <c r="H188" s="189">
        <v>-8847.6933083663444</v>
      </c>
      <c r="I188" s="167">
        <f t="shared" si="8"/>
        <v>-12.157728777636294</v>
      </c>
      <c r="J188" s="174">
        <f t="shared" si="9"/>
        <v>12.157728777636294</v>
      </c>
    </row>
    <row r="189" spans="1:10">
      <c r="A189">
        <v>185</v>
      </c>
      <c r="B189" s="1">
        <v>58</v>
      </c>
      <c r="C189" t="s">
        <v>143</v>
      </c>
      <c r="D189" s="188">
        <v>-8858.5705955766698</v>
      </c>
      <c r="H189" s="189">
        <v>-8846.4070820901961</v>
      </c>
      <c r="I189" s="167">
        <f t="shared" si="8"/>
        <v>-12.163513486473676</v>
      </c>
      <c r="J189" s="174">
        <f t="shared" si="9"/>
        <v>12.163513486473676</v>
      </c>
    </row>
    <row r="190" spans="1:10">
      <c r="A190">
        <v>186</v>
      </c>
      <c r="B190" s="1">
        <v>59</v>
      </c>
      <c r="C190" t="s">
        <v>368</v>
      </c>
      <c r="D190" s="188">
        <v>-9237.6225683717494</v>
      </c>
      <c r="H190" s="189">
        <v>-9224.8516018550908</v>
      </c>
      <c r="I190" s="167">
        <f t="shared" si="8"/>
        <v>-12.770966516658518</v>
      </c>
      <c r="J190" s="174">
        <f t="shared" si="9"/>
        <v>12.770966516658518</v>
      </c>
    </row>
    <row r="191" spans="1:10">
      <c r="A191">
        <v>187</v>
      </c>
      <c r="B191" s="1">
        <v>59</v>
      </c>
      <c r="C191" t="s">
        <v>144</v>
      </c>
      <c r="D191" s="188">
        <v>-9236.9642912954096</v>
      </c>
      <c r="H191" s="189">
        <v>-9224.1533647337546</v>
      </c>
      <c r="I191" s="167">
        <f t="shared" si="8"/>
        <v>-12.810926561654924</v>
      </c>
      <c r="J191" s="174">
        <f t="shared" si="9"/>
        <v>12.810926561654924</v>
      </c>
    </row>
    <row r="192" spans="1:10">
      <c r="A192">
        <v>188</v>
      </c>
      <c r="B192" s="1">
        <v>59</v>
      </c>
      <c r="C192" t="s">
        <v>145</v>
      </c>
      <c r="D192" s="188">
        <v>-9235.6452183219008</v>
      </c>
      <c r="H192" s="189">
        <v>-9222.7568904910786</v>
      </c>
      <c r="I192" s="167">
        <f t="shared" si="8"/>
        <v>-12.888327830822163</v>
      </c>
      <c r="J192" s="174">
        <f t="shared" si="9"/>
        <v>12.888327830822163</v>
      </c>
    </row>
    <row r="193" spans="1:10">
      <c r="A193">
        <v>189</v>
      </c>
      <c r="B193" s="1">
        <v>60</v>
      </c>
      <c r="C193" t="s">
        <v>369</v>
      </c>
      <c r="D193" s="188">
        <v>-9624.6005411372407</v>
      </c>
      <c r="H193" s="189">
        <v>-9611.1604765655775</v>
      </c>
      <c r="I193" s="167">
        <f t="shared" si="8"/>
        <v>-13.440064571663243</v>
      </c>
      <c r="J193" s="174">
        <f t="shared" si="9"/>
        <v>13.440064571663243</v>
      </c>
    </row>
    <row r="194" spans="1:10">
      <c r="A194">
        <v>190</v>
      </c>
      <c r="B194" s="1">
        <v>60</v>
      </c>
      <c r="C194" t="s">
        <v>146</v>
      </c>
      <c r="D194" s="188">
        <v>-9623.91814076025</v>
      </c>
      <c r="H194" s="189">
        <v>-9610.4254901220629</v>
      </c>
      <c r="I194" s="167">
        <f t="shared" si="8"/>
        <v>-13.492650638187115</v>
      </c>
      <c r="J194" s="174">
        <f t="shared" si="9"/>
        <v>13.492650638187115</v>
      </c>
    </row>
    <row r="195" spans="1:10">
      <c r="A195">
        <v>191</v>
      </c>
      <c r="B195" s="1">
        <v>61</v>
      </c>
      <c r="C195" t="s">
        <v>370</v>
      </c>
      <c r="D195" s="188">
        <v>-10020.846320229501</v>
      </c>
      <c r="H195" s="189">
        <v>-10006.619932497801</v>
      </c>
      <c r="I195" s="167">
        <f t="shared" si="8"/>
        <v>-14.226387731700015</v>
      </c>
      <c r="J195" s="174">
        <f t="shared" si="9"/>
        <v>14.226387731700015</v>
      </c>
    </row>
    <row r="196" spans="1:10">
      <c r="A196">
        <v>192</v>
      </c>
      <c r="B196" s="1">
        <v>62</v>
      </c>
      <c r="C196" t="s">
        <v>371</v>
      </c>
      <c r="D196" s="188">
        <v>-10428.62752948</v>
      </c>
      <c r="H196" s="189">
        <v>-10413.655424915354</v>
      </c>
      <c r="I196" s="167">
        <f t="shared" si="8"/>
        <v>-14.972104564645633</v>
      </c>
      <c r="J196" s="174">
        <f t="shared" si="9"/>
        <v>14.972104564645633</v>
      </c>
    </row>
    <row r="197" spans="1:10">
      <c r="A197">
        <v>193</v>
      </c>
      <c r="B197" s="1">
        <v>62</v>
      </c>
      <c r="C197" t="s">
        <v>147</v>
      </c>
      <c r="D197" s="188">
        <v>-10427.9084939401</v>
      </c>
      <c r="H197" s="189">
        <v>-10412.883689149667</v>
      </c>
      <c r="I197" s="167">
        <f>D197-H197</f>
        <v>-15.024804790433336</v>
      </c>
      <c r="J197" s="174">
        <f>ABS(I197)</f>
        <v>15.024804790433336</v>
      </c>
    </row>
    <row r="198" spans="1:10">
      <c r="A198">
        <v>194</v>
      </c>
      <c r="B198" s="1">
        <v>63</v>
      </c>
      <c r="C198" t="s">
        <v>372</v>
      </c>
      <c r="D198" s="188">
        <v>-10845.9628414525</v>
      </c>
      <c r="H198" s="189">
        <v>-10830.245741098581</v>
      </c>
      <c r="I198" s="167">
        <f t="shared" si="8"/>
        <v>-15.717100353918795</v>
      </c>
      <c r="J198" s="174">
        <f t="shared" si="9"/>
        <v>15.717100353918795</v>
      </c>
    </row>
    <row r="199" spans="1:10">
      <c r="A199">
        <v>195</v>
      </c>
      <c r="B199" s="1">
        <v>63</v>
      </c>
      <c r="C199" t="s">
        <v>148</v>
      </c>
      <c r="D199" s="188">
        <v>-10845.230172929199</v>
      </c>
      <c r="H199" s="189">
        <v>-10829.40050668854</v>
      </c>
      <c r="I199" s="167">
        <f t="shared" si="8"/>
        <v>-15.829666240659208</v>
      </c>
      <c r="J199" s="174">
        <f t="shared" si="9"/>
        <v>15.829666240659208</v>
      </c>
    </row>
    <row r="200" spans="1:10">
      <c r="A200">
        <v>196</v>
      </c>
      <c r="B200" s="1">
        <v>64</v>
      </c>
      <c r="C200" t="s">
        <v>149</v>
      </c>
      <c r="D200" s="188">
        <v>-11274.008112254</v>
      </c>
      <c r="H200" s="189">
        <v>-11257.530110034921</v>
      </c>
      <c r="I200" s="167">
        <f t="shared" si="8"/>
        <v>-16.478002219078917</v>
      </c>
      <c r="J200" s="174">
        <f t="shared" si="9"/>
        <v>16.478002219078917</v>
      </c>
    </row>
    <row r="201" spans="1:10">
      <c r="A201">
        <v>197</v>
      </c>
      <c r="B201" s="1">
        <v>64</v>
      </c>
      <c r="C201" t="s">
        <v>150</v>
      </c>
      <c r="D201" s="188">
        <v>-11273.600073412499</v>
      </c>
      <c r="H201" s="189">
        <v>-11257.089118168813</v>
      </c>
      <c r="I201" s="167">
        <f t="shared" si="8"/>
        <v>-16.510955243686112</v>
      </c>
      <c r="J201" s="174">
        <f t="shared" si="9"/>
        <v>16.510955243686112</v>
      </c>
    </row>
    <row r="202" spans="1:10">
      <c r="A202">
        <v>198</v>
      </c>
      <c r="B202" s="1">
        <v>64</v>
      </c>
      <c r="C202" t="s">
        <v>151</v>
      </c>
      <c r="D202" s="188">
        <v>-11272.9050692127</v>
      </c>
      <c r="H202" s="189">
        <v>-11256.390881047475</v>
      </c>
      <c r="I202" s="167">
        <f t="shared" si="8"/>
        <v>-16.514188165225278</v>
      </c>
      <c r="J202" s="174">
        <f t="shared" si="9"/>
        <v>16.514188165225278</v>
      </c>
    </row>
    <row r="203" spans="1:10">
      <c r="A203">
        <v>199</v>
      </c>
      <c r="B203" s="1">
        <v>65</v>
      </c>
      <c r="C203" t="s">
        <v>152</v>
      </c>
      <c r="D203" s="188">
        <v>-11712.3722267701</v>
      </c>
      <c r="H203" s="189">
        <v>-11694.663297314337</v>
      </c>
      <c r="I203" s="167">
        <f t="shared" si="8"/>
        <v>-17.7089294557627</v>
      </c>
      <c r="J203" s="174">
        <f t="shared" si="9"/>
        <v>17.7089294557627</v>
      </c>
    </row>
    <row r="204" spans="1:10">
      <c r="A204">
        <v>200</v>
      </c>
      <c r="B204" s="1">
        <v>65</v>
      </c>
      <c r="C204" t="s">
        <v>373</v>
      </c>
      <c r="D204" s="188">
        <v>-11711.228476002199</v>
      </c>
      <c r="H204" s="189">
        <v>-11693.634316293419</v>
      </c>
      <c r="I204" s="167">
        <f t="shared" si="8"/>
        <v>-17.594159708780353</v>
      </c>
      <c r="J204" s="174">
        <f t="shared" si="9"/>
        <v>17.594159708780353</v>
      </c>
    </row>
    <row r="205" spans="1:10">
      <c r="A205">
        <v>201</v>
      </c>
      <c r="B205" s="1">
        <v>65</v>
      </c>
      <c r="C205" t="s">
        <v>153</v>
      </c>
      <c r="D205" s="188">
        <v>-11709.757583175</v>
      </c>
      <c r="H205" s="189">
        <v>-11692.311340695094</v>
      </c>
      <c r="I205" s="167">
        <f t="shared" si="8"/>
        <v>-17.446242479905777</v>
      </c>
      <c r="J205" s="174">
        <f t="shared" si="9"/>
        <v>17.446242479905777</v>
      </c>
    </row>
    <row r="206" spans="1:10">
      <c r="A206">
        <v>202</v>
      </c>
      <c r="B206" s="1">
        <v>66</v>
      </c>
      <c r="C206" t="s">
        <v>374</v>
      </c>
      <c r="D206" s="188">
        <v>-12160.990091157601</v>
      </c>
      <c r="H206" s="189">
        <v>-12142.270041413814</v>
      </c>
      <c r="I206" s="167">
        <f t="shared" si="8"/>
        <v>-18.720049743786149</v>
      </c>
      <c r="J206" s="174">
        <f t="shared" si="9"/>
        <v>18.720049743786149</v>
      </c>
    </row>
    <row r="207" spans="1:10">
      <c r="A207">
        <v>203</v>
      </c>
      <c r="B207" s="1">
        <v>66</v>
      </c>
      <c r="C207" t="s">
        <v>154</v>
      </c>
      <c r="D207" s="188">
        <v>-12160.231226260201</v>
      </c>
      <c r="H207" s="189">
        <v>-12141.535054970302</v>
      </c>
      <c r="I207" s="167">
        <f t="shared" si="8"/>
        <v>-18.696171289899212</v>
      </c>
      <c r="J207" s="174">
        <f t="shared" si="9"/>
        <v>18.696171289899212</v>
      </c>
    </row>
    <row r="208" spans="1:10">
      <c r="A208">
        <v>204</v>
      </c>
      <c r="B208" s="1">
        <v>67</v>
      </c>
      <c r="C208" t="s">
        <v>375</v>
      </c>
      <c r="D208" s="188">
        <v>-12620.0279129544</v>
      </c>
      <c r="H208" s="189">
        <v>-12600.350342333353</v>
      </c>
      <c r="I208" s="167">
        <f t="shared" si="8"/>
        <v>-19.67757062104647</v>
      </c>
      <c r="J208" s="174">
        <f t="shared" si="9"/>
        <v>19.67757062104647</v>
      </c>
    </row>
    <row r="209" spans="1:10">
      <c r="A209">
        <v>205</v>
      </c>
      <c r="B209" s="1">
        <v>68</v>
      </c>
      <c r="C209" t="s">
        <v>376</v>
      </c>
      <c r="D209" s="188">
        <v>-13090.861817647599</v>
      </c>
      <c r="H209" s="189">
        <v>-13070.080178382575</v>
      </c>
      <c r="I209" s="167">
        <f t="shared" si="8"/>
        <v>-20.781639265023841</v>
      </c>
      <c r="J209" s="174">
        <f t="shared" si="9"/>
        <v>20.781639265023841</v>
      </c>
    </row>
    <row r="210" spans="1:10">
      <c r="A210">
        <v>206</v>
      </c>
      <c r="B210" s="1">
        <v>69</v>
      </c>
      <c r="C210" t="s">
        <v>377</v>
      </c>
      <c r="D210" s="188">
        <v>-13573.6925399551</v>
      </c>
      <c r="H210" s="189">
        <v>-13551.606546850184</v>
      </c>
      <c r="I210" s="167">
        <f t="shared" si="8"/>
        <v>-22.08599310491627</v>
      </c>
      <c r="J210" s="174">
        <f t="shared" si="9"/>
        <v>22.08599310491627</v>
      </c>
    </row>
    <row r="211" spans="1:10">
      <c r="A211">
        <v>207</v>
      </c>
      <c r="B211" s="1">
        <v>69</v>
      </c>
      <c r="C211" t="s">
        <v>155</v>
      </c>
      <c r="D211" s="188">
        <v>-13572.925315902899</v>
      </c>
      <c r="H211" s="189">
        <v>-13550.945059051022</v>
      </c>
      <c r="I211" s="167">
        <f t="shared" si="8"/>
        <v>-21.98025685187713</v>
      </c>
      <c r="J211" s="174">
        <f t="shared" si="9"/>
        <v>21.98025685187713</v>
      </c>
    </row>
    <row r="212" spans="1:10">
      <c r="A212">
        <v>208</v>
      </c>
      <c r="B212" s="1">
        <v>70</v>
      </c>
      <c r="C212" t="s">
        <v>378</v>
      </c>
      <c r="D212" s="188">
        <v>-14067.015470263101</v>
      </c>
      <c r="H212" s="189">
        <v>-14043.790218748731</v>
      </c>
      <c r="I212" s="167">
        <f t="shared" si="8"/>
        <v>-23.225251514370029</v>
      </c>
      <c r="J212" s="174">
        <f t="shared" si="9"/>
        <v>23.225251514370029</v>
      </c>
    </row>
    <row r="213" spans="1:10">
      <c r="A213">
        <v>209</v>
      </c>
      <c r="B213" s="1">
        <v>70</v>
      </c>
      <c r="C213" t="s">
        <v>156</v>
      </c>
      <c r="D213" s="188">
        <v>-14066.2487701545</v>
      </c>
      <c r="H213" s="189">
        <v>-14043.055232305218</v>
      </c>
      <c r="I213" s="167">
        <f t="shared" si="8"/>
        <v>-23.193537849281711</v>
      </c>
      <c r="J213" s="174">
        <f t="shared" si="9"/>
        <v>23.193537849281711</v>
      </c>
    </row>
    <row r="214" spans="1:10">
      <c r="A214">
        <v>210</v>
      </c>
      <c r="B214" s="1">
        <v>71</v>
      </c>
      <c r="C214" t="s">
        <v>379</v>
      </c>
      <c r="D214" s="188">
        <v>-14571.089030687501</v>
      </c>
      <c r="H214" s="189">
        <v>-14546.667943400393</v>
      </c>
      <c r="I214" s="167">
        <f t="shared" si="8"/>
        <v>-24.421087287108094</v>
      </c>
      <c r="J214" s="174">
        <f t="shared" si="9"/>
        <v>24.421087287108094</v>
      </c>
    </row>
    <row r="215" spans="1:10">
      <c r="A215">
        <v>211</v>
      </c>
      <c r="B215" s="1">
        <v>72</v>
      </c>
      <c r="C215" t="s">
        <v>380</v>
      </c>
      <c r="D215" s="188">
        <v>-15088.039319301701</v>
      </c>
      <c r="H215" s="189">
        <v>-15062.444680135712</v>
      </c>
      <c r="I215" s="167">
        <f t="shared" si="8"/>
        <v>-25.594639165989065</v>
      </c>
      <c r="J215" s="174">
        <f t="shared" si="9"/>
        <v>25.594639165989065</v>
      </c>
    </row>
    <row r="216" spans="1:10">
      <c r="A216">
        <v>212</v>
      </c>
      <c r="B216" s="1">
        <v>72</v>
      </c>
      <c r="C216" t="s">
        <v>157</v>
      </c>
      <c r="D216" s="188">
        <v>-15087.279060495999</v>
      </c>
      <c r="H216" s="189">
        <v>-15061.672944370022</v>
      </c>
      <c r="I216" s="167">
        <f t="shared" si="8"/>
        <v>-25.606116125976769</v>
      </c>
      <c r="J216" s="174">
        <f t="shared" si="9"/>
        <v>25.606116125976769</v>
      </c>
    </row>
    <row r="217" spans="1:10">
      <c r="A217">
        <v>213</v>
      </c>
      <c r="B217" s="1">
        <v>72</v>
      </c>
      <c r="C217" t="s">
        <v>158</v>
      </c>
      <c r="D217" s="188">
        <v>-15086.1046337429</v>
      </c>
      <c r="H217" s="189">
        <v>-15060.460216738225</v>
      </c>
      <c r="I217" s="167">
        <f t="shared" si="8"/>
        <v>-25.644417004674324</v>
      </c>
      <c r="J217" s="174">
        <f t="shared" si="9"/>
        <v>25.644417004674324</v>
      </c>
    </row>
    <row r="218" spans="1:10">
      <c r="A218">
        <v>214</v>
      </c>
      <c r="B218" s="1">
        <v>73</v>
      </c>
      <c r="C218" t="s">
        <v>381</v>
      </c>
      <c r="D218" s="188">
        <v>-15615.8372675259</v>
      </c>
      <c r="H218" s="189">
        <v>-15589.062466912847</v>
      </c>
      <c r="I218" s="167">
        <f t="shared" si="8"/>
        <v>-26.77480061305323</v>
      </c>
      <c r="J218" s="174">
        <f t="shared" si="9"/>
        <v>26.77480061305323</v>
      </c>
    </row>
    <row r="219" spans="1:10">
      <c r="A219">
        <v>215</v>
      </c>
      <c r="B219" s="1">
        <v>73</v>
      </c>
      <c r="C219" t="s">
        <v>159</v>
      </c>
      <c r="D219" s="188">
        <v>-15615.0167443188</v>
      </c>
      <c r="H219" s="189">
        <v>-15588.217232502808</v>
      </c>
      <c r="I219" s="167">
        <f t="shared" si="8"/>
        <v>-26.799511815992446</v>
      </c>
      <c r="J219" s="174">
        <f t="shared" si="9"/>
        <v>26.799511815992446</v>
      </c>
    </row>
    <row r="220" spans="1:10">
      <c r="A220">
        <v>216</v>
      </c>
      <c r="B220" s="1">
        <v>73</v>
      </c>
      <c r="C220" t="s">
        <v>160</v>
      </c>
      <c r="D220" s="188">
        <v>-15613.7681175462</v>
      </c>
      <c r="H220" s="189">
        <v>-15586.93100622666</v>
      </c>
      <c r="I220" s="167">
        <f t="shared" si="8"/>
        <v>-26.837111319540782</v>
      </c>
      <c r="J220" s="174">
        <f t="shared" si="9"/>
        <v>26.837111319540782</v>
      </c>
    </row>
    <row r="221" spans="1:10">
      <c r="A221">
        <v>217</v>
      </c>
      <c r="B221" s="1">
        <v>73</v>
      </c>
      <c r="C221" t="s">
        <v>161</v>
      </c>
      <c r="D221" s="188">
        <v>-15612.052864384301</v>
      </c>
      <c r="H221" s="189">
        <v>-15585.203788084404</v>
      </c>
      <c r="I221" s="167">
        <f t="shared" si="8"/>
        <v>-26.849076299897206</v>
      </c>
      <c r="J221" s="174">
        <f t="shared" si="9"/>
        <v>26.849076299897206</v>
      </c>
    </row>
    <row r="222" spans="1:10">
      <c r="A222">
        <v>218</v>
      </c>
      <c r="B222" s="1">
        <v>74</v>
      </c>
      <c r="C222" t="s">
        <v>162</v>
      </c>
      <c r="D222" s="188">
        <v>-16155.878641936601</v>
      </c>
      <c r="H222" s="189">
        <v>-16127.807530007949</v>
      </c>
      <c r="I222" s="167">
        <f t="shared" si="8"/>
        <v>-28.07111192865159</v>
      </c>
      <c r="J222" s="174">
        <f t="shared" si="9"/>
        <v>28.07111192865159</v>
      </c>
    </row>
    <row r="223" spans="1:10">
      <c r="A223">
        <v>219</v>
      </c>
      <c r="B223" s="1">
        <v>74</v>
      </c>
      <c r="C223" t="s">
        <v>163</v>
      </c>
      <c r="D223" s="188">
        <v>-16155.360114003901</v>
      </c>
      <c r="H223" s="189">
        <v>-16127.256290175315</v>
      </c>
      <c r="I223" s="167">
        <f t="shared" si="8"/>
        <v>-28.103823828585519</v>
      </c>
      <c r="J223" s="174">
        <f t="shared" si="9"/>
        <v>28.103823828585519</v>
      </c>
    </row>
    <row r="224" spans="1:10">
      <c r="A224">
        <v>220</v>
      </c>
      <c r="B224" s="1">
        <v>74</v>
      </c>
      <c r="C224" t="s">
        <v>164</v>
      </c>
      <c r="D224" s="188">
        <v>-16154.479819152</v>
      </c>
      <c r="H224" s="189">
        <v>-16126.337557120924</v>
      </c>
      <c r="I224" s="167">
        <f t="shared" si="8"/>
        <v>-28.142262031076825</v>
      </c>
      <c r="J224" s="174">
        <f t="shared" si="9"/>
        <v>28.142262031076825</v>
      </c>
    </row>
    <row r="225" spans="1:10">
      <c r="A225">
        <v>221</v>
      </c>
      <c r="B225" s="1">
        <v>74</v>
      </c>
      <c r="C225" t="s">
        <v>165</v>
      </c>
      <c r="D225" s="188">
        <v>-16153.157091614201</v>
      </c>
      <c r="H225" s="189">
        <v>-16125.014581522601</v>
      </c>
      <c r="I225" s="167">
        <f t="shared" si="8"/>
        <v>-28.142510091600343</v>
      </c>
      <c r="J225" s="174">
        <f t="shared" si="9"/>
        <v>28.142510091600343</v>
      </c>
    </row>
    <row r="226" spans="1:10">
      <c r="A226">
        <v>222</v>
      </c>
      <c r="B226" s="1">
        <v>74</v>
      </c>
      <c r="C226" t="s">
        <v>166</v>
      </c>
      <c r="D226" s="188">
        <v>-16151.354411922999</v>
      </c>
      <c r="H226" s="189">
        <v>-16123.140366091642</v>
      </c>
      <c r="I226" s="167">
        <f t="shared" si="8"/>
        <v>-28.214045831356998</v>
      </c>
      <c r="J226" s="174">
        <f t="shared" si="9"/>
        <v>28.214045831356998</v>
      </c>
    </row>
    <row r="227" spans="1:10">
      <c r="A227">
        <v>223</v>
      </c>
      <c r="B227" s="1">
        <v>74</v>
      </c>
      <c r="C227" t="s">
        <v>167</v>
      </c>
      <c r="D227" s="188">
        <v>-16149.0397806333</v>
      </c>
      <c r="H227" s="189">
        <v>-16120.825158794574</v>
      </c>
      <c r="I227" s="167">
        <f t="shared" si="8"/>
        <v>-28.214621838726089</v>
      </c>
      <c r="J227" s="174">
        <f t="shared" si="9"/>
        <v>28.214621838726089</v>
      </c>
    </row>
    <row r="228" spans="1:10">
      <c r="A228">
        <v>224</v>
      </c>
      <c r="B228" s="1">
        <v>75</v>
      </c>
      <c r="C228" t="s">
        <v>168</v>
      </c>
      <c r="D228" s="188">
        <v>-16707.323911042498</v>
      </c>
      <c r="H228" s="189">
        <v>-16677.944882977506</v>
      </c>
      <c r="I228" s="167">
        <f t="shared" si="8"/>
        <v>-29.379028064991871</v>
      </c>
      <c r="J228" s="174">
        <f t="shared" si="9"/>
        <v>29.379028064991871</v>
      </c>
    </row>
    <row r="229" spans="1:10">
      <c r="A229">
        <v>225</v>
      </c>
      <c r="B229" s="1">
        <v>75</v>
      </c>
      <c r="C229" t="s">
        <v>169</v>
      </c>
      <c r="D229" s="188">
        <v>-16706.784847972001</v>
      </c>
      <c r="H229" s="189">
        <v>-16677.393643144871</v>
      </c>
      <c r="I229" s="167">
        <f t="shared" si="8"/>
        <v>-29.391204827130423</v>
      </c>
      <c r="J229" s="174">
        <f t="shared" si="9"/>
        <v>29.391204827130423</v>
      </c>
    </row>
    <row r="230" spans="1:10">
      <c r="A230">
        <v>226</v>
      </c>
      <c r="B230" s="1">
        <v>75</v>
      </c>
      <c r="C230" t="s">
        <v>170</v>
      </c>
      <c r="D230" s="188">
        <v>-16705.8450200021</v>
      </c>
      <c r="H230" s="189">
        <v>-16676.401411446128</v>
      </c>
      <c r="I230" s="167">
        <f t="shared" si="8"/>
        <v>-29.443608555971878</v>
      </c>
      <c r="J230" s="174">
        <f t="shared" si="9"/>
        <v>29.443608555971878</v>
      </c>
    </row>
    <row r="231" spans="1:10">
      <c r="A231">
        <v>227</v>
      </c>
      <c r="B231" s="1">
        <v>75</v>
      </c>
      <c r="C231" t="s">
        <v>171</v>
      </c>
      <c r="D231" s="188">
        <v>-16704.448235495802</v>
      </c>
      <c r="H231" s="189">
        <v>-16674.968187881277</v>
      </c>
      <c r="I231" s="167">
        <f t="shared" si="8"/>
        <v>-29.480047614524665</v>
      </c>
      <c r="J231" s="174">
        <f t="shared" si="9"/>
        <v>29.480047614524665</v>
      </c>
    </row>
    <row r="232" spans="1:10">
      <c r="A232">
        <v>228</v>
      </c>
      <c r="B232" s="1">
        <v>75</v>
      </c>
      <c r="C232" t="s">
        <v>172</v>
      </c>
      <c r="D232" s="188">
        <v>-16702.557872781101</v>
      </c>
      <c r="H232" s="189">
        <v>-16673.057223128144</v>
      </c>
      <c r="I232" s="167">
        <f t="shared" si="8"/>
        <v>-29.500649652956781</v>
      </c>
      <c r="J232" s="174">
        <f t="shared" si="9"/>
        <v>29.500649652956781</v>
      </c>
    </row>
    <row r="233" spans="1:10">
      <c r="A233">
        <v>229</v>
      </c>
      <c r="B233" s="1">
        <v>75</v>
      </c>
      <c r="C233" t="s">
        <v>173</v>
      </c>
      <c r="D233" s="188">
        <v>-16700.1423866474</v>
      </c>
      <c r="H233" s="189">
        <v>-16670.595018542375</v>
      </c>
      <c r="I233" s="167">
        <f t="shared" si="8"/>
        <v>-29.547368105024361</v>
      </c>
      <c r="J233" s="174">
        <f t="shared" si="9"/>
        <v>29.547368105024361</v>
      </c>
    </row>
    <row r="234" spans="1:10">
      <c r="A234">
        <v>230</v>
      </c>
      <c r="B234" s="1">
        <v>75</v>
      </c>
      <c r="C234" t="s">
        <v>174</v>
      </c>
      <c r="D234" s="188">
        <v>-16697.173764118699</v>
      </c>
      <c r="H234" s="189">
        <v>-16667.581574123971</v>
      </c>
      <c r="I234" s="167">
        <f t="shared" si="8"/>
        <v>-29.59218999472796</v>
      </c>
      <c r="J234" s="174">
        <f t="shared" si="9"/>
        <v>29.59218999472796</v>
      </c>
    </row>
    <row r="235" spans="1:10">
      <c r="A235">
        <v>231</v>
      </c>
      <c r="B235" s="1">
        <v>76</v>
      </c>
      <c r="C235" t="s">
        <v>175</v>
      </c>
      <c r="D235" s="188">
        <v>-17270.761388208899</v>
      </c>
      <c r="H235" s="189">
        <v>-17239.915517687619</v>
      </c>
      <c r="I235" s="167">
        <f t="shared" si="8"/>
        <v>-30.845870521279721</v>
      </c>
      <c r="J235" s="174">
        <f t="shared" si="9"/>
        <v>30.845870521279721</v>
      </c>
    </row>
    <row r="236" spans="1:10">
      <c r="A236">
        <v>232</v>
      </c>
      <c r="B236" s="1">
        <v>76</v>
      </c>
      <c r="C236" t="s">
        <v>176</v>
      </c>
      <c r="D236" s="188">
        <v>-17270.2028477491</v>
      </c>
      <c r="H236" s="189">
        <v>-17239.327528532809</v>
      </c>
      <c r="I236" s="167">
        <f t="shared" si="8"/>
        <v>-30.875319216291246</v>
      </c>
      <c r="J236" s="174">
        <f t="shared" si="9"/>
        <v>30.875319216291246</v>
      </c>
    </row>
    <row r="237" spans="1:10">
      <c r="A237">
        <v>233</v>
      </c>
      <c r="B237" s="1">
        <v>76</v>
      </c>
      <c r="C237" t="s">
        <v>177</v>
      </c>
      <c r="D237" s="188">
        <v>-17269.203524893899</v>
      </c>
      <c r="H237" s="189">
        <v>-17238.408795478419</v>
      </c>
      <c r="I237" s="167">
        <f t="shared" si="8"/>
        <v>-30.794729415480106</v>
      </c>
      <c r="J237" s="174">
        <f t="shared" si="9"/>
        <v>30.794729415480106</v>
      </c>
    </row>
    <row r="238" spans="1:10">
      <c r="A238">
        <v>234</v>
      </c>
      <c r="B238" s="1">
        <v>76</v>
      </c>
      <c r="C238" t="s">
        <v>178</v>
      </c>
      <c r="D238" s="188">
        <v>-17267.732651460599</v>
      </c>
      <c r="H238" s="189">
        <v>-17236.902073269219</v>
      </c>
      <c r="I238" s="167">
        <f t="shared" si="8"/>
        <v>-30.830578191380482</v>
      </c>
      <c r="J238" s="174">
        <f t="shared" si="9"/>
        <v>30.830578191380482</v>
      </c>
    </row>
    <row r="239" spans="1:10">
      <c r="A239">
        <v>235</v>
      </c>
      <c r="B239" s="1">
        <v>76</v>
      </c>
      <c r="C239" t="s">
        <v>179</v>
      </c>
      <c r="D239" s="188">
        <v>-17265.754389074598</v>
      </c>
      <c r="H239" s="189">
        <v>-17234.880860549558</v>
      </c>
      <c r="I239" s="167">
        <f t="shared" si="8"/>
        <v>-30.873528525040456</v>
      </c>
      <c r="J239" s="174">
        <f t="shared" si="9"/>
        <v>30.873528525040456</v>
      </c>
    </row>
    <row r="240" spans="1:10">
      <c r="A240">
        <v>236</v>
      </c>
      <c r="B240" s="1">
        <v>76</v>
      </c>
      <c r="C240" t="s">
        <v>180</v>
      </c>
      <c r="D240" s="188">
        <v>-17263.237623487999</v>
      </c>
      <c r="H240" s="189">
        <v>-17232.308407997261</v>
      </c>
      <c r="I240" s="167">
        <f t="shared" si="8"/>
        <v>-30.929215490737988</v>
      </c>
      <c r="J240" s="174">
        <f t="shared" si="9"/>
        <v>30.929215490737988</v>
      </c>
    </row>
    <row r="241" spans="1:10">
      <c r="A241">
        <v>237</v>
      </c>
      <c r="B241" s="1">
        <v>76</v>
      </c>
      <c r="C241" t="s">
        <v>181</v>
      </c>
      <c r="D241" s="188">
        <v>-17260.154573325901</v>
      </c>
      <c r="H241" s="189">
        <v>-17229.184715612329</v>
      </c>
      <c r="I241" s="167">
        <f t="shared" si="8"/>
        <v>-30.9698577135714</v>
      </c>
      <c r="J241" s="174">
        <f t="shared" si="9"/>
        <v>30.9698577135714</v>
      </c>
    </row>
    <row r="242" spans="1:10">
      <c r="A242">
        <v>238</v>
      </c>
      <c r="B242" s="1">
        <v>76</v>
      </c>
      <c r="C242" t="s">
        <v>182</v>
      </c>
      <c r="D242" s="188">
        <v>-17256.479916139899</v>
      </c>
      <c r="H242" s="189">
        <v>-17225.473034072587</v>
      </c>
      <c r="I242" s="167">
        <f t="shared" si="8"/>
        <v>-31.006882067311381</v>
      </c>
      <c r="J242" s="174">
        <f t="shared" si="9"/>
        <v>31.006882067311381</v>
      </c>
    </row>
    <row r="243" spans="1:10">
      <c r="A243">
        <v>239</v>
      </c>
      <c r="B243" s="1">
        <v>77</v>
      </c>
      <c r="C243" t="s">
        <v>183</v>
      </c>
      <c r="D243" s="188">
        <v>-17846.478111480199</v>
      </c>
      <c r="H243" s="189">
        <v>-17814.123676682229</v>
      </c>
      <c r="I243" s="167">
        <f t="shared" ref="I243:I271" si="10">D243-H243</f>
        <v>-32.354434797969589</v>
      </c>
      <c r="J243" s="174">
        <f t="shared" ref="J243:J271" si="11">ABS(I243)</f>
        <v>32.354434797969589</v>
      </c>
    </row>
    <row r="244" spans="1:10">
      <c r="A244">
        <v>240</v>
      </c>
      <c r="B244" s="1">
        <v>77</v>
      </c>
      <c r="C244" t="s">
        <v>184</v>
      </c>
      <c r="D244" s="188">
        <v>-17845.900902352601</v>
      </c>
      <c r="H244" s="189">
        <v>-17813.535687527419</v>
      </c>
      <c r="I244" s="167">
        <f t="shared" si="10"/>
        <v>-32.365214825182193</v>
      </c>
      <c r="J244" s="174">
        <f t="shared" si="11"/>
        <v>32.365214825182193</v>
      </c>
    </row>
    <row r="245" spans="1:10">
      <c r="A245">
        <v>241</v>
      </c>
      <c r="B245" s="1">
        <v>77</v>
      </c>
      <c r="C245" t="s">
        <v>185</v>
      </c>
      <c r="D245" s="188">
        <v>-17844.8419763848</v>
      </c>
      <c r="H245" s="189">
        <v>-17812.506706506501</v>
      </c>
      <c r="I245" s="167">
        <f t="shared" si="10"/>
        <v>-32.335269878298277</v>
      </c>
      <c r="J245" s="174">
        <f t="shared" si="11"/>
        <v>32.335269878298277</v>
      </c>
    </row>
    <row r="246" spans="1:10">
      <c r="A246">
        <v>242</v>
      </c>
      <c r="B246" s="1">
        <v>77</v>
      </c>
      <c r="C246" t="s">
        <v>186</v>
      </c>
      <c r="D246" s="188">
        <v>-17843.296902361799</v>
      </c>
      <c r="H246" s="189">
        <v>-17811.036733619476</v>
      </c>
      <c r="I246" s="167">
        <f t="shared" si="10"/>
        <v>-32.260168742323003</v>
      </c>
      <c r="J246" s="174">
        <f t="shared" si="11"/>
        <v>32.260168742323003</v>
      </c>
    </row>
    <row r="247" spans="1:10">
      <c r="A247">
        <v>243</v>
      </c>
      <c r="B247" s="1">
        <v>77</v>
      </c>
      <c r="C247" t="s">
        <v>187</v>
      </c>
      <c r="D247" s="188">
        <v>-17841.230521938702</v>
      </c>
      <c r="H247" s="189">
        <v>-17808.942022255462</v>
      </c>
      <c r="I247" s="167">
        <f t="shared" si="10"/>
        <v>-32.288499683239934</v>
      </c>
      <c r="J247" s="174">
        <f t="shared" si="11"/>
        <v>32.288499683239934</v>
      </c>
    </row>
    <row r="248" spans="1:10">
      <c r="A248">
        <v>244</v>
      </c>
      <c r="B248" s="1">
        <v>77</v>
      </c>
      <c r="C248" t="s">
        <v>188</v>
      </c>
      <c r="D248" s="188">
        <v>-17838.612117516401</v>
      </c>
      <c r="H248" s="189">
        <v>-17806.296071058816</v>
      </c>
      <c r="I248" s="167">
        <f t="shared" si="10"/>
        <v>-32.316046457584889</v>
      </c>
      <c r="J248" s="174">
        <f t="shared" si="11"/>
        <v>32.316046457584889</v>
      </c>
    </row>
    <row r="249" spans="1:10">
      <c r="A249">
        <v>245</v>
      </c>
      <c r="B249" s="1">
        <v>78</v>
      </c>
      <c r="C249" t="s">
        <v>382</v>
      </c>
      <c r="D249" s="188">
        <v>-18433.9439667806</v>
      </c>
      <c r="H249" s="189">
        <v>-18400.054869450873</v>
      </c>
      <c r="I249" s="167">
        <f t="shared" si="10"/>
        <v>-33.88909732972752</v>
      </c>
      <c r="J249" s="174">
        <f t="shared" si="11"/>
        <v>33.88909732972752</v>
      </c>
    </row>
    <row r="250" spans="1:10">
      <c r="A250">
        <v>246</v>
      </c>
      <c r="B250" s="1">
        <v>78</v>
      </c>
      <c r="C250" t="s">
        <v>383</v>
      </c>
      <c r="D250" s="188">
        <v>-18431.2057492903</v>
      </c>
      <c r="H250" s="189">
        <v>-18397.408918254227</v>
      </c>
      <c r="I250" s="167">
        <f t="shared" si="10"/>
        <v>-33.796831036073854</v>
      </c>
      <c r="J250" s="174">
        <f t="shared" si="11"/>
        <v>33.796831036073854</v>
      </c>
    </row>
    <row r="251" spans="1:10">
      <c r="A251">
        <v>247</v>
      </c>
      <c r="B251" s="1">
        <v>78</v>
      </c>
      <c r="C251" t="s">
        <v>189</v>
      </c>
      <c r="D251" s="188">
        <v>-18429.0510048387</v>
      </c>
      <c r="H251" s="189">
        <v>-18395.350956212391</v>
      </c>
      <c r="I251" s="167">
        <f t="shared" si="10"/>
        <v>-33.700048626309581</v>
      </c>
      <c r="J251" s="174">
        <f t="shared" si="11"/>
        <v>33.700048626309581</v>
      </c>
    </row>
    <row r="252" spans="1:10">
      <c r="A252">
        <v>248</v>
      </c>
      <c r="B252" s="1">
        <v>78</v>
      </c>
      <c r="C252" t="s">
        <v>190</v>
      </c>
      <c r="D252" s="188">
        <v>-18426.330621632202</v>
      </c>
      <c r="H252" s="189">
        <v>-18392.594757049217</v>
      </c>
      <c r="I252" s="167">
        <f t="shared" si="10"/>
        <v>-33.735864582984505</v>
      </c>
      <c r="J252" s="174">
        <f t="shared" si="11"/>
        <v>33.735864582984505</v>
      </c>
    </row>
    <row r="253" spans="1:10">
      <c r="A253">
        <v>249</v>
      </c>
      <c r="B253" s="1">
        <v>79</v>
      </c>
      <c r="C253" t="s">
        <v>191</v>
      </c>
      <c r="D253" s="188">
        <v>-19035.272111672199</v>
      </c>
      <c r="H253" s="189">
        <v>-18999.693559391035</v>
      </c>
      <c r="I253" s="167">
        <f t="shared" si="10"/>
        <v>-35.578552281163866</v>
      </c>
      <c r="J253" s="174">
        <f t="shared" si="11"/>
        <v>35.578552281163866</v>
      </c>
    </row>
    <row r="254" spans="1:10">
      <c r="A254">
        <v>250</v>
      </c>
      <c r="B254" s="1">
        <v>79</v>
      </c>
      <c r="C254" t="s">
        <v>192</v>
      </c>
      <c r="D254" s="188">
        <v>-19034.568464217999</v>
      </c>
      <c r="H254" s="189">
        <v>-18998.995322269697</v>
      </c>
      <c r="I254" s="167">
        <f t="shared" si="10"/>
        <v>-35.573141948301782</v>
      </c>
      <c r="J254" s="174">
        <f t="shared" si="11"/>
        <v>35.573141948301782</v>
      </c>
    </row>
    <row r="255" spans="1:10">
      <c r="A255">
        <v>251</v>
      </c>
      <c r="B255" s="1">
        <v>79</v>
      </c>
      <c r="C255" t="s">
        <v>193</v>
      </c>
      <c r="D255" s="188">
        <v>-19033.389571620599</v>
      </c>
      <c r="H255" s="189">
        <v>-18997.892842604429</v>
      </c>
      <c r="I255" s="167">
        <f t="shared" si="10"/>
        <v>-35.496729016169411</v>
      </c>
      <c r="J255" s="174">
        <f t="shared" si="11"/>
        <v>35.496729016169411</v>
      </c>
    </row>
    <row r="256" spans="1:10">
      <c r="A256">
        <v>252</v>
      </c>
      <c r="B256" s="1">
        <v>79</v>
      </c>
      <c r="C256" t="s">
        <v>384</v>
      </c>
      <c r="D256" s="188">
        <v>-19029.452070273699</v>
      </c>
      <c r="H256" s="189">
        <v>-18994.034163775985</v>
      </c>
      <c r="I256" s="167">
        <f t="shared" si="10"/>
        <v>-35.417906497714284</v>
      </c>
      <c r="J256" s="174">
        <f t="shared" si="11"/>
        <v>35.417906497714284</v>
      </c>
    </row>
    <row r="257" spans="1:10">
      <c r="A257">
        <v>253</v>
      </c>
      <c r="B257" s="1">
        <v>80</v>
      </c>
      <c r="C257" t="s">
        <v>194</v>
      </c>
      <c r="D257" s="188">
        <v>-19648.580820691299</v>
      </c>
      <c r="H257" s="189">
        <v>-19611.31252836046</v>
      </c>
      <c r="I257" s="167">
        <f t="shared" si="10"/>
        <v>-37.268292330838449</v>
      </c>
      <c r="J257" s="174">
        <f t="shared" si="11"/>
        <v>37.268292330838449</v>
      </c>
    </row>
    <row r="258" spans="1:10">
      <c r="A258">
        <v>254</v>
      </c>
      <c r="B258" s="1">
        <v>80</v>
      </c>
      <c r="C258" t="s">
        <v>195</v>
      </c>
      <c r="D258" s="188">
        <v>-19647.950867849398</v>
      </c>
      <c r="H258" s="189">
        <v>-19610.687789883475</v>
      </c>
      <c r="I258" s="167">
        <f t="shared" si="10"/>
        <v>-37.263077965923003</v>
      </c>
      <c r="J258" s="174">
        <f t="shared" si="11"/>
        <v>37.263077965923003</v>
      </c>
    </row>
    <row r="259" spans="1:10">
      <c r="A259">
        <v>255</v>
      </c>
      <c r="B259" s="1">
        <v>81</v>
      </c>
      <c r="C259" t="s">
        <v>196</v>
      </c>
      <c r="D259" s="188">
        <v>-20274.657048657002</v>
      </c>
      <c r="H259" s="189">
        <v>-20235.720261447015</v>
      </c>
      <c r="I259" s="167">
        <f t="shared" si="10"/>
        <v>-38.936787209986505</v>
      </c>
      <c r="J259" s="174">
        <f t="shared" si="11"/>
        <v>38.936787209986505</v>
      </c>
    </row>
    <row r="260" spans="1:10">
      <c r="A260">
        <v>256</v>
      </c>
      <c r="B260" s="1">
        <v>81</v>
      </c>
      <c r="C260" t="s">
        <v>385</v>
      </c>
      <c r="D260" s="188">
        <v>-20272.9445565346</v>
      </c>
      <c r="H260" s="189">
        <v>-20233.993043304759</v>
      </c>
      <c r="I260" s="167">
        <f t="shared" si="10"/>
        <v>-38.951513229840202</v>
      </c>
      <c r="J260" s="174">
        <f t="shared" si="11"/>
        <v>38.951513229840202</v>
      </c>
    </row>
    <row r="261" spans="1:10">
      <c r="A261">
        <v>257</v>
      </c>
      <c r="B261" s="1">
        <v>82</v>
      </c>
      <c r="C261" t="s">
        <v>386</v>
      </c>
      <c r="D261" s="188">
        <v>-20912.986322562701</v>
      </c>
      <c r="H261" s="189">
        <v>-20872.292020173711</v>
      </c>
      <c r="I261" s="167">
        <f t="shared" si="10"/>
        <v>-40.694302388990764</v>
      </c>
      <c r="J261" s="174">
        <f t="shared" si="11"/>
        <v>40.694302388990764</v>
      </c>
    </row>
    <row r="262" spans="1:10">
      <c r="A262">
        <v>258</v>
      </c>
      <c r="B262" s="1">
        <v>82</v>
      </c>
      <c r="C262" t="s">
        <v>387</v>
      </c>
      <c r="D262" s="188">
        <v>-20910.397383968699</v>
      </c>
      <c r="H262" s="189">
        <v>-20869.682818299239</v>
      </c>
      <c r="I262" s="167">
        <f t="shared" si="10"/>
        <v>-40.714565669459262</v>
      </c>
      <c r="J262" s="174">
        <f t="shared" si="11"/>
        <v>40.714565669459262</v>
      </c>
    </row>
    <row r="263" spans="1:10">
      <c r="A263">
        <v>259</v>
      </c>
      <c r="B263" s="1">
        <v>83</v>
      </c>
      <c r="C263" t="s">
        <v>388</v>
      </c>
      <c r="D263" s="188">
        <v>-21564.000641911101</v>
      </c>
      <c r="H263" s="189">
        <v>-21521.468796406658</v>
      </c>
      <c r="I263" s="167">
        <f t="shared" si="10"/>
        <v>-42.531845504443481</v>
      </c>
      <c r="J263" s="174">
        <f t="shared" si="11"/>
        <v>42.531845504443481</v>
      </c>
    </row>
    <row r="264" spans="1:10">
      <c r="A264">
        <v>260</v>
      </c>
      <c r="B264" s="1">
        <v>83</v>
      </c>
      <c r="C264" t="s">
        <v>389</v>
      </c>
      <c r="D264" s="188">
        <v>-21560.438187848998</v>
      </c>
      <c r="H264" s="189">
        <v>-21517.904112155618</v>
      </c>
      <c r="I264" s="167">
        <f t="shared" si="10"/>
        <v>-42.534075693380146</v>
      </c>
      <c r="J264" s="174">
        <f t="shared" si="11"/>
        <v>42.534075693380146</v>
      </c>
    </row>
    <row r="265" spans="1:10">
      <c r="A265">
        <v>261</v>
      </c>
      <c r="B265" s="1">
        <v>84</v>
      </c>
      <c r="C265" t="s">
        <v>390</v>
      </c>
      <c r="D265" s="188">
        <v>-22229.970036430401</v>
      </c>
      <c r="H265" s="189">
        <v>-22185.749544053797</v>
      </c>
      <c r="I265" s="167">
        <f t="shared" si="10"/>
        <v>-44.220492376603943</v>
      </c>
      <c r="J265" s="174">
        <f t="shared" si="11"/>
        <v>44.220492376603943</v>
      </c>
    </row>
    <row r="266" spans="1:10">
      <c r="A266">
        <v>262</v>
      </c>
      <c r="B266" s="1">
        <v>84</v>
      </c>
      <c r="C266" t="s">
        <v>391</v>
      </c>
      <c r="D266" s="188">
        <v>-22227.785366448999</v>
      </c>
      <c r="H266" s="189">
        <v>-22183.434336756731</v>
      </c>
      <c r="I266" s="167">
        <f t="shared" si="10"/>
        <v>-44.351029692268639</v>
      </c>
      <c r="J266" s="174">
        <f t="shared" si="11"/>
        <v>44.351029692268639</v>
      </c>
    </row>
    <row r="267" spans="1:10">
      <c r="A267">
        <v>263</v>
      </c>
      <c r="B267" s="1">
        <v>84</v>
      </c>
      <c r="C267" t="s">
        <v>392</v>
      </c>
      <c r="D267" s="188">
        <v>-22223.158822050798</v>
      </c>
      <c r="H267" s="189">
        <v>-22178.803922162599</v>
      </c>
      <c r="I267" s="167">
        <f t="shared" si="10"/>
        <v>-44.354899888199725</v>
      </c>
      <c r="J267" s="174">
        <f t="shared" si="11"/>
        <v>44.354899888199725</v>
      </c>
    </row>
    <row r="268" spans="1:10">
      <c r="A268">
        <v>264</v>
      </c>
      <c r="B268" s="1">
        <v>85</v>
      </c>
      <c r="C268" t="s">
        <v>197</v>
      </c>
      <c r="D268" s="188">
        <v>-22909.3710757921</v>
      </c>
      <c r="H268" s="189">
        <v>-22863.002802428942</v>
      </c>
      <c r="I268" s="167">
        <f t="shared" si="10"/>
        <v>-46.368273363157641</v>
      </c>
      <c r="J268" s="174">
        <f t="shared" si="11"/>
        <v>46.368273363157641</v>
      </c>
    </row>
    <row r="269" spans="1:10">
      <c r="A269">
        <v>265</v>
      </c>
      <c r="B269" s="1">
        <v>85</v>
      </c>
      <c r="C269" t="s">
        <v>393</v>
      </c>
      <c r="D269" s="188">
        <v>-22907.709283331998</v>
      </c>
      <c r="H269" s="189">
        <v>-22861.459330897564</v>
      </c>
      <c r="I269" s="167">
        <f t="shared" si="10"/>
        <v>-46.249952434434817</v>
      </c>
      <c r="J269" s="174">
        <f t="shared" si="11"/>
        <v>46.249952434434817</v>
      </c>
    </row>
    <row r="270" spans="1:10">
      <c r="A270">
        <v>266</v>
      </c>
      <c r="B270" s="1">
        <v>85</v>
      </c>
      <c r="C270" t="s">
        <v>394</v>
      </c>
      <c r="D270" s="188">
        <v>-22904.639352227201</v>
      </c>
      <c r="H270" s="189">
        <v>-22858.188641223933</v>
      </c>
      <c r="I270" s="167">
        <f t="shared" si="10"/>
        <v>-46.450711003268225</v>
      </c>
      <c r="J270" s="174">
        <f t="shared" si="11"/>
        <v>46.450711003268225</v>
      </c>
    </row>
    <row r="271" spans="1:10">
      <c r="A271">
        <v>267</v>
      </c>
      <c r="B271" s="1">
        <v>85</v>
      </c>
      <c r="C271" t="s">
        <v>395</v>
      </c>
      <c r="D271" s="188">
        <v>-22898.8623412573</v>
      </c>
      <c r="H271" s="189">
        <v>-22852.418997642355</v>
      </c>
      <c r="I271" s="167">
        <f t="shared" si="10"/>
        <v>-46.443343614944752</v>
      </c>
      <c r="J271" s="174">
        <f t="shared" si="11"/>
        <v>46.443343614944752</v>
      </c>
    </row>
    <row r="272" spans="1:10">
      <c r="A272">
        <v>268</v>
      </c>
      <c r="B272" s="1">
        <v>85</v>
      </c>
      <c r="C272" t="s">
        <v>396</v>
      </c>
      <c r="D272" s="188">
        <v>-22909.8253646831</v>
      </c>
      <c r="H272" s="189"/>
      <c r="J272" s="174"/>
    </row>
    <row r="273" spans="1:10">
      <c r="A273">
        <v>269</v>
      </c>
      <c r="B273" s="1">
        <v>87</v>
      </c>
      <c r="C273" t="s">
        <v>198</v>
      </c>
      <c r="D273" s="188">
        <v>-24308.097124233998</v>
      </c>
      <c r="H273" s="189">
        <v>-24257.492581706349</v>
      </c>
      <c r="I273" s="167">
        <f t="shared" ref="I273:I321" si="12">D273-H273</f>
        <v>-50.604542527649755</v>
      </c>
      <c r="J273" s="174">
        <f t="shared" ref="J273:J321" si="13">ABS(I273)</f>
        <v>50.604542527649755</v>
      </c>
    </row>
    <row r="274" spans="1:10">
      <c r="A274">
        <v>270</v>
      </c>
      <c r="B274" s="1">
        <v>88</v>
      </c>
      <c r="C274" t="s">
        <v>397</v>
      </c>
      <c r="D274" s="188">
        <v>-25027.735840823301</v>
      </c>
      <c r="H274" s="189">
        <v>-24974.912849219483</v>
      </c>
      <c r="I274" s="167">
        <f t="shared" si="12"/>
        <v>-52.822991603818082</v>
      </c>
      <c r="J274" s="174">
        <f t="shared" si="13"/>
        <v>52.822991603818082</v>
      </c>
    </row>
    <row r="275" spans="1:10">
      <c r="A275">
        <v>271</v>
      </c>
      <c r="B275" s="1">
        <v>89</v>
      </c>
      <c r="C275" t="s">
        <v>398</v>
      </c>
      <c r="D275" s="188">
        <v>-25761.0909244549</v>
      </c>
      <c r="H275" s="189">
        <v>-25706.224360515018</v>
      </c>
      <c r="I275" s="167">
        <f t="shared" si="12"/>
        <v>-54.866563939882326</v>
      </c>
      <c r="J275" s="174">
        <f t="shared" si="13"/>
        <v>54.866563939882326</v>
      </c>
    </row>
    <row r="276" spans="1:10">
      <c r="A276">
        <v>272</v>
      </c>
      <c r="B276" s="1">
        <v>90</v>
      </c>
      <c r="C276" t="s">
        <v>399</v>
      </c>
      <c r="D276" s="188">
        <v>-26509.848581469902</v>
      </c>
      <c r="H276" s="189">
        <v>-26452.676592546923</v>
      </c>
      <c r="I276" s="167">
        <f t="shared" si="12"/>
        <v>-57.171988922978926</v>
      </c>
      <c r="J276" s="174">
        <f t="shared" si="13"/>
        <v>57.171988922978926</v>
      </c>
    </row>
    <row r="277" spans="1:10">
      <c r="A277">
        <v>273</v>
      </c>
      <c r="B277" s="1">
        <v>90</v>
      </c>
      <c r="C277" t="s">
        <v>199</v>
      </c>
      <c r="D277" s="188">
        <v>-26509.238670864401</v>
      </c>
      <c r="H277" s="189">
        <v>-26452.015104747759</v>
      </c>
      <c r="I277" s="167">
        <f t="shared" si="12"/>
        <v>-57.22356611664145</v>
      </c>
      <c r="J277" s="174">
        <f t="shared" si="13"/>
        <v>57.22356611664145</v>
      </c>
    </row>
    <row r="278" spans="1:10">
      <c r="A278">
        <v>274</v>
      </c>
      <c r="B278" s="1">
        <v>90</v>
      </c>
      <c r="C278" t="s">
        <v>200</v>
      </c>
      <c r="D278" s="188">
        <v>-26508.2670971144</v>
      </c>
      <c r="H278" s="189">
        <v>-26451.022873049016</v>
      </c>
      <c r="I278" s="167">
        <f t="shared" si="12"/>
        <v>-57.244224065383605</v>
      </c>
      <c r="J278" s="174">
        <f t="shared" si="13"/>
        <v>57.244224065383605</v>
      </c>
    </row>
    <row r="279" spans="1:10">
      <c r="A279">
        <v>275</v>
      </c>
      <c r="B279" s="1">
        <v>91</v>
      </c>
      <c r="C279" t="s">
        <v>400</v>
      </c>
      <c r="D279" s="188">
        <v>-27272.997960174798</v>
      </c>
      <c r="H279" s="189">
        <v>-27213.056817683399</v>
      </c>
      <c r="I279" s="167">
        <f t="shared" si="12"/>
        <v>-59.94114249139966</v>
      </c>
      <c r="J279" s="174">
        <f t="shared" si="13"/>
        <v>59.94114249139966</v>
      </c>
    </row>
    <row r="280" spans="1:10">
      <c r="A280">
        <v>276</v>
      </c>
      <c r="B280" s="1">
        <v>91</v>
      </c>
      <c r="C280" t="s">
        <v>201</v>
      </c>
      <c r="D280" s="188">
        <v>-27271.966653805499</v>
      </c>
      <c r="H280" s="189">
        <v>-27211.954338018131</v>
      </c>
      <c r="I280" s="167">
        <f t="shared" si="12"/>
        <v>-60.012315787367697</v>
      </c>
      <c r="J280" s="174">
        <f t="shared" si="13"/>
        <v>60.012315787367697</v>
      </c>
    </row>
    <row r="281" spans="1:10">
      <c r="A281">
        <v>277</v>
      </c>
      <c r="B281" s="1">
        <v>91</v>
      </c>
      <c r="C281" t="s">
        <v>202</v>
      </c>
      <c r="D281" s="188">
        <v>-27270.400705606899</v>
      </c>
      <c r="H281" s="189">
        <v>-27210.374117164578</v>
      </c>
      <c r="I281" s="167">
        <f t="shared" si="12"/>
        <v>-60.026588442320644</v>
      </c>
      <c r="J281" s="174">
        <f t="shared" si="13"/>
        <v>60.026588442320644</v>
      </c>
    </row>
    <row r="282" spans="1:10">
      <c r="A282">
        <v>278</v>
      </c>
      <c r="B282" s="1">
        <v>92</v>
      </c>
      <c r="C282" t="s">
        <v>401</v>
      </c>
      <c r="D282" s="188">
        <v>-28050.965100302401</v>
      </c>
      <c r="H282" s="189">
        <v>-27989.018755422356</v>
      </c>
      <c r="I282" s="167">
        <f t="shared" si="12"/>
        <v>-61.946344880045217</v>
      </c>
      <c r="J282" s="174">
        <f t="shared" si="13"/>
        <v>61.946344880045217</v>
      </c>
    </row>
    <row r="283" spans="1:10">
      <c r="A283">
        <v>279</v>
      </c>
      <c r="B283" s="1">
        <v>92</v>
      </c>
      <c r="C283" t="s">
        <v>203</v>
      </c>
      <c r="D283" s="188">
        <v>-28049.878155115101</v>
      </c>
      <c r="H283" s="189">
        <v>-27987.87952643491</v>
      </c>
      <c r="I283" s="167">
        <f t="shared" si="12"/>
        <v>-61.99862868019045</v>
      </c>
      <c r="J283" s="174">
        <f t="shared" si="13"/>
        <v>61.99862868019045</v>
      </c>
    </row>
    <row r="284" spans="1:10">
      <c r="A284">
        <v>280</v>
      </c>
      <c r="B284" s="1">
        <v>92</v>
      </c>
      <c r="C284" t="s">
        <v>204</v>
      </c>
      <c r="D284" s="188">
        <v>-28048.243688647501</v>
      </c>
      <c r="H284" s="189">
        <v>-27986.189057614829</v>
      </c>
      <c r="I284" s="167">
        <f t="shared" si="12"/>
        <v>-62.05463103267175</v>
      </c>
      <c r="J284" s="174">
        <f t="shared" si="13"/>
        <v>62.05463103267175</v>
      </c>
    </row>
    <row r="285" spans="1:10">
      <c r="A285">
        <v>281</v>
      </c>
      <c r="B285" s="1">
        <v>92</v>
      </c>
      <c r="C285" t="s">
        <v>205</v>
      </c>
      <c r="D285" s="188">
        <v>-28046.018102415299</v>
      </c>
      <c r="H285" s="189">
        <v>-27983.947348962116</v>
      </c>
      <c r="I285" s="167">
        <f t="shared" si="12"/>
        <v>-62.070753453182988</v>
      </c>
      <c r="J285" s="174">
        <f t="shared" si="13"/>
        <v>62.070753453182988</v>
      </c>
    </row>
    <row r="286" spans="1:10">
      <c r="A286">
        <v>282</v>
      </c>
      <c r="B286" s="1">
        <v>93</v>
      </c>
      <c r="C286" t="s">
        <v>402</v>
      </c>
      <c r="D286" s="188">
        <v>-28845.559999030502</v>
      </c>
      <c r="H286" s="189">
        <v>-28780.599155085962</v>
      </c>
      <c r="I286" s="167">
        <f t="shared" si="12"/>
        <v>-64.960843944540102</v>
      </c>
      <c r="J286" s="174">
        <f t="shared" si="13"/>
        <v>64.960843944540102</v>
      </c>
    </row>
    <row r="287" spans="1:10">
      <c r="A287">
        <v>283</v>
      </c>
      <c r="B287" s="1">
        <v>93</v>
      </c>
      <c r="C287" t="s">
        <v>206</v>
      </c>
      <c r="D287" s="188">
        <v>-28844.420613371702</v>
      </c>
      <c r="H287" s="189">
        <v>-28779.423176776341</v>
      </c>
      <c r="I287" s="167">
        <f t="shared" si="12"/>
        <v>-64.997436595360341</v>
      </c>
      <c r="J287" s="174">
        <f t="shared" si="13"/>
        <v>64.997436595360341</v>
      </c>
    </row>
    <row r="288" spans="1:10">
      <c r="A288">
        <v>284</v>
      </c>
      <c r="B288" s="1">
        <v>93</v>
      </c>
      <c r="C288" t="s">
        <v>207</v>
      </c>
      <c r="D288" s="188">
        <v>-28842.720908352901</v>
      </c>
      <c r="H288" s="189">
        <v>-28777.659209311911</v>
      </c>
      <c r="I288" s="167">
        <f t="shared" si="12"/>
        <v>-65.061699040990788</v>
      </c>
      <c r="J288" s="174">
        <f t="shared" si="13"/>
        <v>65.061699040990788</v>
      </c>
    </row>
    <row r="289" spans="1:10">
      <c r="A289">
        <v>285</v>
      </c>
      <c r="B289" s="1">
        <v>93</v>
      </c>
      <c r="C289" t="s">
        <v>208</v>
      </c>
      <c r="D289" s="188">
        <v>-28840.417845104301</v>
      </c>
      <c r="H289" s="189">
        <v>-28775.270503370491</v>
      </c>
      <c r="I289" s="167">
        <f t="shared" si="12"/>
        <v>-65.147341733809299</v>
      </c>
      <c r="J289" s="174">
        <f t="shared" si="13"/>
        <v>65.147341733809299</v>
      </c>
    </row>
    <row r="290" spans="1:10">
      <c r="A290">
        <v>286</v>
      </c>
      <c r="B290" s="1">
        <v>93</v>
      </c>
      <c r="C290" t="s">
        <v>209</v>
      </c>
      <c r="D290" s="188">
        <v>-28837.473741534701</v>
      </c>
      <c r="H290" s="189">
        <v>-28772.293808274266</v>
      </c>
      <c r="I290" s="167">
        <f t="shared" si="12"/>
        <v>-65.179933260435064</v>
      </c>
      <c r="J290" s="174">
        <f t="shared" si="13"/>
        <v>65.179933260435064</v>
      </c>
    </row>
    <row r="291" spans="1:10">
      <c r="A291">
        <v>287</v>
      </c>
      <c r="B291" s="1">
        <v>94</v>
      </c>
      <c r="C291" t="s">
        <v>403</v>
      </c>
      <c r="D291" s="188">
        <v>-29654.797874473999</v>
      </c>
      <c r="H291" s="189">
        <v>-29587.687768707699</v>
      </c>
      <c r="I291" s="167">
        <f t="shared" si="12"/>
        <v>-67.110105766299966</v>
      </c>
      <c r="J291" s="174">
        <f t="shared" si="13"/>
        <v>67.110105766299966</v>
      </c>
    </row>
    <row r="292" spans="1:10">
      <c r="A292">
        <v>288</v>
      </c>
      <c r="B292" s="1">
        <v>94</v>
      </c>
      <c r="C292" t="s">
        <v>210</v>
      </c>
      <c r="D292" s="188">
        <v>-29653.6085899932</v>
      </c>
      <c r="H292" s="189">
        <v>-29586.475041075901</v>
      </c>
      <c r="I292" s="167">
        <f t="shared" si="12"/>
        <v>-67.133548917299777</v>
      </c>
      <c r="J292" s="174">
        <f t="shared" si="13"/>
        <v>67.133548917299777</v>
      </c>
    </row>
    <row r="293" spans="1:10">
      <c r="A293">
        <v>289</v>
      </c>
      <c r="B293" s="1">
        <v>94</v>
      </c>
      <c r="C293" t="s">
        <v>211</v>
      </c>
      <c r="D293" s="188">
        <v>-29651.846337958999</v>
      </c>
      <c r="H293" s="189">
        <v>-29584.674324289295</v>
      </c>
      <c r="I293" s="167">
        <f t="shared" si="12"/>
        <v>-67.172013669704029</v>
      </c>
      <c r="J293" s="174">
        <f t="shared" si="13"/>
        <v>67.172013669704029</v>
      </c>
    </row>
    <row r="294" spans="1:10">
      <c r="A294">
        <v>290</v>
      </c>
      <c r="B294" s="1">
        <v>94</v>
      </c>
      <c r="C294" t="s">
        <v>212</v>
      </c>
      <c r="D294" s="188">
        <v>-29649.468538092398</v>
      </c>
      <c r="H294" s="189">
        <v>-29582.212119703527</v>
      </c>
      <c r="I294" s="167">
        <f t="shared" si="12"/>
        <v>-67.25641838887168</v>
      </c>
      <c r="J294" s="174">
        <f t="shared" si="13"/>
        <v>67.25641838887168</v>
      </c>
    </row>
    <row r="295" spans="1:10">
      <c r="A295">
        <v>291</v>
      </c>
      <c r="B295" s="1">
        <v>94</v>
      </c>
      <c r="C295" t="s">
        <v>213</v>
      </c>
      <c r="D295" s="188">
        <v>-29646.437712340699</v>
      </c>
      <c r="H295" s="189">
        <v>-29579.125176640769</v>
      </c>
      <c r="I295" s="167">
        <f t="shared" si="12"/>
        <v>-67.312535699929867</v>
      </c>
      <c r="J295" s="174">
        <f t="shared" si="13"/>
        <v>67.312535699929867</v>
      </c>
    </row>
    <row r="296" spans="1:10">
      <c r="A296">
        <v>292</v>
      </c>
      <c r="B296" s="1">
        <v>95</v>
      </c>
      <c r="C296" t="s">
        <v>404</v>
      </c>
      <c r="D296" s="188">
        <v>-30481.095244988901</v>
      </c>
      <c r="H296" s="189">
        <v>-30411.497323919357</v>
      </c>
      <c r="I296" s="167">
        <f t="shared" si="12"/>
        <v>-69.5979210695441</v>
      </c>
      <c r="J296" s="174">
        <f t="shared" si="13"/>
        <v>69.5979210695441</v>
      </c>
    </row>
    <row r="297" spans="1:10">
      <c r="A297">
        <v>293</v>
      </c>
      <c r="B297" s="1">
        <v>95</v>
      </c>
      <c r="C297" t="s">
        <v>214</v>
      </c>
      <c r="D297" s="188">
        <v>-30480.393631950901</v>
      </c>
      <c r="H297" s="189">
        <v>-30410.688838831491</v>
      </c>
      <c r="I297" s="167">
        <f t="shared" si="12"/>
        <v>-69.704793119410169</v>
      </c>
      <c r="J297" s="174">
        <f t="shared" si="13"/>
        <v>69.704793119410169</v>
      </c>
    </row>
    <row r="298" spans="1:10">
      <c r="A298">
        <v>294</v>
      </c>
      <c r="B298" s="1">
        <v>95</v>
      </c>
      <c r="C298" t="s">
        <v>215</v>
      </c>
      <c r="D298" s="188">
        <v>-30479.156620553698</v>
      </c>
      <c r="H298" s="189">
        <v>-30409.439361877518</v>
      </c>
      <c r="I298" s="167">
        <f t="shared" si="12"/>
        <v>-69.717258676180791</v>
      </c>
      <c r="J298" s="174">
        <f t="shared" si="13"/>
        <v>69.717258676180791</v>
      </c>
    </row>
    <row r="299" spans="1:10">
      <c r="A299">
        <v>295</v>
      </c>
      <c r="B299" s="1">
        <v>95</v>
      </c>
      <c r="C299" t="s">
        <v>216</v>
      </c>
      <c r="D299" s="188">
        <v>-30477.3341821373</v>
      </c>
      <c r="H299" s="189">
        <v>-30407.601895768737</v>
      </c>
      <c r="I299" s="167">
        <f t="shared" si="12"/>
        <v>-69.7322863685622</v>
      </c>
      <c r="J299" s="174">
        <f t="shared" si="13"/>
        <v>69.7322863685622</v>
      </c>
    </row>
    <row r="300" spans="1:10">
      <c r="A300">
        <v>296</v>
      </c>
      <c r="B300" s="1">
        <v>95</v>
      </c>
      <c r="C300" t="s">
        <v>217</v>
      </c>
      <c r="D300" s="188">
        <v>-30474.884101582302</v>
      </c>
      <c r="H300" s="189">
        <v>-30405.10294186079</v>
      </c>
      <c r="I300" s="167">
        <f t="shared" si="12"/>
        <v>-69.781159721511358</v>
      </c>
      <c r="J300" s="174">
        <f t="shared" si="13"/>
        <v>69.781159721511358</v>
      </c>
    </row>
    <row r="301" spans="1:10">
      <c r="A301">
        <v>297</v>
      </c>
      <c r="B301" s="1">
        <v>96</v>
      </c>
      <c r="C301" t="s">
        <v>405</v>
      </c>
      <c r="D301" s="188">
        <v>-31323.009709329999</v>
      </c>
      <c r="H301" s="189">
        <v>-31250.043357323451</v>
      </c>
      <c r="I301" s="167">
        <f t="shared" si="12"/>
        <v>-72.966352006547822</v>
      </c>
      <c r="J301" s="174">
        <f t="shared" si="13"/>
        <v>72.966352006547822</v>
      </c>
    </row>
    <row r="302" spans="1:10">
      <c r="A302">
        <v>298</v>
      </c>
      <c r="B302" s="1">
        <v>96</v>
      </c>
      <c r="C302" t="s">
        <v>218</v>
      </c>
      <c r="D302" s="188">
        <v>-31321.726864222499</v>
      </c>
      <c r="H302" s="189">
        <v>-31248.646883080775</v>
      </c>
      <c r="I302" s="167">
        <f t="shared" si="12"/>
        <v>-73.079981141723692</v>
      </c>
      <c r="J302" s="174">
        <f t="shared" si="13"/>
        <v>73.079981141723692</v>
      </c>
    </row>
    <row r="303" spans="1:10">
      <c r="A303">
        <v>299</v>
      </c>
      <c r="B303" s="1">
        <v>97</v>
      </c>
      <c r="C303" t="s">
        <v>406</v>
      </c>
      <c r="D303" s="188">
        <v>-32182.1921151391</v>
      </c>
      <c r="H303" s="189">
        <v>-32105.971820116632</v>
      </c>
      <c r="I303" s="167">
        <f t="shared" si="12"/>
        <v>-76.220295022467326</v>
      </c>
      <c r="J303" s="174">
        <f t="shared" si="13"/>
        <v>76.220295022467326</v>
      </c>
    </row>
    <row r="304" spans="1:10">
      <c r="A304">
        <v>300</v>
      </c>
      <c r="B304" s="1">
        <v>97</v>
      </c>
      <c r="C304" t="s">
        <v>219</v>
      </c>
      <c r="D304" s="188">
        <v>-32180.865098616301</v>
      </c>
      <c r="H304" s="189">
        <v>-32104.722343162659</v>
      </c>
      <c r="I304" s="167">
        <f t="shared" si="12"/>
        <v>-76.142755453642167</v>
      </c>
      <c r="J304" s="174">
        <f t="shared" si="13"/>
        <v>76.142755453642167</v>
      </c>
    </row>
    <row r="305" spans="1:10">
      <c r="A305">
        <v>301</v>
      </c>
      <c r="B305" s="1">
        <v>98</v>
      </c>
      <c r="C305" t="s">
        <v>407</v>
      </c>
      <c r="D305" s="188">
        <v>-33058.813472344897</v>
      </c>
      <c r="H305" s="189">
        <v>-32979.392960265424</v>
      </c>
      <c r="I305" s="167">
        <f t="shared" si="12"/>
        <v>-79.420512079472246</v>
      </c>
      <c r="J305" s="174">
        <f t="shared" si="13"/>
        <v>79.420512079472246</v>
      </c>
    </row>
    <row r="306" spans="1:10">
      <c r="A306">
        <v>302</v>
      </c>
      <c r="B306" s="1">
        <v>98</v>
      </c>
      <c r="C306" t="s">
        <v>220</v>
      </c>
      <c r="D306" s="188">
        <v>-33058.016932213097</v>
      </c>
      <c r="H306" s="189">
        <v>-32978.621224499737</v>
      </c>
      <c r="I306" s="167">
        <f t="shared" si="12"/>
        <v>-79.395707713360025</v>
      </c>
      <c r="J306" s="174">
        <f t="shared" si="13"/>
        <v>79.395707713360025</v>
      </c>
    </row>
    <row r="307" spans="1:10">
      <c r="A307">
        <v>303</v>
      </c>
      <c r="B307" s="1">
        <v>98</v>
      </c>
      <c r="C307" t="s">
        <v>221</v>
      </c>
      <c r="D307" s="188">
        <v>-33056.647239767299</v>
      </c>
      <c r="H307" s="189">
        <v>-32977.334998223589</v>
      </c>
      <c r="I307" s="167">
        <f t="shared" si="12"/>
        <v>-79.312241543710115</v>
      </c>
      <c r="J307" s="174">
        <f t="shared" si="13"/>
        <v>79.312241543710115</v>
      </c>
    </row>
    <row r="308" spans="1:10">
      <c r="A308">
        <v>304</v>
      </c>
      <c r="B308" s="1">
        <v>99</v>
      </c>
      <c r="C308" t="s">
        <v>408</v>
      </c>
      <c r="D308" s="188">
        <v>-33952.205493693502</v>
      </c>
      <c r="H308" s="189">
        <v>-33869.424794037615</v>
      </c>
      <c r="I308" s="167">
        <f t="shared" si="12"/>
        <v>-82.780699655886565</v>
      </c>
      <c r="J308" s="174">
        <f t="shared" si="13"/>
        <v>82.780699655886565</v>
      </c>
    </row>
    <row r="309" spans="1:10">
      <c r="A309">
        <v>305</v>
      </c>
      <c r="B309" s="1">
        <v>99</v>
      </c>
      <c r="C309" t="s">
        <v>222</v>
      </c>
      <c r="D309" s="188">
        <v>-33951.379630030999</v>
      </c>
      <c r="H309" s="189">
        <v>-33868.763306238448</v>
      </c>
      <c r="I309" s="167">
        <f t="shared" si="12"/>
        <v>-82.616323792550247</v>
      </c>
      <c r="J309" s="174">
        <f t="shared" si="13"/>
        <v>82.616323792550247</v>
      </c>
    </row>
    <row r="310" spans="1:10">
      <c r="A310">
        <v>306</v>
      </c>
      <c r="B310" s="1">
        <v>100</v>
      </c>
      <c r="C310" t="s">
        <v>409</v>
      </c>
      <c r="D310" s="188">
        <v>-34863.1236314321</v>
      </c>
      <c r="H310" s="189">
        <v>-34777.243299742819</v>
      </c>
      <c r="I310" s="167">
        <f t="shared" si="12"/>
        <v>-85.880331689280865</v>
      </c>
      <c r="J310" s="174">
        <f t="shared" si="13"/>
        <v>85.880331689280865</v>
      </c>
    </row>
    <row r="311" spans="1:10">
      <c r="A311">
        <v>307</v>
      </c>
      <c r="B311" s="1">
        <v>100</v>
      </c>
      <c r="C311" t="s">
        <v>223</v>
      </c>
      <c r="D311" s="188">
        <v>-34862.269455886897</v>
      </c>
      <c r="H311" s="189">
        <v>-34776.398065332774</v>
      </c>
      <c r="I311" s="167">
        <f t="shared" si="12"/>
        <v>-85.871390554122627</v>
      </c>
      <c r="J311" s="174">
        <f t="shared" si="13"/>
        <v>85.871390554122627</v>
      </c>
    </row>
    <row r="312" spans="1:10">
      <c r="A312">
        <v>308</v>
      </c>
      <c r="B312" s="1">
        <v>101</v>
      </c>
      <c r="C312" t="s">
        <v>410</v>
      </c>
      <c r="D312" s="188">
        <v>-35792.418857744902</v>
      </c>
      <c r="H312" s="189">
        <v>-35702.701480092335</v>
      </c>
      <c r="I312" s="167">
        <f t="shared" si="12"/>
        <v>-89.717377652566938</v>
      </c>
      <c r="J312" s="174">
        <f t="shared" si="13"/>
        <v>89.717377652566938</v>
      </c>
    </row>
    <row r="313" spans="1:10">
      <c r="A313">
        <v>309</v>
      </c>
      <c r="B313" s="1">
        <v>101</v>
      </c>
      <c r="C313" t="s">
        <v>224</v>
      </c>
      <c r="D313" s="188">
        <v>-35791.5373352936</v>
      </c>
      <c r="H313" s="189">
        <v>-35701.966493648826</v>
      </c>
      <c r="I313" s="167">
        <f t="shared" si="12"/>
        <v>-89.570841644774191</v>
      </c>
      <c r="J313" s="174">
        <f t="shared" si="13"/>
        <v>89.570841644774191</v>
      </c>
    </row>
    <row r="314" spans="1:10">
      <c r="A314">
        <v>310</v>
      </c>
      <c r="B314" s="1">
        <v>102</v>
      </c>
      <c r="C314" t="s">
        <v>411</v>
      </c>
      <c r="D314" s="188">
        <v>-36740.275309732002</v>
      </c>
      <c r="H314" s="189">
        <v>-36647.012062717971</v>
      </c>
      <c r="I314" s="167">
        <f t="shared" si="12"/>
        <v>-93.26324701403064</v>
      </c>
      <c r="J314" s="174">
        <f t="shared" si="13"/>
        <v>93.26324701403064</v>
      </c>
    </row>
    <row r="315" spans="1:10">
      <c r="A315">
        <v>311</v>
      </c>
      <c r="B315" s="1">
        <v>102</v>
      </c>
      <c r="C315" t="s">
        <v>225</v>
      </c>
      <c r="D315" s="188">
        <v>-36739.3673546305</v>
      </c>
      <c r="H315" s="189">
        <v>-36646.056580341399</v>
      </c>
      <c r="I315" s="167">
        <f t="shared" si="12"/>
        <v>-93.310774289100664</v>
      </c>
      <c r="J315" s="174">
        <f t="shared" si="13"/>
        <v>93.310774289100664</v>
      </c>
    </row>
    <row r="316" spans="1:10">
      <c r="A316">
        <v>312</v>
      </c>
      <c r="B316" s="1">
        <v>103</v>
      </c>
      <c r="C316" t="s">
        <v>412</v>
      </c>
      <c r="D316" s="188">
        <v>-37706.024275518903</v>
      </c>
      <c r="H316" s="189">
        <v>-37609.21956524314</v>
      </c>
      <c r="I316" s="167">
        <f t="shared" si="12"/>
        <v>-96.804710275762773</v>
      </c>
      <c r="J316" s="174">
        <f t="shared" si="13"/>
        <v>96.804710275762773</v>
      </c>
    </row>
    <row r="317" spans="1:10">
      <c r="A317">
        <v>313</v>
      </c>
      <c r="B317" s="1">
        <v>104</v>
      </c>
      <c r="C317" t="s">
        <v>413</v>
      </c>
      <c r="D317" s="188">
        <v>-38690.308530909599</v>
      </c>
      <c r="H317" s="189">
        <v>-38589.985475467023</v>
      </c>
      <c r="I317" s="167">
        <f t="shared" si="12"/>
        <v>-100.32305544257542</v>
      </c>
      <c r="J317" s="174">
        <f t="shared" si="13"/>
        <v>100.32305544257542</v>
      </c>
    </row>
    <row r="318" spans="1:10">
      <c r="A318">
        <v>314</v>
      </c>
      <c r="B318" s="1">
        <v>105</v>
      </c>
      <c r="C318" t="s">
        <v>414</v>
      </c>
      <c r="D318" s="188">
        <v>-39693.8445584285</v>
      </c>
      <c r="H318" s="189">
        <v>-39589.787534577896</v>
      </c>
      <c r="I318" s="167">
        <f t="shared" si="12"/>
        <v>-104.05702385060431</v>
      </c>
      <c r="J318" s="174">
        <f t="shared" si="13"/>
        <v>104.05702385060431</v>
      </c>
    </row>
    <row r="319" spans="1:10">
      <c r="A319">
        <v>315</v>
      </c>
      <c r="B319" s="1">
        <v>106</v>
      </c>
      <c r="C319" t="s">
        <v>415</v>
      </c>
      <c r="D319" s="188">
        <v>-40717.304878658098</v>
      </c>
      <c r="H319" s="189">
        <v>-40608.515494609223</v>
      </c>
      <c r="I319" s="167">
        <f t="shared" si="12"/>
        <v>-108.78938404887595</v>
      </c>
      <c r="J319" s="174">
        <f t="shared" si="13"/>
        <v>108.78938404887595</v>
      </c>
    </row>
    <row r="320" spans="1:10">
      <c r="A320">
        <v>316</v>
      </c>
      <c r="B320" s="1">
        <v>107</v>
      </c>
      <c r="C320" t="s">
        <v>416</v>
      </c>
      <c r="D320" s="188">
        <v>-41760.566118051502</v>
      </c>
      <c r="H320" s="189">
        <v>-41647.308584548467</v>
      </c>
      <c r="I320" s="167">
        <f t="shared" si="12"/>
        <v>-113.25753350303421</v>
      </c>
      <c r="J320" s="174">
        <f t="shared" si="13"/>
        <v>113.25753350303421</v>
      </c>
    </row>
    <row r="321" spans="1:10">
      <c r="A321">
        <v>317</v>
      </c>
      <c r="B321" s="1">
        <v>108</v>
      </c>
      <c r="C321" t="s">
        <v>417</v>
      </c>
      <c r="D321" s="188">
        <v>-42824.551059461999</v>
      </c>
      <c r="H321" s="189">
        <v>-42706.313801684315</v>
      </c>
      <c r="I321" s="167">
        <f t="shared" si="12"/>
        <v>-118.23725777768414</v>
      </c>
      <c r="J321" s="174">
        <f t="shared" si="13"/>
        <v>118.23725777768414</v>
      </c>
    </row>
    <row r="322" spans="1:10">
      <c r="A322">
        <v>318</v>
      </c>
      <c r="B322" s="1">
        <v>112</v>
      </c>
      <c r="C322" t="s">
        <v>418</v>
      </c>
      <c r="D322" s="188">
        <v>-47327.729448312297</v>
      </c>
      <c r="H322" s="189"/>
      <c r="J322" s="1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workbookViewId="0"/>
  </sheetViews>
  <sheetFormatPr defaultRowHeight="15"/>
  <cols>
    <col min="1" max="1" width="10.42578125" style="1" customWidth="1"/>
    <col min="2" max="2" width="10.140625" customWidth="1"/>
    <col min="3" max="3" width="14.42578125" customWidth="1"/>
    <col min="4" max="4" width="15.140625" style="65" customWidth="1"/>
    <col min="5" max="5" width="15.28515625" style="65" customWidth="1"/>
    <col min="6" max="6" width="11.85546875" style="65" customWidth="1"/>
    <col min="7" max="8" width="16.140625" style="65" customWidth="1"/>
    <col min="9" max="9" width="14.5703125" style="26" customWidth="1"/>
    <col min="10" max="10" width="11.42578125" style="26" customWidth="1"/>
    <col min="11" max="11" width="11" style="27" customWidth="1"/>
    <col min="12" max="13" width="11" style="21" customWidth="1"/>
    <col min="14" max="14" width="14.140625" style="16" customWidth="1"/>
    <col min="15" max="15" width="14.42578125" style="3" bestFit="1" customWidth="1"/>
    <col min="16" max="17" width="12.7109375" style="3" customWidth="1"/>
    <col min="18" max="18" width="14.140625" customWidth="1"/>
    <col min="19" max="19" width="15.140625" customWidth="1"/>
  </cols>
  <sheetData>
    <row r="1" spans="1:23">
      <c r="A1" s="7" t="s">
        <v>422</v>
      </c>
    </row>
    <row r="3" spans="1:23">
      <c r="C3" s="10" t="s">
        <v>239</v>
      </c>
      <c r="D3" s="66" t="s">
        <v>228</v>
      </c>
      <c r="F3" s="66"/>
      <c r="G3" s="66"/>
      <c r="H3" s="66"/>
      <c r="I3" s="24" t="s">
        <v>227</v>
      </c>
      <c r="J3" s="25"/>
      <c r="N3" s="77" t="s">
        <v>226</v>
      </c>
      <c r="O3" s="11"/>
      <c r="P3" s="11"/>
      <c r="Q3" s="11"/>
      <c r="R3" s="125" t="s">
        <v>280</v>
      </c>
      <c r="S3" s="126"/>
      <c r="T3" s="126"/>
      <c r="U3" s="126"/>
    </row>
    <row r="4" spans="1:23" ht="18.75" customHeight="1" thickBot="1">
      <c r="A4" s="12" t="s">
        <v>0</v>
      </c>
      <c r="B4" s="143" t="s">
        <v>1</v>
      </c>
      <c r="C4" s="144" t="s">
        <v>240</v>
      </c>
      <c r="D4" s="145" t="s">
        <v>243</v>
      </c>
      <c r="E4" s="145" t="s">
        <v>244</v>
      </c>
      <c r="F4" s="146" t="s">
        <v>247</v>
      </c>
      <c r="G4" s="147" t="s">
        <v>230</v>
      </c>
      <c r="H4" s="147" t="s">
        <v>254</v>
      </c>
      <c r="I4" s="148" t="s">
        <v>245</v>
      </c>
      <c r="J4" s="149" t="s">
        <v>246</v>
      </c>
      <c r="K4" s="150" t="s">
        <v>231</v>
      </c>
      <c r="L4" s="151" t="s">
        <v>232</v>
      </c>
      <c r="M4" s="151" t="s">
        <v>257</v>
      </c>
      <c r="N4" s="152" t="s">
        <v>241</v>
      </c>
      <c r="O4" s="153" t="s">
        <v>242</v>
      </c>
      <c r="P4" s="154" t="s">
        <v>235</v>
      </c>
      <c r="Q4" s="155" t="s">
        <v>236</v>
      </c>
      <c r="R4" s="156" t="s">
        <v>281</v>
      </c>
      <c r="S4" s="157" t="s">
        <v>282</v>
      </c>
      <c r="T4" s="158" t="s">
        <v>283</v>
      </c>
      <c r="U4" s="159" t="s">
        <v>284</v>
      </c>
    </row>
    <row r="5" spans="1:23" ht="15.75" thickBot="1">
      <c r="A5" s="1">
        <v>3</v>
      </c>
      <c r="B5" s="130" t="s">
        <v>2</v>
      </c>
      <c r="C5" s="131">
        <v>5.3917149960000001</v>
      </c>
      <c r="D5" s="132">
        <v>-7.4335322053999997</v>
      </c>
      <c r="E5" s="132">
        <v>-7.237205308779</v>
      </c>
      <c r="F5" s="162">
        <f>(E5-D5)*27.211386245988</f>
        <v>5.342327014430178</v>
      </c>
      <c r="G5" s="133">
        <f>F5-C5</f>
        <v>-4.9387981569822159E-2</v>
      </c>
      <c r="H5" s="133">
        <f>ABS(G5)</f>
        <v>4.9387981569822159E-2</v>
      </c>
      <c r="I5" s="134">
        <v>-202</v>
      </c>
      <c r="J5" s="135" t="s">
        <v>233</v>
      </c>
      <c r="K5" s="160"/>
      <c r="L5" s="161"/>
      <c r="M5" s="161"/>
      <c r="N5" s="137">
        <v>-7.4332749199999997</v>
      </c>
      <c r="O5" s="138">
        <v>-7.2372053000000003</v>
      </c>
      <c r="P5" s="164">
        <f>(O5-N5)*27.211386245988</f>
        <v>5.335326160924077</v>
      </c>
      <c r="Q5" s="139">
        <f>P5-C5</f>
        <v>-5.6388835075923183E-2</v>
      </c>
      <c r="R5" s="140">
        <v>-7.4335332799999998</v>
      </c>
      <c r="S5" s="141">
        <v>-7.2372055199999998</v>
      </c>
      <c r="T5" s="165">
        <f>(S5-R5)*27.211386245988</f>
        <v>5.3423505081696314</v>
      </c>
      <c r="U5" s="142">
        <f>T5-C5</f>
        <v>-4.9364487830368731E-2</v>
      </c>
    </row>
    <row r="6" spans="1:23">
      <c r="A6" s="1">
        <v>5</v>
      </c>
      <c r="B6" t="s">
        <v>3</v>
      </c>
      <c r="C6" s="14">
        <v>8.298019</v>
      </c>
      <c r="D6" s="68">
        <v>-24.536554188899999</v>
      </c>
      <c r="E6" s="68">
        <v>-24.245164652174999</v>
      </c>
      <c r="F6" s="19">
        <f t="shared" ref="F6:F48" si="0">(E6-D6)*27.211386245988</f>
        <v>7.9291132318634592</v>
      </c>
      <c r="G6" s="108">
        <f>F6-C6</f>
        <v>-0.36890576813654086</v>
      </c>
      <c r="H6" s="108">
        <f t="shared" ref="H6:H48" si="1">ABS(G6)</f>
        <v>0.36890576813654086</v>
      </c>
      <c r="I6" s="30">
        <v>-668</v>
      </c>
      <c r="J6" s="32">
        <v>-660</v>
      </c>
      <c r="K6" s="28">
        <f>(J6-I6)</f>
        <v>8</v>
      </c>
      <c r="L6" s="27">
        <f>K6-C6</f>
        <v>-0.29801900000000003</v>
      </c>
      <c r="M6" s="27">
        <f>ABS(L6)</f>
        <v>0.29801900000000003</v>
      </c>
      <c r="N6" s="74"/>
      <c r="O6" s="75"/>
      <c r="P6" s="52"/>
      <c r="Q6" s="52"/>
      <c r="R6" s="127"/>
      <c r="S6" s="128"/>
      <c r="T6" s="129"/>
      <c r="U6" s="129"/>
      <c r="V6" s="8"/>
    </row>
    <row r="7" spans="1:23" ht="15.75" thickBot="1">
      <c r="A7" s="1">
        <v>6</v>
      </c>
      <c r="B7" t="s">
        <v>6</v>
      </c>
      <c r="C7" s="14">
        <v>11.260287999999999</v>
      </c>
      <c r="D7" s="68">
        <v>-37.676040654799998</v>
      </c>
      <c r="E7" s="68">
        <v>-37.308727019526003</v>
      </c>
      <c r="F7" s="19">
        <f t="shared" si="0"/>
        <v>9.9951132028586276</v>
      </c>
      <c r="G7" s="108">
        <f t="shared" ref="G7:G48" si="2">F7-C7</f>
        <v>-1.2651747971413716</v>
      </c>
      <c r="H7" s="108">
        <f t="shared" si="1"/>
        <v>1.2651747971413716</v>
      </c>
      <c r="I7" s="30">
        <v>-1026</v>
      </c>
      <c r="J7" s="32">
        <v>-1015</v>
      </c>
      <c r="K7" s="28">
        <f t="shared" ref="K7:K47" si="3">(J7-I7)</f>
        <v>11</v>
      </c>
      <c r="L7" s="27">
        <f>K7-C7</f>
        <v>-0.26028799999999919</v>
      </c>
      <c r="M7" s="27">
        <f t="shared" ref="M7:M48" si="4">ABS(L7)</f>
        <v>0.26028799999999919</v>
      </c>
      <c r="N7" s="74"/>
      <c r="O7" s="75"/>
      <c r="P7" s="52"/>
      <c r="Q7" s="52"/>
      <c r="R7" s="127"/>
      <c r="S7" s="128"/>
      <c r="T7" s="129"/>
      <c r="U7" s="129"/>
    </row>
    <row r="8" spans="1:23" ht="15.75" thickBot="1">
      <c r="A8" s="1">
        <v>7</v>
      </c>
      <c r="B8" t="s">
        <v>10</v>
      </c>
      <c r="C8" s="14">
        <v>14.534129999999999</v>
      </c>
      <c r="D8" s="68">
        <v>-54.327721820599997</v>
      </c>
      <c r="E8" s="68">
        <v>-53.879267568536001</v>
      </c>
      <c r="F8" s="19">
        <f t="shared" si="0"/>
        <v>12.203061866569064</v>
      </c>
      <c r="G8" s="116">
        <f t="shared" si="2"/>
        <v>-2.3310681334309358</v>
      </c>
      <c r="H8" s="117">
        <f t="shared" si="1"/>
        <v>2.3310681334309358</v>
      </c>
      <c r="I8" s="31" t="s">
        <v>233</v>
      </c>
      <c r="J8" s="31">
        <v>-1467</v>
      </c>
      <c r="K8" s="28"/>
      <c r="L8" s="27"/>
      <c r="M8" s="27"/>
      <c r="N8" s="74"/>
      <c r="O8" s="75"/>
      <c r="P8" s="52"/>
      <c r="Q8" s="52"/>
      <c r="R8" s="127"/>
      <c r="S8" s="128"/>
      <c r="T8" s="129"/>
      <c r="U8" s="129"/>
      <c r="W8" s="5"/>
    </row>
    <row r="9" spans="1:23" ht="15.75" thickBot="1">
      <c r="A9" s="1">
        <v>8</v>
      </c>
      <c r="B9" t="s">
        <v>15</v>
      </c>
      <c r="C9" s="14">
        <v>13.618055</v>
      </c>
      <c r="D9" s="68">
        <v>-74.824985471999995</v>
      </c>
      <c r="E9" s="68">
        <v>-74.289500409032001</v>
      </c>
      <c r="F9" s="19">
        <f t="shared" si="0"/>
        <v>14.571290877379264</v>
      </c>
      <c r="G9" s="108">
        <f t="shared" si="2"/>
        <v>0.95323587737926374</v>
      </c>
      <c r="H9" s="108">
        <f t="shared" si="1"/>
        <v>0.95323587737926374</v>
      </c>
      <c r="I9" s="30">
        <v>-2037</v>
      </c>
      <c r="J9" s="31">
        <v>-2025</v>
      </c>
      <c r="K9" s="28">
        <f t="shared" si="3"/>
        <v>12</v>
      </c>
      <c r="L9" s="27">
        <f t="shared" ref="L9:L48" si="5">K9-C9</f>
        <v>-1.618055</v>
      </c>
      <c r="M9" s="27">
        <f t="shared" si="4"/>
        <v>1.618055</v>
      </c>
      <c r="N9" s="74"/>
      <c r="O9" s="75"/>
      <c r="P9" s="52"/>
      <c r="Q9" s="52"/>
      <c r="R9" s="127"/>
      <c r="S9" s="128"/>
      <c r="T9" s="129"/>
      <c r="U9" s="129"/>
    </row>
    <row r="10" spans="1:23" ht="15.75" thickBot="1">
      <c r="A10" s="1">
        <v>11</v>
      </c>
      <c r="B10" s="130" t="s">
        <v>17</v>
      </c>
      <c r="C10" s="131">
        <v>5.1390769599999997</v>
      </c>
      <c r="D10" s="132">
        <v>-162.07808417940001</v>
      </c>
      <c r="E10" s="132">
        <v>-161.89590230568999</v>
      </c>
      <c r="F10" s="162">
        <f t="shared" si="0"/>
        <v>4.9574213325412044</v>
      </c>
      <c r="G10" s="133">
        <f t="shared" si="2"/>
        <v>-0.18165562745879527</v>
      </c>
      <c r="H10" s="133">
        <f t="shared" si="1"/>
        <v>0.18165562745879527</v>
      </c>
      <c r="I10" s="134">
        <v>-4409</v>
      </c>
      <c r="J10" s="135">
        <v>-4404</v>
      </c>
      <c r="K10" s="163">
        <f t="shared" si="3"/>
        <v>5</v>
      </c>
      <c r="L10" s="136">
        <f t="shared" si="5"/>
        <v>-0.13907695999999969</v>
      </c>
      <c r="M10" s="136">
        <f t="shared" si="4"/>
        <v>0.13907695999999969</v>
      </c>
      <c r="N10" s="137">
        <v>-162.055612</v>
      </c>
      <c r="O10" s="138">
        <v>-161.89590000000001</v>
      </c>
      <c r="P10" s="164">
        <f>(O10-N10)*27.211386245988</f>
        <v>4.3459849201188208</v>
      </c>
      <c r="Q10" s="139">
        <f>P10-C10</f>
        <v>-0.79309203988117893</v>
      </c>
      <c r="R10" s="140">
        <v>-162.0781499</v>
      </c>
      <c r="S10" s="141">
        <v>-161.89596807000001</v>
      </c>
      <c r="T10" s="165">
        <f>(S10-R10)*27.211386245988</f>
        <v>4.9574201431306637</v>
      </c>
      <c r="U10" s="142">
        <f>T10-C10</f>
        <v>-0.18165681686933599</v>
      </c>
    </row>
    <row r="11" spans="1:23">
      <c r="A11" s="1">
        <v>13</v>
      </c>
      <c r="B11" t="s">
        <v>18</v>
      </c>
      <c r="C11" s="14">
        <v>5.9857690000000003</v>
      </c>
      <c r="D11" s="68">
        <v>-242.3307474952</v>
      </c>
      <c r="E11" s="68">
        <v>-242.12904884833199</v>
      </c>
      <c r="F11" s="19">
        <f t="shared" si="0"/>
        <v>5.4884997852185631</v>
      </c>
      <c r="G11" s="108">
        <f t="shared" si="2"/>
        <v>-0.49726921478143726</v>
      </c>
      <c r="H11" s="108">
        <f t="shared" si="1"/>
        <v>0.49726921478143726</v>
      </c>
      <c r="I11" s="30">
        <v>-6592</v>
      </c>
      <c r="J11" s="31">
        <v>-6587</v>
      </c>
      <c r="K11" s="28">
        <f t="shared" si="3"/>
        <v>5</v>
      </c>
      <c r="L11" s="27">
        <f t="shared" si="5"/>
        <v>-0.98576900000000034</v>
      </c>
      <c r="M11" s="27">
        <f t="shared" si="4"/>
        <v>0.98576900000000034</v>
      </c>
      <c r="N11" s="74"/>
      <c r="O11" s="75"/>
      <c r="P11" s="52"/>
      <c r="Q11" s="52"/>
    </row>
    <row r="12" spans="1:23">
      <c r="A12" s="1">
        <v>14</v>
      </c>
      <c r="B12" t="s">
        <v>19</v>
      </c>
      <c r="C12" s="14">
        <v>8.1516800000000007</v>
      </c>
      <c r="D12" s="68">
        <v>-289.46132789889998</v>
      </c>
      <c r="E12" s="68">
        <v>-289.20025368632997</v>
      </c>
      <c r="F12" s="19">
        <f t="shared" si="0"/>
        <v>7.1041912371096769</v>
      </c>
      <c r="G12" s="108">
        <f t="shared" si="2"/>
        <v>-1.0474887628903238</v>
      </c>
      <c r="H12" s="108">
        <f t="shared" si="1"/>
        <v>1.0474887628903238</v>
      </c>
      <c r="I12" s="30">
        <v>-7875</v>
      </c>
      <c r="J12" s="31">
        <v>-7867</v>
      </c>
      <c r="K12" s="28">
        <f t="shared" si="3"/>
        <v>8</v>
      </c>
      <c r="L12" s="27">
        <f t="shared" si="5"/>
        <v>-0.1516800000000007</v>
      </c>
      <c r="M12" s="27">
        <f t="shared" si="4"/>
        <v>0.1516800000000007</v>
      </c>
      <c r="N12" s="74"/>
      <c r="O12" s="75"/>
      <c r="P12" s="52"/>
      <c r="Q12" s="52"/>
    </row>
    <row r="13" spans="1:23">
      <c r="A13" s="1">
        <v>15</v>
      </c>
      <c r="B13" t="s">
        <v>23</v>
      </c>
      <c r="C13" s="14">
        <v>10.486686000000001</v>
      </c>
      <c r="D13" s="68">
        <v>-341.49465335299999</v>
      </c>
      <c r="E13" s="68">
        <v>-341.17012569906598</v>
      </c>
      <c r="F13" s="19">
        <f t="shared" si="0"/>
        <v>8.8308473387027409</v>
      </c>
      <c r="G13" s="108">
        <f t="shared" si="2"/>
        <v>-1.6558386612972598</v>
      </c>
      <c r="H13" s="108">
        <f t="shared" si="1"/>
        <v>1.6558386612972598</v>
      </c>
      <c r="I13" s="30">
        <v>-9291</v>
      </c>
      <c r="J13" s="32">
        <v>-9281</v>
      </c>
      <c r="K13" s="28">
        <f t="shared" si="3"/>
        <v>10</v>
      </c>
      <c r="L13" s="27">
        <f t="shared" si="5"/>
        <v>-0.48668600000000062</v>
      </c>
      <c r="M13" s="27">
        <f t="shared" si="4"/>
        <v>0.48668600000000062</v>
      </c>
      <c r="N13" s="74"/>
      <c r="O13" s="75"/>
      <c r="P13" s="52"/>
      <c r="Q13" s="52"/>
    </row>
    <row r="14" spans="1:23">
      <c r="A14" s="1">
        <v>16</v>
      </c>
      <c r="B14" t="s">
        <v>28</v>
      </c>
      <c r="C14" s="14">
        <v>10.360010000000001</v>
      </c>
      <c r="D14" s="68">
        <v>-398.59789686229999</v>
      </c>
      <c r="E14" s="68">
        <v>-398.20547172415797</v>
      </c>
      <c r="F14" s="19">
        <f t="shared" si="0"/>
        <v>10.678432006617603</v>
      </c>
      <c r="G14" s="108">
        <f t="shared" si="2"/>
        <v>0.31842200661760245</v>
      </c>
      <c r="H14" s="108">
        <f t="shared" si="1"/>
        <v>0.31842200661760245</v>
      </c>
      <c r="I14" s="30">
        <v>-10843</v>
      </c>
      <c r="J14" s="31">
        <v>-10834</v>
      </c>
      <c r="K14" s="28">
        <f t="shared" si="3"/>
        <v>9</v>
      </c>
      <c r="L14" s="27">
        <f t="shared" si="5"/>
        <v>-1.3600100000000008</v>
      </c>
      <c r="M14" s="27">
        <f t="shared" si="4"/>
        <v>1.3600100000000008</v>
      </c>
      <c r="N14" s="74"/>
      <c r="O14" s="75"/>
      <c r="P14" s="52"/>
      <c r="Q14" s="52"/>
    </row>
    <row r="15" spans="1:23">
      <c r="A15" s="1">
        <v>17</v>
      </c>
      <c r="B15" t="s">
        <v>34</v>
      </c>
      <c r="C15" s="14">
        <v>12.967632999999999</v>
      </c>
      <c r="D15" s="68">
        <v>-460.93833947749999</v>
      </c>
      <c r="E15" s="76">
        <v>-460.47337799480101</v>
      </c>
      <c r="F15" s="19">
        <f t="shared" si="0"/>
        <v>12.652246495229262</v>
      </c>
      <c r="G15" s="108">
        <f t="shared" si="2"/>
        <v>-0.31538650477073737</v>
      </c>
      <c r="H15" s="108">
        <f t="shared" si="1"/>
        <v>0.31538650477073737</v>
      </c>
      <c r="I15" s="30">
        <v>-12538</v>
      </c>
      <c r="J15" s="31">
        <v>-12526</v>
      </c>
      <c r="K15" s="28">
        <f t="shared" si="3"/>
        <v>12</v>
      </c>
      <c r="L15" s="27">
        <f t="shared" si="5"/>
        <v>-0.9676329999999993</v>
      </c>
      <c r="M15" s="27">
        <f t="shared" si="4"/>
        <v>0.9676329999999993</v>
      </c>
      <c r="N15" s="74"/>
      <c r="O15" s="75"/>
      <c r="P15" s="52"/>
      <c r="Q15" s="52"/>
    </row>
    <row r="16" spans="1:23">
      <c r="A16" s="1">
        <v>19</v>
      </c>
      <c r="B16" t="s">
        <v>41</v>
      </c>
      <c r="C16" s="14">
        <v>4.3406637300000002</v>
      </c>
      <c r="D16" s="68">
        <v>-601.52592557009996</v>
      </c>
      <c r="E16" s="68">
        <v>-601.37817388460701</v>
      </c>
      <c r="F16" s="19">
        <f t="shared" si="0"/>
        <v>4.0205281824443784</v>
      </c>
      <c r="G16" s="108">
        <f t="shared" si="2"/>
        <v>-0.32013554755562179</v>
      </c>
      <c r="H16" s="108">
        <f t="shared" si="1"/>
        <v>0.32013554755562179</v>
      </c>
      <c r="I16" s="30">
        <v>-16361</v>
      </c>
      <c r="J16" s="31">
        <v>-16357</v>
      </c>
      <c r="K16" s="28">
        <f t="shared" si="3"/>
        <v>4</v>
      </c>
      <c r="L16" s="27">
        <f t="shared" si="5"/>
        <v>-0.34066373000000016</v>
      </c>
      <c r="M16" s="27">
        <f t="shared" si="4"/>
        <v>0.34066373000000016</v>
      </c>
      <c r="N16" s="72">
        <v>-601.37448800000004</v>
      </c>
      <c r="O16" s="73">
        <v>-601.37819999999999</v>
      </c>
      <c r="P16" s="80">
        <f>(O16-N16)*27.211386245988</f>
        <v>-0.10100866574375836</v>
      </c>
      <c r="Q16" s="80">
        <f>P16-C16</f>
        <v>-4.4416723957437583</v>
      </c>
    </row>
    <row r="17" spans="1:17">
      <c r="A17" s="1">
        <v>21</v>
      </c>
      <c r="B17" t="s">
        <v>42</v>
      </c>
      <c r="C17" s="14">
        <v>6.56149</v>
      </c>
      <c r="D17" s="68">
        <v>-763.37871782219997</v>
      </c>
      <c r="E17" s="68">
        <v>-763.17578737529004</v>
      </c>
      <c r="F17" s="19">
        <f t="shared" si="0"/>
        <v>5.5220187719371099</v>
      </c>
      <c r="G17" s="108">
        <f t="shared" si="2"/>
        <v>-1.0394712280628902</v>
      </c>
      <c r="H17" s="108">
        <f t="shared" si="1"/>
        <v>1.0394712280628902</v>
      </c>
      <c r="I17" s="30">
        <v>-20762</v>
      </c>
      <c r="J17" s="31">
        <v>-20757</v>
      </c>
      <c r="K17" s="28">
        <f t="shared" si="3"/>
        <v>5</v>
      </c>
      <c r="L17" s="27">
        <f t="shared" si="5"/>
        <v>-1.56149</v>
      </c>
      <c r="M17" s="27">
        <f t="shared" si="4"/>
        <v>1.56149</v>
      </c>
      <c r="N17" s="74"/>
      <c r="O17" s="75"/>
      <c r="P17" s="52"/>
      <c r="Q17" s="52"/>
    </row>
    <row r="18" spans="1:17">
      <c r="A18" s="1">
        <v>23</v>
      </c>
      <c r="B18" t="s">
        <v>47</v>
      </c>
      <c r="C18" s="14">
        <v>6.7461869999999999</v>
      </c>
      <c r="D18" s="68">
        <v>-948.18871589699995</v>
      </c>
      <c r="E18" s="68">
        <v>-947.93657333835097</v>
      </c>
      <c r="F18" s="19">
        <f t="shared" si="0"/>
        <v>6.8611485524491869</v>
      </c>
      <c r="G18" s="108">
        <f t="shared" si="2"/>
        <v>0.11496155244918693</v>
      </c>
      <c r="H18" s="108">
        <f t="shared" si="1"/>
        <v>0.11496155244918693</v>
      </c>
      <c r="I18" s="30">
        <v>-25790</v>
      </c>
      <c r="J18" s="31">
        <v>-25783</v>
      </c>
      <c r="K18" s="28">
        <f t="shared" si="3"/>
        <v>7</v>
      </c>
      <c r="L18" s="27">
        <f t="shared" si="5"/>
        <v>0.25381300000000007</v>
      </c>
      <c r="M18" s="27">
        <f t="shared" si="4"/>
        <v>0.25381300000000007</v>
      </c>
      <c r="N18" s="74"/>
      <c r="O18" s="75"/>
      <c r="P18" s="52"/>
      <c r="Q18" s="52"/>
    </row>
    <row r="19" spans="1:17">
      <c r="A19" s="1">
        <v>24</v>
      </c>
      <c r="B19" t="s">
        <v>52</v>
      </c>
      <c r="C19" s="14">
        <v>6.7665100000000002</v>
      </c>
      <c r="D19" s="68">
        <v>-1049.5960705466</v>
      </c>
      <c r="E19" s="68">
        <v>-1049.3890059232499</v>
      </c>
      <c r="F19" s="19">
        <f t="shared" si="0"/>
        <v>5.6345154438597751</v>
      </c>
      <c r="G19" s="108">
        <f t="shared" si="2"/>
        <v>-1.1319945561402251</v>
      </c>
      <c r="H19" s="108">
        <f t="shared" si="1"/>
        <v>1.1319945561402251</v>
      </c>
      <c r="I19" s="30">
        <v>-28550</v>
      </c>
      <c r="J19" s="31">
        <v>-28544</v>
      </c>
      <c r="K19" s="28">
        <f t="shared" si="3"/>
        <v>6</v>
      </c>
      <c r="L19" s="27">
        <f t="shared" si="5"/>
        <v>-0.76651000000000025</v>
      </c>
      <c r="M19" s="27">
        <f t="shared" si="4"/>
        <v>0.76651000000000025</v>
      </c>
      <c r="N19" s="74"/>
      <c r="O19" s="75"/>
      <c r="P19" s="52"/>
      <c r="Q19" s="52"/>
    </row>
    <row r="20" spans="1:17">
      <c r="A20" s="1">
        <v>25</v>
      </c>
      <c r="B20" t="s">
        <v>58</v>
      </c>
      <c r="C20" s="14">
        <v>7.4340380000000001</v>
      </c>
      <c r="D20" s="68">
        <v>-1157.3219564274</v>
      </c>
      <c r="E20" s="68">
        <v>-1157.07794846658</v>
      </c>
      <c r="F20" s="19">
        <f t="shared" si="0"/>
        <v>6.6397948689689112</v>
      </c>
      <c r="G20" s="108">
        <f t="shared" si="2"/>
        <v>-0.7942431310310889</v>
      </c>
      <c r="H20" s="108">
        <f t="shared" si="1"/>
        <v>0.7942431310310889</v>
      </c>
      <c r="I20" s="30">
        <v>-31480</v>
      </c>
      <c r="J20" s="31">
        <v>-31474</v>
      </c>
      <c r="K20" s="28">
        <f t="shared" si="3"/>
        <v>6</v>
      </c>
      <c r="L20" s="27">
        <f t="shared" si="5"/>
        <v>-1.4340380000000001</v>
      </c>
      <c r="M20" s="27">
        <f t="shared" si="4"/>
        <v>1.4340380000000001</v>
      </c>
      <c r="N20" s="74"/>
      <c r="O20" s="75"/>
      <c r="P20" s="52"/>
      <c r="Q20" s="52"/>
    </row>
    <row r="21" spans="1:17">
      <c r="A21" s="1">
        <v>26</v>
      </c>
      <c r="B21" t="s">
        <v>65</v>
      </c>
      <c r="C21" s="14">
        <v>7.9024681000000001</v>
      </c>
      <c r="D21" s="68">
        <v>-1271.3920045156001</v>
      </c>
      <c r="E21" s="68">
        <v>-1271.13908871424</v>
      </c>
      <c r="F21" s="19">
        <f t="shared" si="0"/>
        <v>6.8821895585241233</v>
      </c>
      <c r="G21" s="108">
        <f t="shared" si="2"/>
        <v>-1.0202785414758768</v>
      </c>
      <c r="H21" s="108">
        <f t="shared" si="1"/>
        <v>1.0202785414758768</v>
      </c>
      <c r="I21" s="30">
        <v>-34579</v>
      </c>
      <c r="J21" s="31">
        <v>-34573</v>
      </c>
      <c r="K21" s="28">
        <f t="shared" si="3"/>
        <v>6</v>
      </c>
      <c r="L21" s="27">
        <f t="shared" si="5"/>
        <v>-1.9024681000000001</v>
      </c>
      <c r="M21" s="27">
        <f t="shared" si="4"/>
        <v>1.9024681000000001</v>
      </c>
      <c r="N21" s="74"/>
      <c r="O21" s="75"/>
      <c r="P21" s="52"/>
      <c r="Q21" s="52"/>
    </row>
    <row r="22" spans="1:17">
      <c r="A22" s="1">
        <v>27</v>
      </c>
      <c r="B22" t="s">
        <v>71</v>
      </c>
      <c r="C22" s="14">
        <v>7.8810099999999998</v>
      </c>
      <c r="D22" s="68">
        <v>-1392.0018712146</v>
      </c>
      <c r="E22" s="68">
        <v>-1391.7570856513</v>
      </c>
      <c r="F22" s="19">
        <f t="shared" si="0"/>
        <v>6.6609545103968548</v>
      </c>
      <c r="G22" s="108">
        <f t="shared" si="2"/>
        <v>-1.220055489603145</v>
      </c>
      <c r="H22" s="108">
        <f t="shared" si="1"/>
        <v>1.220055489603145</v>
      </c>
      <c r="I22" s="30">
        <v>-37857</v>
      </c>
      <c r="J22" s="31">
        <v>-37849</v>
      </c>
      <c r="K22" s="28">
        <f t="shared" si="3"/>
        <v>8</v>
      </c>
      <c r="L22" s="27">
        <f t="shared" si="5"/>
        <v>0.11899000000000015</v>
      </c>
      <c r="M22" s="27">
        <f t="shared" si="4"/>
        <v>0.11899000000000015</v>
      </c>
      <c r="N22" s="74"/>
      <c r="O22" s="75"/>
      <c r="P22" s="52"/>
      <c r="Q22" s="52"/>
    </row>
    <row r="23" spans="1:17">
      <c r="A23" s="1">
        <v>28</v>
      </c>
      <c r="B23" t="s">
        <v>76</v>
      </c>
      <c r="C23" s="14">
        <v>7.6398780000000004</v>
      </c>
      <c r="D23" s="68">
        <v>-1519.3055439315999</v>
      </c>
      <c r="E23" s="68">
        <v>-1519.06150025888</v>
      </c>
      <c r="F23" s="19">
        <f t="shared" si="0"/>
        <v>6.6407666392721518</v>
      </c>
      <c r="G23" s="108">
        <f t="shared" si="2"/>
        <v>-0.99911136072784856</v>
      </c>
      <c r="H23" s="108">
        <f t="shared" si="1"/>
        <v>0.99911136072784856</v>
      </c>
      <c r="I23" s="30">
        <v>-41316</v>
      </c>
      <c r="J23" s="31">
        <v>-41308</v>
      </c>
      <c r="K23" s="28">
        <f t="shared" si="3"/>
        <v>8</v>
      </c>
      <c r="L23" s="27">
        <f t="shared" si="5"/>
        <v>0.36012199999999961</v>
      </c>
      <c r="M23" s="27">
        <f t="shared" si="4"/>
        <v>0.36012199999999961</v>
      </c>
      <c r="N23" s="74"/>
      <c r="O23" s="75"/>
      <c r="P23" s="52"/>
      <c r="Q23" s="52"/>
    </row>
    <row r="24" spans="1:17">
      <c r="A24" s="1">
        <v>29</v>
      </c>
      <c r="B24" t="s">
        <v>80</v>
      </c>
      <c r="C24" s="14">
        <v>7.7263799999999998</v>
      </c>
      <c r="D24" s="68">
        <v>-1653.4550509516</v>
      </c>
      <c r="E24" s="68">
        <v>-1653.2137154997299</v>
      </c>
      <c r="F24" s="19">
        <f t="shared" si="0"/>
        <v>6.5670721956873344</v>
      </c>
      <c r="G24" s="108">
        <f t="shared" si="2"/>
        <v>-1.1593078043126654</v>
      </c>
      <c r="H24" s="108">
        <f t="shared" si="1"/>
        <v>1.1593078043126654</v>
      </c>
      <c r="I24" s="30">
        <v>-44962</v>
      </c>
      <c r="J24" s="31">
        <v>-44955</v>
      </c>
      <c r="K24" s="28">
        <f t="shared" si="3"/>
        <v>7</v>
      </c>
      <c r="L24" s="27">
        <f t="shared" si="5"/>
        <v>-0.7263799999999998</v>
      </c>
      <c r="M24" s="27">
        <f t="shared" si="4"/>
        <v>0.7263799999999998</v>
      </c>
      <c r="N24" s="72">
        <v>-1652.82457</v>
      </c>
      <c r="O24" s="73">
        <v>-1653.2136</v>
      </c>
      <c r="P24" s="80">
        <f>(O24-N24)*27.211386245988</f>
        <v>-10.586045591278015</v>
      </c>
      <c r="Q24" s="80">
        <f>P24-C24</f>
        <v>-18.312425591278014</v>
      </c>
    </row>
    <row r="25" spans="1:17">
      <c r="A25" s="1">
        <v>31</v>
      </c>
      <c r="B25" t="s">
        <v>84</v>
      </c>
      <c r="C25" s="14">
        <v>5.9993020000000001</v>
      </c>
      <c r="D25" s="68">
        <v>-1942.5636686544999</v>
      </c>
      <c r="E25" s="68">
        <v>-1942.3635997537201</v>
      </c>
      <c r="F25" s="19">
        <f t="shared" si="0"/>
        <v>5.4441521349293147</v>
      </c>
      <c r="G25" s="108">
        <f t="shared" si="2"/>
        <v>-0.55514986507068542</v>
      </c>
      <c r="H25" s="108">
        <f t="shared" si="1"/>
        <v>0.55514986507068542</v>
      </c>
      <c r="I25" s="30">
        <v>-52821</v>
      </c>
      <c r="J25" s="31">
        <v>-52815</v>
      </c>
      <c r="K25" s="28">
        <f t="shared" si="3"/>
        <v>6</v>
      </c>
      <c r="L25" s="27">
        <f t="shared" si="5"/>
        <v>6.9799999999986539E-4</v>
      </c>
      <c r="M25" s="27">
        <f t="shared" si="4"/>
        <v>6.9799999999986539E-4</v>
      </c>
      <c r="N25" s="74"/>
      <c r="O25" s="75"/>
      <c r="P25" s="52"/>
      <c r="Q25" s="52"/>
    </row>
    <row r="26" spans="1:17">
      <c r="A26" s="1">
        <v>32</v>
      </c>
      <c r="B26" t="s">
        <v>87</v>
      </c>
      <c r="C26" s="14">
        <v>7.8994350000000004</v>
      </c>
      <c r="D26" s="68">
        <v>-2097.4702738077999</v>
      </c>
      <c r="E26" s="68">
        <v>-2097.21760646236</v>
      </c>
      <c r="F26" s="19">
        <f t="shared" si="0"/>
        <v>6.8754287285144509</v>
      </c>
      <c r="G26" s="108">
        <f t="shared" si="2"/>
        <v>-1.0240062714855496</v>
      </c>
      <c r="H26" s="108">
        <f t="shared" si="1"/>
        <v>1.0240062714855496</v>
      </c>
      <c r="I26" s="30">
        <v>-57032</v>
      </c>
      <c r="J26" s="31">
        <v>-57025</v>
      </c>
      <c r="K26" s="28">
        <f t="shared" si="3"/>
        <v>7</v>
      </c>
      <c r="L26" s="27">
        <f t="shared" si="5"/>
        <v>-0.89943500000000043</v>
      </c>
      <c r="M26" s="27">
        <f t="shared" si="4"/>
        <v>0.89943500000000043</v>
      </c>
      <c r="N26" s="74"/>
      <c r="O26" s="75"/>
      <c r="P26" s="52"/>
      <c r="Q26" s="52"/>
    </row>
    <row r="27" spans="1:17">
      <c r="A27" s="1">
        <v>35</v>
      </c>
      <c r="B27" t="s">
        <v>92</v>
      </c>
      <c r="C27" s="14">
        <v>11.81381</v>
      </c>
      <c r="D27" s="68">
        <v>-2605.0232430163001</v>
      </c>
      <c r="E27" s="68">
        <v>-2604.5993958417898</v>
      </c>
      <c r="F27" s="19">
        <f t="shared" si="0"/>
        <v>11.533469174868515</v>
      </c>
      <c r="G27" s="108">
        <f t="shared" si="2"/>
        <v>-0.28034082513148562</v>
      </c>
      <c r="H27" s="108">
        <f t="shared" si="1"/>
        <v>0.28034082513148562</v>
      </c>
      <c r="I27" s="30">
        <v>-70828</v>
      </c>
      <c r="J27" s="31">
        <v>-70817</v>
      </c>
      <c r="K27" s="28">
        <f t="shared" si="3"/>
        <v>11</v>
      </c>
      <c r="L27" s="27">
        <f t="shared" si="5"/>
        <v>-0.81381000000000014</v>
      </c>
      <c r="M27" s="27">
        <f t="shared" si="4"/>
        <v>0.81381000000000014</v>
      </c>
      <c r="N27" s="74"/>
      <c r="O27" s="75"/>
      <c r="P27" s="52"/>
      <c r="Q27" s="52"/>
    </row>
    <row r="28" spans="1:17">
      <c r="A28" s="1">
        <v>37</v>
      </c>
      <c r="B28" t="s">
        <v>95</v>
      </c>
      <c r="C28" s="14">
        <v>4.1771281</v>
      </c>
      <c r="D28" s="68">
        <v>-2979.8053698686999</v>
      </c>
      <c r="E28" s="68">
        <v>-2979.6657153012602</v>
      </c>
      <c r="F28" s="19">
        <f t="shared" si="0"/>
        <v>3.8001943756186076</v>
      </c>
      <c r="G28" s="108">
        <f t="shared" si="2"/>
        <v>-0.37693372438139239</v>
      </c>
      <c r="H28" s="108">
        <f t="shared" si="1"/>
        <v>0.37693372438139239</v>
      </c>
      <c r="I28" s="30">
        <v>-81013</v>
      </c>
      <c r="J28" s="31">
        <v>-81010</v>
      </c>
      <c r="K28" s="28">
        <f t="shared" si="3"/>
        <v>3</v>
      </c>
      <c r="L28" s="27">
        <f t="shared" si="5"/>
        <v>-1.1771281</v>
      </c>
      <c r="M28" s="27">
        <f t="shared" si="4"/>
        <v>1.1771281</v>
      </c>
      <c r="N28" s="72">
        <v>-2978.3679400000001</v>
      </c>
      <c r="O28" s="73">
        <v>-2971.9171999999999</v>
      </c>
      <c r="P28" s="80">
        <f>(O28-N28)*27.211386245988</f>
        <v>175.53357771245069</v>
      </c>
      <c r="Q28" s="80">
        <f>P28-C28</f>
        <v>171.35644961245069</v>
      </c>
    </row>
    <row r="29" spans="1:17">
      <c r="A29" s="1">
        <v>40</v>
      </c>
      <c r="B29" t="s">
        <v>97</v>
      </c>
      <c r="C29" s="14">
        <v>6.6341260000000002</v>
      </c>
      <c r="D29" s="68">
        <v>-3597.0838799715002</v>
      </c>
      <c r="E29" s="68">
        <v>-3596.87789752461</v>
      </c>
      <c r="F29" s="19">
        <f t="shared" si="0"/>
        <v>5.6050679222222666</v>
      </c>
      <c r="G29" s="108">
        <f t="shared" si="2"/>
        <v>-1.0290580777777336</v>
      </c>
      <c r="H29" s="108">
        <f t="shared" si="1"/>
        <v>1.0290580777777336</v>
      </c>
      <c r="I29" s="30">
        <v>-97790</v>
      </c>
      <c r="J29" s="31">
        <v>-97784</v>
      </c>
      <c r="K29" s="28">
        <f t="shared" si="3"/>
        <v>6</v>
      </c>
      <c r="L29" s="27">
        <f t="shared" si="5"/>
        <v>-0.63412600000000019</v>
      </c>
      <c r="M29" s="27">
        <f t="shared" si="4"/>
        <v>0.63412600000000019</v>
      </c>
      <c r="N29" s="74"/>
      <c r="O29" s="75"/>
      <c r="P29" s="52"/>
      <c r="Q29" s="52"/>
    </row>
    <row r="30" spans="1:17">
      <c r="A30" s="1">
        <v>42</v>
      </c>
      <c r="B30" t="s">
        <v>104</v>
      </c>
      <c r="C30" s="14">
        <v>7.0924300000000002</v>
      </c>
      <c r="D30" s="68">
        <v>-4047.1437677818999</v>
      </c>
      <c r="E30" s="68">
        <v>-4046.9372757229999</v>
      </c>
      <c r="F30" s="19">
        <f t="shared" si="0"/>
        <v>5.6189351714582765</v>
      </c>
      <c r="G30" s="108">
        <f t="shared" si="2"/>
        <v>-1.4734948285417238</v>
      </c>
      <c r="H30" s="108">
        <f t="shared" si="1"/>
        <v>1.4734948285417238</v>
      </c>
      <c r="I30" s="30">
        <v>-110024</v>
      </c>
      <c r="J30" s="31">
        <v>-110017</v>
      </c>
      <c r="K30" s="28">
        <f t="shared" si="3"/>
        <v>7</v>
      </c>
      <c r="L30" s="27">
        <f t="shared" si="5"/>
        <v>-9.2430000000000234E-2</v>
      </c>
      <c r="M30" s="27">
        <f t="shared" si="4"/>
        <v>9.2430000000000234E-2</v>
      </c>
      <c r="N30" s="74"/>
      <c r="O30" s="75"/>
      <c r="P30" s="52"/>
      <c r="Q30" s="52"/>
    </row>
    <row r="31" spans="1:17">
      <c r="A31" s="1">
        <v>43</v>
      </c>
      <c r="B31" t="s">
        <v>110</v>
      </c>
      <c r="C31" s="14">
        <v>7.1193799999999996</v>
      </c>
      <c r="D31" s="68">
        <v>-4284.1128540338004</v>
      </c>
      <c r="E31" s="68">
        <v>-4283.87764663286</v>
      </c>
      <c r="F31" s="19">
        <f t="shared" si="0"/>
        <v>6.4003194349056338</v>
      </c>
      <c r="G31" s="108">
        <f t="shared" si="2"/>
        <v>-0.71906056509436578</v>
      </c>
      <c r="H31" s="108">
        <f t="shared" si="1"/>
        <v>0.71906056509436578</v>
      </c>
      <c r="I31" s="30">
        <v>-116463</v>
      </c>
      <c r="J31" s="31">
        <v>-116457</v>
      </c>
      <c r="K31" s="28">
        <f t="shared" si="3"/>
        <v>6</v>
      </c>
      <c r="L31" s="27">
        <f t="shared" si="5"/>
        <v>-1.1193799999999996</v>
      </c>
      <c r="M31" s="27">
        <f t="shared" si="4"/>
        <v>1.1193799999999996</v>
      </c>
      <c r="N31" s="74"/>
      <c r="O31" s="75"/>
      <c r="P31" s="52"/>
      <c r="Q31" s="52"/>
    </row>
    <row r="32" spans="1:17">
      <c r="A32" s="1">
        <v>44</v>
      </c>
      <c r="B32" t="s">
        <v>117</v>
      </c>
      <c r="C32" s="14">
        <v>7.3605</v>
      </c>
      <c r="D32" s="68">
        <v>-4529.2680569168997</v>
      </c>
      <c r="E32" s="68">
        <v>-4529.0496594657598</v>
      </c>
      <c r="F32" s="19">
        <f t="shared" si="0"/>
        <v>5.9428973981080793</v>
      </c>
      <c r="G32" s="108">
        <f t="shared" si="2"/>
        <v>-1.4176026018919208</v>
      </c>
      <c r="H32" s="108">
        <f t="shared" si="1"/>
        <v>1.4176026018919208</v>
      </c>
      <c r="I32" s="30">
        <v>-123122</v>
      </c>
      <c r="J32" s="31">
        <v>-123115</v>
      </c>
      <c r="K32" s="28">
        <f t="shared" si="3"/>
        <v>7</v>
      </c>
      <c r="L32" s="27">
        <f t="shared" si="5"/>
        <v>-0.36050000000000004</v>
      </c>
      <c r="M32" s="27">
        <f t="shared" si="4"/>
        <v>0.36050000000000004</v>
      </c>
      <c r="N32" s="74"/>
      <c r="O32" s="75"/>
      <c r="P32" s="52"/>
      <c r="Q32" s="52"/>
    </row>
    <row r="33" spans="1:17">
      <c r="A33" s="1">
        <v>45</v>
      </c>
      <c r="B33" t="s">
        <v>125</v>
      </c>
      <c r="C33" s="14">
        <v>7.4588999999999999</v>
      </c>
      <c r="D33" s="68">
        <v>-4782.6454300071</v>
      </c>
      <c r="E33" s="68">
        <v>-4782.4218062473601</v>
      </c>
      <c r="F33" s="19">
        <f t="shared" si="0"/>
        <v>6.0851125000622766</v>
      </c>
      <c r="G33" s="108">
        <f t="shared" si="2"/>
        <v>-1.3737874999377233</v>
      </c>
      <c r="H33" s="108">
        <f t="shared" si="1"/>
        <v>1.3737874999377233</v>
      </c>
      <c r="I33" s="30">
        <v>-130005</v>
      </c>
      <c r="J33" s="31">
        <v>-129999</v>
      </c>
      <c r="K33" s="28">
        <f t="shared" si="3"/>
        <v>6</v>
      </c>
      <c r="L33" s="27">
        <f t="shared" si="5"/>
        <v>-1.4588999999999999</v>
      </c>
      <c r="M33" s="27">
        <f t="shared" si="4"/>
        <v>1.4588999999999999</v>
      </c>
      <c r="N33" s="74"/>
      <c r="O33" s="75"/>
      <c r="P33" s="52"/>
      <c r="Q33" s="52"/>
    </row>
    <row r="34" spans="1:17">
      <c r="A34" s="1">
        <v>47</v>
      </c>
      <c r="B34" t="s">
        <v>131</v>
      </c>
      <c r="C34" s="14">
        <v>7.5762340000000004</v>
      </c>
      <c r="D34" s="68">
        <v>-5314.6323651492003</v>
      </c>
      <c r="E34" s="68">
        <v>-5314.3992438351697</v>
      </c>
      <c r="F34" s="19">
        <f t="shared" si="0"/>
        <v>6.3435541182573072</v>
      </c>
      <c r="G34" s="108">
        <f t="shared" si="2"/>
        <v>-1.2326798817426932</v>
      </c>
      <c r="H34" s="108">
        <f t="shared" si="1"/>
        <v>1.2326798817426932</v>
      </c>
      <c r="I34" s="30">
        <v>-144458</v>
      </c>
      <c r="J34" s="31">
        <v>-144451</v>
      </c>
      <c r="K34" s="28">
        <f t="shared" si="3"/>
        <v>7</v>
      </c>
      <c r="L34" s="27">
        <f t="shared" si="5"/>
        <v>-0.57623400000000036</v>
      </c>
      <c r="M34" s="27">
        <f t="shared" si="4"/>
        <v>0.57623400000000036</v>
      </c>
      <c r="N34" s="72">
        <v>-5311.2347499999996</v>
      </c>
      <c r="O34" s="73">
        <v>-5314.4008000000003</v>
      </c>
      <c r="P34" s="80">
        <f>(O34-N34)*27.211386245988</f>
        <v>-86.152609424129977</v>
      </c>
      <c r="Q34" s="80">
        <f>P34-C34</f>
        <v>-93.728843424129977</v>
      </c>
    </row>
    <row r="35" spans="1:17">
      <c r="A35" s="1">
        <v>49</v>
      </c>
      <c r="B35" t="s">
        <v>134</v>
      </c>
      <c r="C35" s="14">
        <v>5.7863557999999999</v>
      </c>
      <c r="D35" s="68">
        <v>-5880.4317006605997</v>
      </c>
      <c r="E35" s="68">
        <v>-5880.2431028942601</v>
      </c>
      <c r="F35" s="19">
        <f t="shared" si="0"/>
        <v>5.1320066649981602</v>
      </c>
      <c r="G35" s="108">
        <f t="shared" si="2"/>
        <v>-0.65434913500183978</v>
      </c>
      <c r="H35" s="108">
        <f t="shared" si="1"/>
        <v>0.65434913500183978</v>
      </c>
      <c r="I35" s="30">
        <v>-159830</v>
      </c>
      <c r="J35" s="31">
        <v>-159824</v>
      </c>
      <c r="K35" s="28">
        <f t="shared" si="3"/>
        <v>6</v>
      </c>
      <c r="L35" s="27">
        <f t="shared" si="5"/>
        <v>0.21364420000000006</v>
      </c>
      <c r="M35" s="27">
        <f t="shared" si="4"/>
        <v>0.21364420000000006</v>
      </c>
      <c r="N35" s="63"/>
      <c r="O35" s="20"/>
    </row>
    <row r="36" spans="1:17">
      <c r="A36" s="1">
        <v>53</v>
      </c>
      <c r="B36" t="s">
        <v>139</v>
      </c>
      <c r="C36" s="14">
        <v>10.45126</v>
      </c>
      <c r="D36" s="68">
        <v>-7115.7945220239999</v>
      </c>
      <c r="E36" s="68">
        <v>-7115.4169791156701</v>
      </c>
      <c r="F36" s="19">
        <f t="shared" si="0"/>
        <v>10.273465902996234</v>
      </c>
      <c r="G36" s="108">
        <f t="shared" si="2"/>
        <v>-0.17779409700376547</v>
      </c>
      <c r="H36" s="108">
        <f t="shared" si="1"/>
        <v>0.17779409700376547</v>
      </c>
      <c r="I36" s="30">
        <v>-193388</v>
      </c>
      <c r="J36" s="31">
        <v>-193379</v>
      </c>
      <c r="K36" s="28">
        <f t="shared" si="3"/>
        <v>9</v>
      </c>
      <c r="L36" s="27">
        <f t="shared" si="5"/>
        <v>-1.4512599999999996</v>
      </c>
      <c r="M36" s="27">
        <f t="shared" si="4"/>
        <v>1.4512599999999996</v>
      </c>
      <c r="N36" s="63"/>
      <c r="O36" s="20"/>
    </row>
    <row r="37" spans="1:17">
      <c r="A37" s="1">
        <v>55</v>
      </c>
      <c r="B37" t="s">
        <v>140</v>
      </c>
      <c r="C37" s="14">
        <v>3.89390572743</v>
      </c>
      <c r="D37" s="68">
        <v>-7786.7733195474002</v>
      </c>
      <c r="E37" s="68">
        <v>-7786.6455328066604</v>
      </c>
      <c r="F37" s="19">
        <f t="shared" si="0"/>
        <v>3.4772543593864502</v>
      </c>
      <c r="G37" s="108">
        <f t="shared" si="2"/>
        <v>-0.41665136804354974</v>
      </c>
      <c r="H37" s="108">
        <f t="shared" si="1"/>
        <v>0.41665136804354974</v>
      </c>
      <c r="I37" s="30">
        <v>-211614</v>
      </c>
      <c r="J37" s="31">
        <v>-211610</v>
      </c>
      <c r="K37" s="28">
        <f t="shared" si="3"/>
        <v>4</v>
      </c>
      <c r="L37" s="27">
        <f t="shared" si="5"/>
        <v>0.10609427257000004</v>
      </c>
      <c r="M37" s="27">
        <f t="shared" si="4"/>
        <v>0.10609427257000004</v>
      </c>
      <c r="N37" s="63"/>
      <c r="O37" s="20"/>
    </row>
    <row r="38" spans="1:17">
      <c r="A38" s="1">
        <v>64</v>
      </c>
      <c r="B38" t="s">
        <v>149</v>
      </c>
      <c r="C38" s="14">
        <v>6.1497999999999999</v>
      </c>
      <c r="D38" s="68">
        <v>-11274.1993651825</v>
      </c>
      <c r="E38" s="68">
        <v>-11274.008112254</v>
      </c>
      <c r="F38" s="19">
        <f t="shared" si="0"/>
        <v>5.2042573080907681</v>
      </c>
      <c r="G38" s="108">
        <f t="shared" si="2"/>
        <v>-0.94554269190923179</v>
      </c>
      <c r="H38" s="108">
        <f t="shared" si="1"/>
        <v>0.94554269190923179</v>
      </c>
      <c r="I38" s="30">
        <v>-306337</v>
      </c>
      <c r="J38" s="31">
        <v>-306333</v>
      </c>
      <c r="K38" s="28">
        <f t="shared" si="3"/>
        <v>4</v>
      </c>
      <c r="L38" s="27">
        <f t="shared" si="5"/>
        <v>-2.1497999999999999</v>
      </c>
      <c r="M38" s="27">
        <f t="shared" si="4"/>
        <v>2.1497999999999999</v>
      </c>
      <c r="N38" s="63"/>
      <c r="O38" s="20"/>
    </row>
    <row r="39" spans="1:17">
      <c r="A39" s="1">
        <v>65</v>
      </c>
      <c r="B39" t="s">
        <v>152</v>
      </c>
      <c r="C39" s="14">
        <v>5.8638000000000003</v>
      </c>
      <c r="D39" s="68">
        <v>-11712.5509216766</v>
      </c>
      <c r="E39" s="68">
        <v>-11712.3722267701</v>
      </c>
      <c r="F39" s="19">
        <f t="shared" si="0"/>
        <v>4.8625361209846059</v>
      </c>
      <c r="G39" s="108">
        <f t="shared" si="2"/>
        <v>-1.0012638790153945</v>
      </c>
      <c r="H39" s="108">
        <f t="shared" si="1"/>
        <v>1.0012638790153945</v>
      </c>
      <c r="I39" s="30">
        <v>-318233</v>
      </c>
      <c r="J39" s="31">
        <v>-318228</v>
      </c>
      <c r="K39" s="28">
        <f t="shared" si="3"/>
        <v>5</v>
      </c>
      <c r="L39" s="27">
        <f t="shared" si="5"/>
        <v>-0.86380000000000035</v>
      </c>
      <c r="M39" s="27">
        <f t="shared" si="4"/>
        <v>0.86380000000000035</v>
      </c>
      <c r="N39" s="63"/>
      <c r="O39" s="20"/>
    </row>
    <row r="40" spans="1:17">
      <c r="A40" s="1">
        <v>74</v>
      </c>
      <c r="B40" t="s">
        <v>162</v>
      </c>
      <c r="C40" s="14">
        <v>7.8640299999999996</v>
      </c>
      <c r="D40" s="68">
        <v>-16156.132748604599</v>
      </c>
      <c r="E40" s="68">
        <v>-16155.878641936601</v>
      </c>
      <c r="F40" s="19">
        <f t="shared" si="0"/>
        <v>6.9145946905940043</v>
      </c>
      <c r="G40" s="108">
        <f t="shared" si="2"/>
        <v>-0.9494353094059953</v>
      </c>
      <c r="H40" s="108">
        <f t="shared" si="1"/>
        <v>0.9494353094059953</v>
      </c>
      <c r="I40" s="30">
        <v>-438866</v>
      </c>
      <c r="J40" s="31">
        <v>-438860</v>
      </c>
      <c r="K40" s="28">
        <f t="shared" si="3"/>
        <v>6</v>
      </c>
      <c r="L40" s="27">
        <f t="shared" si="5"/>
        <v>-1.8640299999999996</v>
      </c>
      <c r="M40" s="27">
        <f t="shared" si="4"/>
        <v>1.8640299999999996</v>
      </c>
      <c r="N40" s="63"/>
      <c r="O40" s="20"/>
    </row>
    <row r="41" spans="1:17" ht="15.75" thickBot="1">
      <c r="A41" s="1">
        <v>75</v>
      </c>
      <c r="B41" t="s">
        <v>168</v>
      </c>
      <c r="C41" s="14">
        <v>7.83352</v>
      </c>
      <c r="D41" s="68">
        <v>-16707.589339950999</v>
      </c>
      <c r="E41" s="68">
        <v>-16707.323911042498</v>
      </c>
      <c r="F41" s="19">
        <f t="shared" si="0"/>
        <v>7.222688550053368</v>
      </c>
      <c r="G41" s="108">
        <f t="shared" si="2"/>
        <v>-0.61083144994663208</v>
      </c>
      <c r="H41" s="108">
        <f t="shared" si="1"/>
        <v>0.61083144994663208</v>
      </c>
      <c r="I41" s="30">
        <v>-453836</v>
      </c>
      <c r="J41" s="31">
        <v>-453830</v>
      </c>
      <c r="K41" s="28">
        <f t="shared" si="3"/>
        <v>6</v>
      </c>
      <c r="L41" s="27">
        <f t="shared" si="5"/>
        <v>-1.83352</v>
      </c>
      <c r="M41" s="27">
        <f t="shared" si="4"/>
        <v>1.83352</v>
      </c>
      <c r="N41" s="63"/>
      <c r="O41" s="20"/>
    </row>
    <row r="42" spans="1:17" ht="15.75" thickBot="1">
      <c r="A42" s="1">
        <v>76</v>
      </c>
      <c r="B42" t="s">
        <v>175</v>
      </c>
      <c r="C42" s="14">
        <v>8.4382300000000008</v>
      </c>
      <c r="D42" s="68">
        <v>-17271.037402731501</v>
      </c>
      <c r="E42" s="68">
        <v>-17270.761388208899</v>
      </c>
      <c r="F42" s="19">
        <f t="shared" si="0"/>
        <v>7.5107377840264773</v>
      </c>
      <c r="G42" s="108">
        <f t="shared" si="2"/>
        <v>-0.92749221597352349</v>
      </c>
      <c r="H42" s="108">
        <f t="shared" si="1"/>
        <v>0.92749221597352349</v>
      </c>
      <c r="I42" s="30">
        <v>-469128</v>
      </c>
      <c r="J42" s="31">
        <v>-469122</v>
      </c>
      <c r="K42" s="28">
        <f t="shared" si="3"/>
        <v>6</v>
      </c>
      <c r="L42" s="118">
        <f t="shared" si="5"/>
        <v>-2.4382300000000008</v>
      </c>
      <c r="M42" s="119">
        <f t="shared" si="4"/>
        <v>2.4382300000000008</v>
      </c>
      <c r="N42" s="54"/>
      <c r="O42" s="20"/>
    </row>
    <row r="43" spans="1:17">
      <c r="A43" s="1">
        <v>77</v>
      </c>
      <c r="B43" t="s">
        <v>183</v>
      </c>
      <c r="C43" s="14">
        <v>8.9670199999999998</v>
      </c>
      <c r="D43" s="68">
        <v>-17846.764166912599</v>
      </c>
      <c r="E43" s="68">
        <v>-17846.478111480199</v>
      </c>
      <c r="F43" s="19">
        <f t="shared" si="0"/>
        <v>7.7839648587922952</v>
      </c>
      <c r="G43" s="108">
        <f t="shared" si="2"/>
        <v>-1.1830551412077046</v>
      </c>
      <c r="H43" s="108">
        <f t="shared" si="1"/>
        <v>1.1830551412077046</v>
      </c>
      <c r="I43" s="30">
        <v>-484754</v>
      </c>
      <c r="J43" s="31">
        <v>-484747</v>
      </c>
      <c r="K43" s="28">
        <f t="shared" si="3"/>
        <v>7</v>
      </c>
      <c r="L43" s="27">
        <f t="shared" si="5"/>
        <v>-1.9670199999999998</v>
      </c>
      <c r="M43" s="27">
        <f t="shared" si="4"/>
        <v>1.9670199999999998</v>
      </c>
      <c r="N43" s="63"/>
      <c r="O43" s="20"/>
    </row>
    <row r="44" spans="1:17" ht="15.75" thickBot="1">
      <c r="A44" s="1">
        <v>79</v>
      </c>
      <c r="B44" t="s">
        <v>191</v>
      </c>
      <c r="C44" s="14">
        <v>9.2255540000000007</v>
      </c>
      <c r="D44" s="68">
        <v>-19035.554682617301</v>
      </c>
      <c r="E44" s="68">
        <v>-19035.272111672199</v>
      </c>
      <c r="F44" s="19">
        <f t="shared" si="0"/>
        <v>7.6891471290816487</v>
      </c>
      <c r="G44" s="108">
        <f t="shared" si="2"/>
        <v>-1.536406870918352</v>
      </c>
      <c r="H44" s="108">
        <f t="shared" si="1"/>
        <v>1.536406870918352</v>
      </c>
      <c r="I44" s="30">
        <v>-517015</v>
      </c>
      <c r="J44" s="31">
        <v>-517008</v>
      </c>
      <c r="K44" s="28">
        <f t="shared" si="3"/>
        <v>7</v>
      </c>
      <c r="L44" s="27">
        <f t="shared" si="5"/>
        <v>-2.2255540000000007</v>
      </c>
      <c r="M44" s="27">
        <f t="shared" si="4"/>
        <v>2.2255540000000007</v>
      </c>
      <c r="N44" s="63"/>
      <c r="O44" s="20"/>
    </row>
    <row r="45" spans="1:17" ht="15.75" thickBot="1">
      <c r="A45" s="1">
        <v>80</v>
      </c>
      <c r="B45" t="s">
        <v>194</v>
      </c>
      <c r="C45" s="14">
        <v>10.437504000000001</v>
      </c>
      <c r="D45" s="68">
        <v>-19648.894912549</v>
      </c>
      <c r="E45" s="68">
        <v>-19648.580820691299</v>
      </c>
      <c r="F45" s="19">
        <f t="shared" si="0"/>
        <v>8.5468748566214572</v>
      </c>
      <c r="G45" s="116">
        <f t="shared" si="2"/>
        <v>-1.8906291433785434</v>
      </c>
      <c r="H45" s="117">
        <f t="shared" si="1"/>
        <v>1.8906291433785434</v>
      </c>
      <c r="I45" s="31">
        <v>-533660</v>
      </c>
      <c r="J45" s="31">
        <v>-533651</v>
      </c>
      <c r="K45" s="28">
        <f t="shared" si="3"/>
        <v>9</v>
      </c>
      <c r="L45" s="27">
        <f t="shared" si="5"/>
        <v>-1.4375040000000006</v>
      </c>
      <c r="M45" s="27">
        <f t="shared" si="4"/>
        <v>1.4375040000000006</v>
      </c>
      <c r="N45" s="63"/>
      <c r="O45" s="20"/>
    </row>
    <row r="46" spans="1:17">
      <c r="A46" s="1">
        <v>81</v>
      </c>
      <c r="B46" t="s">
        <v>196</v>
      </c>
      <c r="C46" s="14">
        <v>6.1082872999999998</v>
      </c>
      <c r="D46" s="68">
        <v>-20274.8397701662</v>
      </c>
      <c r="E46" s="68">
        <v>-20274.657048657002</v>
      </c>
      <c r="F46" s="19">
        <f t="shared" si="0"/>
        <v>4.9721055622371138</v>
      </c>
      <c r="G46" s="108">
        <f t="shared" si="2"/>
        <v>-1.136181737762886</v>
      </c>
      <c r="H46" s="108">
        <f t="shared" si="1"/>
        <v>1.136181737762886</v>
      </c>
      <c r="I46" s="30">
        <v>-550647</v>
      </c>
      <c r="J46" s="31">
        <v>-550642</v>
      </c>
      <c r="K46" s="28">
        <f t="shared" si="3"/>
        <v>5</v>
      </c>
      <c r="L46" s="27">
        <f t="shared" si="5"/>
        <v>-1.1082872999999998</v>
      </c>
      <c r="M46" s="27">
        <f t="shared" si="4"/>
        <v>1.1082872999999998</v>
      </c>
      <c r="N46" s="63"/>
      <c r="O46" s="20"/>
    </row>
    <row r="47" spans="1:17">
      <c r="A47" s="1">
        <v>85</v>
      </c>
      <c r="B47" t="s">
        <v>197</v>
      </c>
      <c r="C47" s="14">
        <v>9.3175100000000004</v>
      </c>
      <c r="D47" s="68">
        <v>-22909.732881080399</v>
      </c>
      <c r="E47" s="68">
        <v>-22909.3710757921</v>
      </c>
      <c r="F47" s="19">
        <f t="shared" si="0"/>
        <v>9.8452234457550691</v>
      </c>
      <c r="G47" s="108">
        <f t="shared" si="2"/>
        <v>0.52771344575506873</v>
      </c>
      <c r="H47" s="108">
        <f t="shared" si="1"/>
        <v>0.52771344575506873</v>
      </c>
      <c r="I47" s="30">
        <v>-622143</v>
      </c>
      <c r="J47" s="31">
        <v>-622134</v>
      </c>
      <c r="K47" s="28">
        <f t="shared" si="3"/>
        <v>9</v>
      </c>
      <c r="L47" s="27">
        <f t="shared" si="5"/>
        <v>-0.3175100000000004</v>
      </c>
      <c r="M47" s="27">
        <f t="shared" si="4"/>
        <v>0.3175100000000004</v>
      </c>
      <c r="N47" s="63"/>
      <c r="O47" s="20"/>
    </row>
    <row r="48" spans="1:17">
      <c r="A48" s="1">
        <v>87</v>
      </c>
      <c r="B48" t="s">
        <v>198</v>
      </c>
      <c r="C48" s="14">
        <v>4.0727411</v>
      </c>
      <c r="D48" s="68">
        <v>-24308.228980709398</v>
      </c>
      <c r="E48" s="68">
        <v>-24308.097124233998</v>
      </c>
      <c r="F48" s="19">
        <f t="shared" si="0"/>
        <v>3.5879974811474771</v>
      </c>
      <c r="G48" s="108">
        <f t="shared" si="2"/>
        <v>-0.48474361885252293</v>
      </c>
      <c r="H48" s="108">
        <f t="shared" si="1"/>
        <v>0.48474361885252293</v>
      </c>
      <c r="I48" s="30">
        <v>-660083</v>
      </c>
      <c r="J48" s="31">
        <v>-660080</v>
      </c>
      <c r="K48" s="28">
        <f>(J48-I48)</f>
        <v>3</v>
      </c>
      <c r="L48" s="27">
        <f t="shared" si="5"/>
        <v>-1.0727411</v>
      </c>
      <c r="M48" s="27">
        <f t="shared" si="4"/>
        <v>1.0727411</v>
      </c>
      <c r="N48" s="63"/>
      <c r="O48" s="20"/>
    </row>
    <row r="49" spans="7:14">
      <c r="G49" s="82" t="s">
        <v>256</v>
      </c>
      <c r="H49" s="4">
        <f>AVERAGE(H6:H7,H9:H48)</f>
        <v>0.86493192088243243</v>
      </c>
      <c r="L49" s="82" t="s">
        <v>256</v>
      </c>
      <c r="M49" s="4">
        <f>AVERAGE(M6:M7,M9:M48)</f>
        <v>0.95031732768023858</v>
      </c>
      <c r="N49" s="37"/>
    </row>
    <row r="50" spans="7:14">
      <c r="G50" s="82" t="s">
        <v>255</v>
      </c>
      <c r="H50" s="4">
        <f>MAX(H6:H7,H9:H48)</f>
        <v>1.8906291433785434</v>
      </c>
      <c r="L50" s="82" t="s">
        <v>255</v>
      </c>
      <c r="M50" s="4">
        <f>MAX(M6:M7,M9:M48)</f>
        <v>2.4382300000000008</v>
      </c>
    </row>
    <row r="51" spans="7:14">
      <c r="G51" s="124" t="s">
        <v>278</v>
      </c>
      <c r="H51">
        <f>COUNT(H6:H7,H9:H48)</f>
        <v>42</v>
      </c>
      <c r="L51" s="124" t="s">
        <v>278</v>
      </c>
      <c r="M51">
        <f>COUNT(M6:M7,M9:M48)</f>
        <v>42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4F1D-8E8F-4C86-A6FD-ED05F8A53085}">
  <dimension ref="A1:W54"/>
  <sheetViews>
    <sheetView workbookViewId="0">
      <selection activeCell="A2" sqref="A2"/>
    </sheetView>
  </sheetViews>
  <sheetFormatPr defaultRowHeight="15"/>
  <cols>
    <col min="1" max="1" width="10.42578125" style="1" customWidth="1"/>
    <col min="2" max="2" width="10.42578125" customWidth="1"/>
    <col min="3" max="3" width="13.140625" customWidth="1"/>
    <col min="4" max="4" width="13.5703125" style="65" customWidth="1"/>
    <col min="5" max="5" width="15.28515625" style="65" customWidth="1"/>
    <col min="6" max="6" width="11.85546875" style="65" customWidth="1"/>
    <col min="7" max="8" width="12" style="65" customWidth="1"/>
    <col min="9" max="9" width="14.5703125" style="26" customWidth="1"/>
    <col min="10" max="10" width="11.42578125" style="26" customWidth="1"/>
    <col min="11" max="11" width="11" style="27" customWidth="1"/>
    <col min="12" max="13" width="11" style="21" customWidth="1"/>
    <col min="14" max="14" width="14.140625" style="51" customWidth="1"/>
    <col min="15" max="15" width="14.42578125" style="52" bestFit="1" customWidth="1"/>
    <col min="16" max="17" width="12.7109375" style="52" customWidth="1"/>
    <col min="18" max="18" width="11.5703125" bestFit="1" customWidth="1"/>
    <col min="19" max="19" width="10.5703125" bestFit="1" customWidth="1"/>
  </cols>
  <sheetData>
    <row r="1" spans="1:23">
      <c r="C1" s="10" t="s">
        <v>239</v>
      </c>
      <c r="D1" s="66" t="s">
        <v>228</v>
      </c>
      <c r="F1" s="66"/>
      <c r="G1" s="66"/>
      <c r="H1" s="67"/>
      <c r="I1" s="87" t="s">
        <v>227</v>
      </c>
      <c r="J1" s="25"/>
      <c r="N1" s="77" t="s">
        <v>226</v>
      </c>
      <c r="O1" s="47"/>
      <c r="P1" s="47"/>
      <c r="Q1" s="47"/>
    </row>
    <row r="2" spans="1:23">
      <c r="A2" s="7" t="s">
        <v>423</v>
      </c>
      <c r="C2" s="263"/>
      <c r="D2" s="66"/>
      <c r="F2" s="66"/>
      <c r="G2" s="66"/>
      <c r="H2" s="66"/>
      <c r="I2" s="87"/>
      <c r="J2" s="25"/>
      <c r="N2" s="171"/>
      <c r="O2" s="47"/>
      <c r="P2" s="47"/>
      <c r="Q2" s="47"/>
    </row>
    <row r="3" spans="1:23">
      <c r="C3" s="263"/>
      <c r="D3" s="66"/>
      <c r="F3" s="66"/>
      <c r="G3" s="66"/>
      <c r="H3" s="66"/>
      <c r="I3" s="87"/>
      <c r="J3" s="25"/>
      <c r="N3" s="171"/>
      <c r="O3" s="47"/>
      <c r="P3" s="47"/>
      <c r="Q3" s="47"/>
    </row>
    <row r="4" spans="1:23">
      <c r="A4" s="12" t="s">
        <v>0</v>
      </c>
      <c r="B4" s="13" t="s">
        <v>1</v>
      </c>
      <c r="C4" s="64" t="s">
        <v>240</v>
      </c>
      <c r="D4" s="29" t="s">
        <v>244</v>
      </c>
      <c r="E4" s="29" t="s">
        <v>253</v>
      </c>
      <c r="F4" s="17" t="s">
        <v>229</v>
      </c>
      <c r="G4" s="35" t="s">
        <v>230</v>
      </c>
      <c r="H4" s="35" t="s">
        <v>254</v>
      </c>
      <c r="I4" s="34" t="s">
        <v>249</v>
      </c>
      <c r="J4" s="34" t="s">
        <v>250</v>
      </c>
      <c r="K4" s="23" t="s">
        <v>231</v>
      </c>
      <c r="L4" s="62" t="s">
        <v>232</v>
      </c>
      <c r="M4" s="62" t="s">
        <v>257</v>
      </c>
      <c r="N4" s="78" t="s">
        <v>248</v>
      </c>
      <c r="O4" s="48" t="s">
        <v>251</v>
      </c>
      <c r="P4" s="48" t="s">
        <v>235</v>
      </c>
      <c r="Q4" s="49" t="s">
        <v>236</v>
      </c>
      <c r="R4" s="6"/>
    </row>
    <row r="5" spans="1:23">
      <c r="A5" s="1">
        <v>5</v>
      </c>
      <c r="B5" t="s">
        <v>4</v>
      </c>
      <c r="C5" s="14">
        <v>25.15483</v>
      </c>
      <c r="D5" s="76">
        <v>-24.245165</v>
      </c>
      <c r="E5" s="76">
        <v>-23.383320999999999</v>
      </c>
      <c r="F5" s="65">
        <v>23.452000000000002</v>
      </c>
      <c r="G5" s="108">
        <f t="shared" ref="G5:G36" si="0">F5-C5</f>
        <v>-1.7028299999999987</v>
      </c>
      <c r="H5" s="109">
        <f>ABS(G5)</f>
        <v>1.7028299999999987</v>
      </c>
      <c r="I5" s="44">
        <v>-660</v>
      </c>
      <c r="J5" s="44">
        <v>-636</v>
      </c>
      <c r="K5" s="28">
        <v>24</v>
      </c>
      <c r="L5" s="27">
        <f t="shared" ref="L5:L36" si="1">K5-C5</f>
        <v>-1.1548300000000005</v>
      </c>
      <c r="M5" s="27">
        <f>ABS(L5)</f>
        <v>1.1548300000000005</v>
      </c>
      <c r="N5" s="70"/>
      <c r="O5" s="51"/>
      <c r="S5" s="4"/>
      <c r="T5" s="4"/>
      <c r="U5" s="4"/>
      <c r="V5" s="8"/>
    </row>
    <row r="6" spans="1:23">
      <c r="A6" s="1">
        <v>6</v>
      </c>
      <c r="B6" t="s">
        <v>7</v>
      </c>
      <c r="C6" s="14">
        <v>24.383154000000001</v>
      </c>
      <c r="D6" s="76">
        <v>-37.308726999999998</v>
      </c>
      <c r="E6" s="76">
        <v>-36.425151</v>
      </c>
      <c r="F6" s="65">
        <v>24.042999999999999</v>
      </c>
      <c r="G6" s="108">
        <f t="shared" si="0"/>
        <v>-0.34015400000000184</v>
      </c>
      <c r="H6" s="109">
        <f t="shared" ref="H6:H36" si="2">ABS(G6)</f>
        <v>0.34015400000000184</v>
      </c>
      <c r="I6" s="44">
        <v>-1015</v>
      </c>
      <c r="J6" s="44">
        <v>-991</v>
      </c>
      <c r="K6" s="28">
        <v>24</v>
      </c>
      <c r="L6" s="27">
        <f t="shared" si="1"/>
        <v>-0.3831540000000011</v>
      </c>
      <c r="M6" s="27">
        <f t="shared" ref="M6:M36" si="3">ABS(L6)</f>
        <v>0.3831540000000011</v>
      </c>
      <c r="N6" s="70"/>
      <c r="O6" s="51"/>
    </row>
    <row r="7" spans="1:23">
      <c r="A7" s="1">
        <v>7</v>
      </c>
      <c r="B7" t="s">
        <v>11</v>
      </c>
      <c r="C7" s="14">
        <v>29.60125</v>
      </c>
      <c r="D7" s="76">
        <v>-53.879268000000003</v>
      </c>
      <c r="E7" s="76">
        <v>-52.847828</v>
      </c>
      <c r="F7" s="65">
        <v>28.067</v>
      </c>
      <c r="G7" s="108">
        <f t="shared" si="0"/>
        <v>-1.5342500000000001</v>
      </c>
      <c r="H7" s="109">
        <f t="shared" si="2"/>
        <v>1.5342500000000001</v>
      </c>
      <c r="I7" s="44">
        <v>-1467</v>
      </c>
      <c r="J7" s="44">
        <v>-1438</v>
      </c>
      <c r="K7" s="28">
        <v>29</v>
      </c>
      <c r="L7" s="27">
        <f t="shared" si="1"/>
        <v>-0.60125000000000028</v>
      </c>
      <c r="M7" s="27">
        <f t="shared" si="3"/>
        <v>0.60125000000000028</v>
      </c>
      <c r="N7" s="70"/>
      <c r="O7" s="51"/>
      <c r="W7" s="5"/>
    </row>
    <row r="8" spans="1:23">
      <c r="A8" s="1">
        <v>8</v>
      </c>
      <c r="B8" t="s">
        <v>16</v>
      </c>
      <c r="C8" s="14">
        <v>35.121119999999998</v>
      </c>
      <c r="D8" s="76">
        <v>-74.289500000000004</v>
      </c>
      <c r="E8" s="76">
        <v>-73.105001999999999</v>
      </c>
      <c r="F8" s="65">
        <v>32.231999999999999</v>
      </c>
      <c r="G8" s="108">
        <f t="shared" si="0"/>
        <v>-2.8891199999999984</v>
      </c>
      <c r="H8" s="109">
        <f t="shared" si="2"/>
        <v>2.8891199999999984</v>
      </c>
      <c r="I8" s="44">
        <v>-2025</v>
      </c>
      <c r="J8" s="44">
        <v>-1990</v>
      </c>
      <c r="K8" s="28">
        <v>35</v>
      </c>
      <c r="L8" s="27">
        <f t="shared" si="1"/>
        <v>-0.12111999999999767</v>
      </c>
      <c r="M8" s="27">
        <f t="shared" si="3"/>
        <v>0.12111999999999767</v>
      </c>
      <c r="N8" s="70"/>
      <c r="O8" s="51"/>
    </row>
    <row r="9" spans="1:23">
      <c r="A9" s="1">
        <v>14</v>
      </c>
      <c r="B9" t="s">
        <v>20</v>
      </c>
      <c r="C9" s="14">
        <v>16.345849999999999</v>
      </c>
      <c r="D9" s="76">
        <v>-289.20025399999997</v>
      </c>
      <c r="E9" s="76">
        <v>-288.62343099999998</v>
      </c>
      <c r="F9" s="65">
        <v>15.696</v>
      </c>
      <c r="G9" s="108">
        <f t="shared" si="0"/>
        <v>-0.64984999999999893</v>
      </c>
      <c r="H9" s="109">
        <f t="shared" si="2"/>
        <v>0.64984999999999893</v>
      </c>
      <c r="I9" s="44">
        <v>-7867</v>
      </c>
      <c r="J9" s="44">
        <v>-7851</v>
      </c>
      <c r="K9" s="28">
        <v>16</v>
      </c>
      <c r="L9" s="27">
        <f t="shared" si="1"/>
        <v>-0.34584999999999866</v>
      </c>
      <c r="M9" s="27">
        <f t="shared" si="3"/>
        <v>0.34584999999999866</v>
      </c>
      <c r="N9" s="70"/>
      <c r="O9" s="51"/>
    </row>
    <row r="10" spans="1:23">
      <c r="A10" s="1">
        <v>15</v>
      </c>
      <c r="B10" t="s">
        <v>24</v>
      </c>
      <c r="C10" s="14">
        <v>19.769490000000001</v>
      </c>
      <c r="D10" s="76">
        <v>-341.17012599999998</v>
      </c>
      <c r="E10" s="76">
        <v>-340.49171999999999</v>
      </c>
      <c r="F10" s="65">
        <v>18.46</v>
      </c>
      <c r="G10" s="108">
        <f t="shared" si="0"/>
        <v>-1.3094900000000003</v>
      </c>
      <c r="H10" s="109">
        <f t="shared" si="2"/>
        <v>1.3094900000000003</v>
      </c>
      <c r="I10" s="44">
        <v>-9281</v>
      </c>
      <c r="J10" s="44">
        <v>-9262</v>
      </c>
      <c r="K10" s="28">
        <v>19</v>
      </c>
      <c r="L10" s="27">
        <f t="shared" si="1"/>
        <v>-0.76949000000000112</v>
      </c>
      <c r="M10" s="27">
        <f t="shared" si="3"/>
        <v>0.76949000000000112</v>
      </c>
      <c r="N10" s="70"/>
      <c r="O10" s="51"/>
    </row>
    <row r="11" spans="1:23">
      <c r="A11" s="1">
        <v>16</v>
      </c>
      <c r="B11" t="s">
        <v>29</v>
      </c>
      <c r="C11" s="14">
        <v>23.337879999999998</v>
      </c>
      <c r="D11" s="76">
        <v>-398.20547199999999</v>
      </c>
      <c r="E11" s="76">
        <v>-397.42171500000001</v>
      </c>
      <c r="F11" s="65">
        <v>21.327000000000002</v>
      </c>
      <c r="G11" s="108">
        <f t="shared" si="0"/>
        <v>-2.0108799999999967</v>
      </c>
      <c r="H11" s="109">
        <f t="shared" si="2"/>
        <v>2.0108799999999967</v>
      </c>
      <c r="I11" s="44">
        <v>-10834</v>
      </c>
      <c r="J11" s="44">
        <v>-10811</v>
      </c>
      <c r="K11" s="28">
        <v>23</v>
      </c>
      <c r="L11" s="27">
        <f t="shared" si="1"/>
        <v>-0.3378799999999984</v>
      </c>
      <c r="M11" s="27">
        <f t="shared" si="3"/>
        <v>0.3378799999999984</v>
      </c>
      <c r="N11" s="70"/>
      <c r="O11" s="51"/>
    </row>
    <row r="12" spans="1:23">
      <c r="A12" s="1">
        <v>17</v>
      </c>
      <c r="B12" t="s">
        <v>35</v>
      </c>
      <c r="C12" s="14">
        <v>23.813639999999999</v>
      </c>
      <c r="D12" s="76">
        <v>-460.47337800000003</v>
      </c>
      <c r="E12" s="76">
        <v>-459.58013599999998</v>
      </c>
      <c r="F12" s="65">
        <v>24.306000000000001</v>
      </c>
      <c r="G12" s="108">
        <f t="shared" si="0"/>
        <v>0.49236000000000146</v>
      </c>
      <c r="H12" s="109">
        <f t="shared" si="2"/>
        <v>0.49236000000000146</v>
      </c>
      <c r="I12" s="44">
        <v>-12526</v>
      </c>
      <c r="J12" s="44">
        <v>-12504</v>
      </c>
      <c r="K12" s="28">
        <v>22</v>
      </c>
      <c r="L12" s="27">
        <f t="shared" si="1"/>
        <v>-1.8136399999999995</v>
      </c>
      <c r="M12" s="27">
        <f t="shared" si="3"/>
        <v>1.8136399999999995</v>
      </c>
      <c r="N12" s="70"/>
      <c r="O12" s="51"/>
    </row>
    <row r="13" spans="1:23">
      <c r="A13" s="1">
        <v>21</v>
      </c>
      <c r="B13" t="s">
        <v>43</v>
      </c>
      <c r="C13" s="14">
        <v>12.799770000000001</v>
      </c>
      <c r="D13" s="76">
        <v>-763.17578700000001</v>
      </c>
      <c r="E13" s="76">
        <v>-762.73185000000001</v>
      </c>
      <c r="F13" s="65">
        <v>12.08</v>
      </c>
      <c r="G13" s="108">
        <f t="shared" si="0"/>
        <v>-0.71977000000000046</v>
      </c>
      <c r="H13" s="109">
        <f t="shared" si="2"/>
        <v>0.71977000000000046</v>
      </c>
      <c r="I13" s="44">
        <v>-20757</v>
      </c>
      <c r="J13" s="44">
        <v>-20745</v>
      </c>
      <c r="K13" s="28">
        <v>12</v>
      </c>
      <c r="L13" s="27">
        <f t="shared" si="1"/>
        <v>-0.79977000000000054</v>
      </c>
      <c r="M13" s="27">
        <f t="shared" si="3"/>
        <v>0.79977000000000054</v>
      </c>
      <c r="N13" s="70"/>
      <c r="O13" s="51"/>
    </row>
    <row r="14" spans="1:23" ht="15.75" thickBot="1">
      <c r="A14" s="1">
        <v>23</v>
      </c>
      <c r="B14" t="s">
        <v>48</v>
      </c>
      <c r="C14" s="14">
        <v>14.634</v>
      </c>
      <c r="D14" s="76">
        <v>-947.93657299999995</v>
      </c>
      <c r="E14" s="76">
        <v>-947.47459300000003</v>
      </c>
      <c r="F14" s="65">
        <v>12.571</v>
      </c>
      <c r="G14" s="108">
        <f t="shared" si="0"/>
        <v>-2.0630000000000006</v>
      </c>
      <c r="H14" s="109">
        <f t="shared" si="2"/>
        <v>2.0630000000000006</v>
      </c>
      <c r="I14" s="44">
        <v>-25783</v>
      </c>
      <c r="J14" s="44">
        <v>-25770</v>
      </c>
      <c r="K14" s="28">
        <v>13</v>
      </c>
      <c r="L14" s="27">
        <f t="shared" si="1"/>
        <v>-1.6340000000000003</v>
      </c>
      <c r="M14" s="27">
        <f t="shared" si="3"/>
        <v>1.6340000000000003</v>
      </c>
      <c r="N14" s="70"/>
      <c r="O14" s="51"/>
    </row>
    <row r="15" spans="1:23" ht="15.75" thickBot="1">
      <c r="A15" s="1">
        <v>24</v>
      </c>
      <c r="B15" t="s">
        <v>53</v>
      </c>
      <c r="C15" s="14">
        <v>16.486305000000002</v>
      </c>
      <c r="D15" s="76">
        <v>-1049.3890060000001</v>
      </c>
      <c r="E15" s="76">
        <v>-1048.8941950000001</v>
      </c>
      <c r="F15" s="65">
        <v>13.464</v>
      </c>
      <c r="G15" s="116">
        <f t="shared" si="0"/>
        <v>-3.0223050000000011</v>
      </c>
      <c r="H15" s="117">
        <f t="shared" si="2"/>
        <v>3.0223050000000011</v>
      </c>
      <c r="I15" s="44">
        <v>-28544</v>
      </c>
      <c r="J15" s="44">
        <v>-28529</v>
      </c>
      <c r="K15" s="28">
        <v>15</v>
      </c>
      <c r="L15" s="27">
        <f t="shared" si="1"/>
        <v>-1.4863050000000015</v>
      </c>
      <c r="M15" s="27">
        <f t="shared" si="3"/>
        <v>1.4863050000000015</v>
      </c>
      <c r="N15" s="70"/>
      <c r="O15" s="51"/>
    </row>
    <row r="16" spans="1:23">
      <c r="A16" s="1">
        <v>25</v>
      </c>
      <c r="B16" t="s">
        <v>59</v>
      </c>
      <c r="C16" s="14">
        <v>15.639989999999999</v>
      </c>
      <c r="D16" s="76">
        <v>-1157.0779480000001</v>
      </c>
      <c r="E16" s="76">
        <v>-1156.5488150000001</v>
      </c>
      <c r="F16" s="65">
        <v>14.398</v>
      </c>
      <c r="G16" s="108">
        <f t="shared" si="0"/>
        <v>-1.2419899999999995</v>
      </c>
      <c r="H16" s="109">
        <f t="shared" si="2"/>
        <v>1.2419899999999995</v>
      </c>
      <c r="I16" s="44">
        <v>-31474</v>
      </c>
      <c r="J16" s="44">
        <v>-31459</v>
      </c>
      <c r="K16" s="28">
        <v>15</v>
      </c>
      <c r="L16" s="27">
        <f t="shared" si="1"/>
        <v>-0.63998999999999917</v>
      </c>
      <c r="M16" s="27">
        <f t="shared" si="3"/>
        <v>0.63998999999999917</v>
      </c>
      <c r="N16" s="70"/>
      <c r="O16" s="51"/>
    </row>
    <row r="17" spans="1:17">
      <c r="A17" s="1">
        <v>26</v>
      </c>
      <c r="B17" t="s">
        <v>66</v>
      </c>
      <c r="C17" s="14">
        <v>16.199210000000001</v>
      </c>
      <c r="D17" s="76">
        <v>-1271.139089</v>
      </c>
      <c r="E17" s="76">
        <v>-1270.5910710000001</v>
      </c>
      <c r="F17" s="65">
        <v>14.912000000000001</v>
      </c>
      <c r="G17" s="108">
        <f t="shared" si="0"/>
        <v>-1.28721</v>
      </c>
      <c r="H17" s="109">
        <f t="shared" si="2"/>
        <v>1.28721</v>
      </c>
      <c r="I17" s="44">
        <v>-34573</v>
      </c>
      <c r="J17" s="44">
        <v>-34557</v>
      </c>
      <c r="K17" s="28">
        <v>16</v>
      </c>
      <c r="L17" s="27">
        <f t="shared" si="1"/>
        <v>-0.19921000000000078</v>
      </c>
      <c r="M17" s="27">
        <f t="shared" si="3"/>
        <v>0.19921000000000078</v>
      </c>
      <c r="N17" s="70"/>
      <c r="O17" s="51"/>
    </row>
    <row r="18" spans="1:17">
      <c r="A18" s="1">
        <v>27</v>
      </c>
      <c r="B18" t="s">
        <v>72</v>
      </c>
      <c r="C18" s="14">
        <v>17.084399999999999</v>
      </c>
      <c r="D18" s="76">
        <v>-1391.7570860000001</v>
      </c>
      <c r="E18" s="76">
        <v>-1391.173951</v>
      </c>
      <c r="F18" s="65">
        <v>15.868</v>
      </c>
      <c r="G18" s="108">
        <f t="shared" si="0"/>
        <v>-1.2163999999999984</v>
      </c>
      <c r="H18" s="109">
        <f t="shared" si="2"/>
        <v>1.2163999999999984</v>
      </c>
      <c r="I18" s="44">
        <v>-37849</v>
      </c>
      <c r="J18" s="44">
        <v>-37834</v>
      </c>
      <c r="K18" s="28">
        <v>15</v>
      </c>
      <c r="L18" s="27">
        <f t="shared" si="1"/>
        <v>-2.0843999999999987</v>
      </c>
      <c r="M18" s="27">
        <f t="shared" si="3"/>
        <v>2.0843999999999987</v>
      </c>
      <c r="N18" s="70"/>
      <c r="O18" s="51"/>
    </row>
    <row r="19" spans="1:17" ht="15.75" thickBot="1">
      <c r="A19" s="1">
        <v>28</v>
      </c>
      <c r="B19" t="s">
        <v>77</v>
      </c>
      <c r="C19" s="14">
        <v>18.168838000000001</v>
      </c>
      <c r="D19" s="76">
        <v>-1519.0615</v>
      </c>
      <c r="E19" s="76">
        <v>-1518.4512830000001</v>
      </c>
      <c r="F19" s="65">
        <v>16.605</v>
      </c>
      <c r="G19" s="108">
        <f t="shared" si="0"/>
        <v>-1.5638380000000005</v>
      </c>
      <c r="H19" s="109">
        <f t="shared" si="2"/>
        <v>1.5638380000000005</v>
      </c>
      <c r="I19" s="44">
        <v>-41308</v>
      </c>
      <c r="J19" s="44">
        <v>-41293</v>
      </c>
      <c r="K19" s="28">
        <v>15</v>
      </c>
      <c r="L19" s="27">
        <f t="shared" si="1"/>
        <v>-3.1688380000000009</v>
      </c>
      <c r="M19" s="27">
        <f t="shared" si="3"/>
        <v>3.1688380000000009</v>
      </c>
      <c r="N19" s="70"/>
      <c r="O19" s="51"/>
    </row>
    <row r="20" spans="1:17" ht="15.75" thickBot="1">
      <c r="A20" s="1">
        <v>29</v>
      </c>
      <c r="B20" t="s">
        <v>81</v>
      </c>
      <c r="C20" s="14">
        <v>20.292390000000001</v>
      </c>
      <c r="D20" s="76">
        <v>-1653.2137150000001</v>
      </c>
      <c r="E20" s="76">
        <v>-1652.577282</v>
      </c>
      <c r="F20" s="65">
        <v>17.318000000000001</v>
      </c>
      <c r="G20" s="108">
        <f t="shared" si="0"/>
        <v>-2.9743899999999996</v>
      </c>
      <c r="H20" s="109">
        <f t="shared" si="2"/>
        <v>2.9743899999999996</v>
      </c>
      <c r="I20" s="44">
        <v>-44955</v>
      </c>
      <c r="J20" s="44">
        <v>-44938</v>
      </c>
      <c r="K20" s="28">
        <v>17</v>
      </c>
      <c r="L20" s="118">
        <f t="shared" si="1"/>
        <v>-3.292390000000001</v>
      </c>
      <c r="M20" s="119">
        <f t="shared" si="3"/>
        <v>3.292390000000001</v>
      </c>
      <c r="N20" s="50">
        <v>-1653.2136</v>
      </c>
      <c r="O20" s="50">
        <v>-1651.9503</v>
      </c>
      <c r="P20" s="120">
        <f>(O20-N20)*27.211386245988</f>
        <v>34.376144244558596</v>
      </c>
      <c r="Q20" s="120">
        <f>P20-C20</f>
        <v>14.083754244558595</v>
      </c>
    </row>
    <row r="21" spans="1:17">
      <c r="A21" s="1">
        <v>31</v>
      </c>
      <c r="B21" t="s">
        <v>85</v>
      </c>
      <c r="C21" s="14">
        <v>20.515139999999999</v>
      </c>
      <c r="D21" s="76">
        <v>-1942.3635999999999</v>
      </c>
      <c r="E21" s="76">
        <v>-1941.673996</v>
      </c>
      <c r="F21" s="65">
        <v>18.765000000000001</v>
      </c>
      <c r="G21" s="108">
        <f t="shared" si="0"/>
        <v>-1.7501399999999983</v>
      </c>
      <c r="H21" s="109">
        <f t="shared" si="2"/>
        <v>1.7501399999999983</v>
      </c>
      <c r="I21" s="44">
        <v>-52815</v>
      </c>
      <c r="J21" s="44">
        <v>-52797</v>
      </c>
      <c r="K21" s="28">
        <v>18</v>
      </c>
      <c r="L21" s="27">
        <f t="shared" si="1"/>
        <v>-2.5151399999999988</v>
      </c>
      <c r="M21" s="27">
        <f t="shared" si="3"/>
        <v>2.5151399999999988</v>
      </c>
      <c r="N21" s="70"/>
      <c r="O21" s="51"/>
      <c r="P21" s="121"/>
      <c r="Q21" s="121"/>
    </row>
    <row r="22" spans="1:17">
      <c r="A22" s="1">
        <v>32</v>
      </c>
      <c r="B22" t="s">
        <v>88</v>
      </c>
      <c r="C22" s="14">
        <v>15.934609999999999</v>
      </c>
      <c r="D22" s="76">
        <v>-2097.2176060000002</v>
      </c>
      <c r="E22" s="76">
        <v>-2096.6610049999999</v>
      </c>
      <c r="F22" s="65">
        <v>15.146000000000001</v>
      </c>
      <c r="G22" s="108">
        <f t="shared" si="0"/>
        <v>-0.78860999999999848</v>
      </c>
      <c r="H22" s="109">
        <f t="shared" si="2"/>
        <v>0.78860999999999848</v>
      </c>
      <c r="I22" s="44">
        <v>-57025</v>
      </c>
      <c r="J22" s="44">
        <v>-57010</v>
      </c>
      <c r="K22" s="28">
        <v>15</v>
      </c>
      <c r="L22" s="27">
        <f t="shared" si="1"/>
        <v>-0.93460999999999927</v>
      </c>
      <c r="M22" s="27">
        <f t="shared" si="3"/>
        <v>0.93460999999999927</v>
      </c>
      <c r="N22" s="70"/>
      <c r="O22" s="51"/>
      <c r="P22" s="121"/>
      <c r="Q22" s="121"/>
    </row>
    <row r="23" spans="1:17">
      <c r="A23" s="1">
        <v>40</v>
      </c>
      <c r="B23" t="s">
        <v>98</v>
      </c>
      <c r="C23" s="14">
        <v>13.13</v>
      </c>
      <c r="D23" s="76">
        <v>-3596.8778980000002</v>
      </c>
      <c r="E23" s="76">
        <v>-3596.4396019999999</v>
      </c>
      <c r="F23" s="65">
        <v>11.927</v>
      </c>
      <c r="G23" s="108">
        <f t="shared" si="0"/>
        <v>-1.2030000000000012</v>
      </c>
      <c r="H23" s="109">
        <f t="shared" si="2"/>
        <v>1.2030000000000012</v>
      </c>
      <c r="I23" s="44">
        <v>-97784</v>
      </c>
      <c r="J23" s="44">
        <v>-97772</v>
      </c>
      <c r="K23" s="28">
        <v>12</v>
      </c>
      <c r="L23" s="27">
        <f t="shared" si="1"/>
        <v>-1.1300000000000008</v>
      </c>
      <c r="M23" s="27">
        <f t="shared" si="3"/>
        <v>1.1300000000000008</v>
      </c>
      <c r="N23" s="70"/>
      <c r="O23" s="51"/>
      <c r="P23" s="121"/>
      <c r="Q23" s="121"/>
    </row>
    <row r="24" spans="1:17">
      <c r="A24" s="1">
        <v>42</v>
      </c>
      <c r="B24" t="s">
        <v>105</v>
      </c>
      <c r="C24" s="14">
        <v>16.16</v>
      </c>
      <c r="D24" s="76">
        <v>-4046.9372760000001</v>
      </c>
      <c r="E24" s="76">
        <v>-4046.433892</v>
      </c>
      <c r="F24" s="65">
        <v>13.698</v>
      </c>
      <c r="G24" s="108">
        <f t="shared" si="0"/>
        <v>-2.4619999999999997</v>
      </c>
      <c r="H24" s="109">
        <f t="shared" si="2"/>
        <v>2.4619999999999997</v>
      </c>
      <c r="I24" s="44">
        <v>-110017</v>
      </c>
      <c r="J24" s="44">
        <v>-110002</v>
      </c>
      <c r="K24" s="28">
        <v>15</v>
      </c>
      <c r="L24" s="27">
        <f t="shared" si="1"/>
        <v>-1.1600000000000001</v>
      </c>
      <c r="M24" s="27">
        <f t="shared" si="3"/>
        <v>1.1600000000000001</v>
      </c>
      <c r="N24" s="70"/>
      <c r="O24" s="51"/>
      <c r="P24" s="121"/>
      <c r="Q24" s="121"/>
    </row>
    <row r="25" spans="1:17">
      <c r="A25" s="1">
        <v>43</v>
      </c>
      <c r="B25" t="s">
        <v>111</v>
      </c>
      <c r="C25" s="14">
        <v>15.26</v>
      </c>
      <c r="D25" s="76">
        <v>-4283.8776470000003</v>
      </c>
      <c r="E25" s="76">
        <v>-4283.3807669999997</v>
      </c>
      <c r="F25" s="65">
        <v>13.521000000000001</v>
      </c>
      <c r="G25" s="108">
        <f t="shared" si="0"/>
        <v>-1.738999999999999</v>
      </c>
      <c r="H25" s="109">
        <f t="shared" si="2"/>
        <v>1.738999999999999</v>
      </c>
      <c r="I25" s="44">
        <v>-116457</v>
      </c>
      <c r="J25" s="44">
        <v>-116443</v>
      </c>
      <c r="K25" s="28">
        <v>14</v>
      </c>
      <c r="L25" s="27">
        <f t="shared" si="1"/>
        <v>-1.2599999999999998</v>
      </c>
      <c r="M25" s="27">
        <f t="shared" si="3"/>
        <v>1.2599999999999998</v>
      </c>
      <c r="N25" s="70"/>
      <c r="O25" s="51"/>
      <c r="P25" s="121"/>
      <c r="Q25" s="121"/>
    </row>
    <row r="26" spans="1:17">
      <c r="A26" s="1">
        <v>44</v>
      </c>
      <c r="B26" t="s">
        <v>118</v>
      </c>
      <c r="C26" s="14">
        <v>16.760000000000002</v>
      </c>
      <c r="D26" s="76">
        <v>-4529.0496590000002</v>
      </c>
      <c r="E26" s="76">
        <v>-4528.4556309999998</v>
      </c>
      <c r="F26" s="65">
        <v>16.164000000000001</v>
      </c>
      <c r="G26" s="108">
        <f t="shared" si="0"/>
        <v>-0.59600000000000009</v>
      </c>
      <c r="H26" s="109">
        <f t="shared" si="2"/>
        <v>0.59600000000000009</v>
      </c>
      <c r="I26" s="44">
        <v>-123115</v>
      </c>
      <c r="J26" s="44">
        <v>-123101</v>
      </c>
      <c r="K26" s="28">
        <v>14</v>
      </c>
      <c r="L26" s="27">
        <f t="shared" si="1"/>
        <v>-2.7600000000000016</v>
      </c>
      <c r="M26" s="27">
        <f t="shared" si="3"/>
        <v>2.7600000000000016</v>
      </c>
      <c r="N26" s="70"/>
      <c r="O26" s="51"/>
      <c r="P26" s="121"/>
      <c r="Q26" s="121"/>
    </row>
    <row r="27" spans="1:17">
      <c r="A27" s="1">
        <v>45</v>
      </c>
      <c r="B27" t="s">
        <v>126</v>
      </c>
      <c r="C27" s="14">
        <v>18.079999999999998</v>
      </c>
      <c r="D27" s="76">
        <v>-4782.4218060000003</v>
      </c>
      <c r="E27" s="76">
        <v>-4781.7824209999999</v>
      </c>
      <c r="F27" s="65">
        <v>17.399000000000001</v>
      </c>
      <c r="G27" s="108">
        <f t="shared" si="0"/>
        <v>-0.68099999999999739</v>
      </c>
      <c r="H27" s="109">
        <f t="shared" si="2"/>
        <v>0.68099999999999739</v>
      </c>
      <c r="I27" s="44">
        <v>-129999</v>
      </c>
      <c r="J27" s="44">
        <v>-129983</v>
      </c>
      <c r="K27" s="28">
        <v>16</v>
      </c>
      <c r="L27" s="27">
        <f t="shared" si="1"/>
        <v>-2.0799999999999983</v>
      </c>
      <c r="M27" s="27">
        <f t="shared" si="3"/>
        <v>2.0799999999999983</v>
      </c>
      <c r="N27" s="70"/>
      <c r="O27" s="51"/>
      <c r="P27" s="121"/>
      <c r="Q27" s="121"/>
    </row>
    <row r="28" spans="1:17">
      <c r="A28" s="1">
        <v>47</v>
      </c>
      <c r="B28" t="s">
        <v>132</v>
      </c>
      <c r="C28" s="14">
        <v>21.484400000000001</v>
      </c>
      <c r="D28" s="76">
        <v>-5314.3992440000002</v>
      </c>
      <c r="E28" s="76">
        <v>-5313.6684420000001</v>
      </c>
      <c r="F28" s="65">
        <v>19.885999999999999</v>
      </c>
      <c r="G28" s="108">
        <f t="shared" si="0"/>
        <v>-1.5984000000000016</v>
      </c>
      <c r="H28" s="109">
        <f t="shared" si="2"/>
        <v>1.5984000000000016</v>
      </c>
      <c r="I28" s="44">
        <v>-144451</v>
      </c>
      <c r="J28" s="44">
        <v>-144432</v>
      </c>
      <c r="K28" s="28">
        <v>19</v>
      </c>
      <c r="L28" s="27">
        <f t="shared" si="1"/>
        <v>-2.4844000000000008</v>
      </c>
      <c r="M28" s="27">
        <f t="shared" si="3"/>
        <v>2.4844000000000008</v>
      </c>
      <c r="N28" s="70">
        <v>-5314.4008000000003</v>
      </c>
      <c r="O28" s="50">
        <v>-5310.4718999999996</v>
      </c>
      <c r="P28" s="120">
        <f>(O28-N28)*27.211386245988</f>
        <v>106.91081542188387</v>
      </c>
      <c r="Q28" s="120">
        <f>P28-C28</f>
        <v>85.42641542188386</v>
      </c>
    </row>
    <row r="29" spans="1:17">
      <c r="A29" s="1">
        <v>49</v>
      </c>
      <c r="B29" t="s">
        <v>135</v>
      </c>
      <c r="C29" s="14">
        <v>18.87041</v>
      </c>
      <c r="D29" s="76">
        <v>-5880.2431029999998</v>
      </c>
      <c r="E29" s="76">
        <v>-5879.6169399999999</v>
      </c>
      <c r="F29" s="65">
        <v>17.039000000000001</v>
      </c>
      <c r="G29" s="108">
        <f t="shared" si="0"/>
        <v>-1.8314099999999982</v>
      </c>
      <c r="H29" s="109">
        <f t="shared" si="2"/>
        <v>1.8314099999999982</v>
      </c>
      <c r="I29" s="44">
        <v>-159824</v>
      </c>
      <c r="J29" s="44">
        <v>-159807</v>
      </c>
      <c r="K29" s="28">
        <v>17</v>
      </c>
      <c r="L29" s="27">
        <f t="shared" si="1"/>
        <v>-1.8704099999999997</v>
      </c>
      <c r="M29" s="27">
        <f t="shared" si="3"/>
        <v>1.8704099999999997</v>
      </c>
      <c r="N29" s="79"/>
    </row>
    <row r="30" spans="1:17">
      <c r="A30" s="1">
        <v>64</v>
      </c>
      <c r="B30" t="s">
        <v>150</v>
      </c>
      <c r="C30" s="14">
        <v>12.076000000000001</v>
      </c>
      <c r="D30" s="76">
        <v>-11274.008112</v>
      </c>
      <c r="E30" s="76">
        <v>-11273.600073</v>
      </c>
      <c r="F30" s="65">
        <v>11.103</v>
      </c>
      <c r="G30" s="108">
        <f t="shared" si="0"/>
        <v>-0.97300000000000075</v>
      </c>
      <c r="H30" s="109">
        <f t="shared" si="2"/>
        <v>0.97300000000000075</v>
      </c>
      <c r="I30" s="44">
        <v>-306333</v>
      </c>
      <c r="J30" s="44">
        <v>-306321</v>
      </c>
      <c r="K30" s="28">
        <v>12</v>
      </c>
      <c r="L30" s="27">
        <f t="shared" si="1"/>
        <v>-7.6000000000000512E-2</v>
      </c>
      <c r="M30" s="27">
        <f t="shared" si="3"/>
        <v>7.6000000000000512E-2</v>
      </c>
      <c r="N30" s="79"/>
    </row>
    <row r="31" spans="1:17">
      <c r="A31" s="1">
        <v>74</v>
      </c>
      <c r="B31" t="s">
        <v>163</v>
      </c>
      <c r="C31" s="14">
        <v>16.37</v>
      </c>
      <c r="D31" s="76">
        <v>-16155.878642</v>
      </c>
      <c r="E31" s="76">
        <v>-16155.360113999999</v>
      </c>
      <c r="F31" s="65">
        <v>14.11</v>
      </c>
      <c r="G31" s="108">
        <f t="shared" si="0"/>
        <v>-2.2600000000000016</v>
      </c>
      <c r="H31" s="109">
        <f t="shared" si="2"/>
        <v>2.2600000000000016</v>
      </c>
      <c r="I31" s="44">
        <v>-438860</v>
      </c>
      <c r="J31" s="44">
        <v>-438845</v>
      </c>
      <c r="K31" s="28">
        <v>15</v>
      </c>
      <c r="L31" s="27">
        <f t="shared" si="1"/>
        <v>-1.370000000000001</v>
      </c>
      <c r="M31" s="27">
        <f t="shared" si="3"/>
        <v>1.370000000000001</v>
      </c>
      <c r="N31" s="79"/>
    </row>
    <row r="32" spans="1:17">
      <c r="A32" s="1">
        <v>75</v>
      </c>
      <c r="B32" t="s">
        <v>169</v>
      </c>
      <c r="C32" s="41">
        <v>16.600000000000001</v>
      </c>
      <c r="D32" s="76">
        <v>-16707.323910999999</v>
      </c>
      <c r="E32" s="76">
        <v>-16706.784847999999</v>
      </c>
      <c r="F32" s="65">
        <v>14.669</v>
      </c>
      <c r="G32" s="108">
        <f t="shared" si="0"/>
        <v>-1.9310000000000009</v>
      </c>
      <c r="H32" s="109">
        <f t="shared" si="2"/>
        <v>1.9310000000000009</v>
      </c>
      <c r="I32" s="44">
        <v>-453830</v>
      </c>
      <c r="J32" s="44">
        <v>-453815</v>
      </c>
      <c r="K32" s="28">
        <v>15</v>
      </c>
      <c r="L32" s="27">
        <f t="shared" si="1"/>
        <v>-1.6000000000000014</v>
      </c>
      <c r="M32" s="27">
        <f t="shared" si="3"/>
        <v>1.6000000000000014</v>
      </c>
      <c r="N32" s="79"/>
    </row>
    <row r="33" spans="1:14">
      <c r="A33" s="1">
        <v>76</v>
      </c>
      <c r="B33" t="s">
        <v>176</v>
      </c>
      <c r="C33" s="41">
        <v>17</v>
      </c>
      <c r="D33" s="76">
        <v>-17270.761387999999</v>
      </c>
      <c r="E33" s="76">
        <v>-17270.202848000001</v>
      </c>
      <c r="F33" s="65">
        <v>15.199</v>
      </c>
      <c r="G33" s="108">
        <f t="shared" si="0"/>
        <v>-1.8010000000000002</v>
      </c>
      <c r="H33" s="109">
        <f t="shared" si="2"/>
        <v>1.8010000000000002</v>
      </c>
      <c r="I33" s="44">
        <v>-469122</v>
      </c>
      <c r="J33" s="81">
        <v>-469106</v>
      </c>
      <c r="K33" s="28">
        <v>16</v>
      </c>
      <c r="L33" s="27">
        <f t="shared" si="1"/>
        <v>-1</v>
      </c>
      <c r="M33" s="27">
        <f t="shared" si="3"/>
        <v>1</v>
      </c>
      <c r="N33" s="79"/>
    </row>
    <row r="34" spans="1:14">
      <c r="A34" s="1">
        <v>77</v>
      </c>
      <c r="B34" t="s">
        <v>184</v>
      </c>
      <c r="C34" s="41">
        <v>17</v>
      </c>
      <c r="D34" s="76">
        <v>-17846.478111</v>
      </c>
      <c r="E34" s="76">
        <v>-17845.900902000001</v>
      </c>
      <c r="F34" s="65">
        <v>15.707000000000001</v>
      </c>
      <c r="G34" s="108">
        <f t="shared" si="0"/>
        <v>-1.2929999999999993</v>
      </c>
      <c r="H34" s="109">
        <f t="shared" si="2"/>
        <v>1.2929999999999993</v>
      </c>
      <c r="I34" s="44">
        <v>-484747</v>
      </c>
      <c r="J34" s="44">
        <v>-484731</v>
      </c>
      <c r="K34" s="28">
        <v>16</v>
      </c>
      <c r="L34" s="27">
        <f t="shared" si="1"/>
        <v>-1</v>
      </c>
      <c r="M34" s="27">
        <f t="shared" si="3"/>
        <v>1</v>
      </c>
      <c r="N34" s="79"/>
    </row>
    <row r="35" spans="1:14">
      <c r="A35" s="1">
        <v>79</v>
      </c>
      <c r="B35" t="s">
        <v>192</v>
      </c>
      <c r="C35" s="14">
        <v>20.202999999999999</v>
      </c>
      <c r="D35" s="76">
        <v>-19035.272111999999</v>
      </c>
      <c r="E35" s="76">
        <v>-19034.568464</v>
      </c>
      <c r="F35" s="65">
        <v>19.146999999999998</v>
      </c>
      <c r="G35" s="108">
        <f t="shared" si="0"/>
        <v>-1.0560000000000009</v>
      </c>
      <c r="H35" s="109">
        <f t="shared" si="2"/>
        <v>1.0560000000000009</v>
      </c>
      <c r="I35" s="44">
        <v>-517008</v>
      </c>
      <c r="J35" s="44">
        <v>-516989</v>
      </c>
      <c r="K35" s="28">
        <v>19</v>
      </c>
      <c r="L35" s="27">
        <f t="shared" si="1"/>
        <v>-1.2029999999999994</v>
      </c>
      <c r="M35" s="27">
        <f t="shared" si="3"/>
        <v>1.2029999999999994</v>
      </c>
      <c r="N35" s="79"/>
    </row>
    <row r="36" spans="1:14">
      <c r="A36" s="1">
        <v>80</v>
      </c>
      <c r="B36" t="s">
        <v>195</v>
      </c>
      <c r="C36" s="14">
        <v>18.756879999999999</v>
      </c>
      <c r="D36" s="76">
        <v>-19648.580821</v>
      </c>
      <c r="E36" s="76">
        <v>-19647.950868</v>
      </c>
      <c r="F36" s="65">
        <v>17.141999999999999</v>
      </c>
      <c r="G36" s="108">
        <f t="shared" si="0"/>
        <v>-1.6148799999999994</v>
      </c>
      <c r="H36" s="109">
        <f t="shared" si="2"/>
        <v>1.6148799999999994</v>
      </c>
      <c r="I36" s="44">
        <v>-533651</v>
      </c>
      <c r="J36" s="44">
        <v>-533634</v>
      </c>
      <c r="K36" s="28">
        <v>17</v>
      </c>
      <c r="L36" s="27">
        <f t="shared" si="1"/>
        <v>-1.7568799999999989</v>
      </c>
      <c r="M36" s="27">
        <f t="shared" si="3"/>
        <v>1.7568799999999989</v>
      </c>
      <c r="N36" s="79"/>
    </row>
    <row r="37" spans="1:14">
      <c r="G37" s="82" t="s">
        <v>256</v>
      </c>
      <c r="H37" s="4">
        <f>AVERAGE(H5:H36)</f>
        <v>1.51863365625</v>
      </c>
      <c r="L37" s="82" t="s">
        <v>256</v>
      </c>
      <c r="M37" s="4">
        <f>AVERAGE(M5:M36)</f>
        <v>1.3447674062499999</v>
      </c>
    </row>
    <row r="38" spans="1:14">
      <c r="G38" s="82" t="s">
        <v>255</v>
      </c>
      <c r="H38" s="4">
        <f>MAX(H5:H36)</f>
        <v>3.0223050000000011</v>
      </c>
      <c r="L38" s="82" t="s">
        <v>255</v>
      </c>
      <c r="M38" s="4">
        <f>MAX(M5:M36)</f>
        <v>3.292390000000001</v>
      </c>
    </row>
    <row r="39" spans="1:14">
      <c r="G39" s="124" t="s">
        <v>278</v>
      </c>
      <c r="H39">
        <f>COUNT(H5:H36)</f>
        <v>32</v>
      </c>
      <c r="L39" s="124" t="s">
        <v>278</v>
      </c>
      <c r="M39">
        <f>COUNT(M5:M36)</f>
        <v>32</v>
      </c>
    </row>
    <row r="54" spans="10:10">
      <c r="J54" s="31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D483-60CA-4727-A6CE-8E3251F5DDA4}">
  <dimension ref="A1:W59"/>
  <sheetViews>
    <sheetView topLeftCell="A10" workbookViewId="0">
      <selection activeCell="D3" sqref="D3"/>
    </sheetView>
  </sheetViews>
  <sheetFormatPr defaultRowHeight="15"/>
  <cols>
    <col min="1" max="1" width="10.42578125" style="39" customWidth="1"/>
    <col min="2" max="2" width="10.42578125" style="38" customWidth="1"/>
    <col min="3" max="3" width="15.42578125" customWidth="1"/>
    <col min="4" max="4" width="13.5703125" style="65" customWidth="1"/>
    <col min="5" max="5" width="15.28515625" style="65" customWidth="1"/>
    <col min="6" max="6" width="11.85546875" style="65" customWidth="1"/>
    <col min="7" max="7" width="11.42578125" style="65" customWidth="1"/>
    <col min="8" max="8" width="11.5703125" style="65" customWidth="1"/>
    <col min="9" max="9" width="14.5703125" style="26" customWidth="1"/>
    <col min="10" max="10" width="11.42578125" style="26" customWidth="1"/>
    <col min="11" max="11" width="11" style="27" customWidth="1"/>
    <col min="12" max="13" width="11" style="21" customWidth="1"/>
    <col min="14" max="14" width="14.140625" style="51" customWidth="1"/>
    <col min="15" max="15" width="14.42578125" style="52" bestFit="1" customWidth="1"/>
    <col min="16" max="17" width="12.7109375" style="52" customWidth="1"/>
    <col min="18" max="18" width="11.5703125" bestFit="1" customWidth="1"/>
    <col min="19" max="19" width="10.5703125" bestFit="1" customWidth="1"/>
  </cols>
  <sheetData>
    <row r="1" spans="1:23">
      <c r="A1" s="143" t="s">
        <v>424</v>
      </c>
    </row>
    <row r="3" spans="1:23">
      <c r="C3" s="10" t="s">
        <v>239</v>
      </c>
      <c r="D3" s="66" t="s">
        <v>228</v>
      </c>
      <c r="F3" s="66"/>
      <c r="G3" s="66"/>
      <c r="H3" s="67"/>
      <c r="I3" s="87" t="s">
        <v>227</v>
      </c>
      <c r="J3" s="25"/>
      <c r="N3" s="77" t="s">
        <v>226</v>
      </c>
      <c r="O3" s="47"/>
      <c r="P3" s="47"/>
      <c r="Q3" s="47"/>
    </row>
    <row r="4" spans="1:23">
      <c r="A4" s="12" t="s">
        <v>0</v>
      </c>
      <c r="B4" s="13" t="s">
        <v>1</v>
      </c>
      <c r="C4" s="64" t="s">
        <v>240</v>
      </c>
      <c r="D4" s="29" t="s">
        <v>253</v>
      </c>
      <c r="E4" s="29" t="s">
        <v>260</v>
      </c>
      <c r="F4" s="17" t="s">
        <v>229</v>
      </c>
      <c r="G4" s="35" t="s">
        <v>230</v>
      </c>
      <c r="H4" s="18" t="s">
        <v>254</v>
      </c>
      <c r="I4" s="34" t="s">
        <v>258</v>
      </c>
      <c r="J4" s="34" t="s">
        <v>259</v>
      </c>
      <c r="K4" s="23" t="s">
        <v>231</v>
      </c>
      <c r="L4" s="62" t="s">
        <v>232</v>
      </c>
      <c r="M4" s="22" t="s">
        <v>257</v>
      </c>
      <c r="N4" s="88" t="s">
        <v>252</v>
      </c>
      <c r="O4" s="71" t="s">
        <v>262</v>
      </c>
      <c r="P4" s="48" t="s">
        <v>235</v>
      </c>
      <c r="Q4" s="49" t="s">
        <v>236</v>
      </c>
      <c r="R4" s="69" t="s">
        <v>263</v>
      </c>
    </row>
    <row r="5" spans="1:23">
      <c r="A5" s="39">
        <v>5</v>
      </c>
      <c r="B5" t="s">
        <v>5</v>
      </c>
      <c r="C5" s="90">
        <v>37.930590000000002</v>
      </c>
      <c r="D5" s="76">
        <v>-23.383320999999999</v>
      </c>
      <c r="E5" s="76">
        <v>-21.993148000000001</v>
      </c>
      <c r="F5" s="65">
        <v>37.829000000000001</v>
      </c>
      <c r="G5" s="108">
        <f t="shared" ref="G5:G56" si="0">F5-C5</f>
        <v>-0.10159000000000162</v>
      </c>
      <c r="H5" s="109">
        <f>ABS(G5)</f>
        <v>0.10159000000000162</v>
      </c>
      <c r="I5" s="44">
        <v>-636</v>
      </c>
      <c r="J5" s="44" t="s">
        <v>233</v>
      </c>
      <c r="K5" s="21"/>
      <c r="L5" s="2"/>
      <c r="M5" s="2"/>
      <c r="N5" s="74"/>
      <c r="O5" s="75"/>
      <c r="S5" s="4"/>
      <c r="T5" s="4"/>
      <c r="U5" s="4"/>
      <c r="V5" s="8"/>
    </row>
    <row r="6" spans="1:23">
      <c r="A6" s="39">
        <v>6</v>
      </c>
      <c r="B6" t="s">
        <v>8</v>
      </c>
      <c r="C6" s="91">
        <v>47.887779999999999</v>
      </c>
      <c r="D6" s="76">
        <v>-36.425151</v>
      </c>
      <c r="E6" s="76">
        <v>-34.741948000000001</v>
      </c>
      <c r="F6" s="65">
        <v>45.802</v>
      </c>
      <c r="G6" s="108">
        <f t="shared" si="0"/>
        <v>-2.0857799999999997</v>
      </c>
      <c r="H6" s="109">
        <f t="shared" ref="H6:H56" si="1">ABS(G6)</f>
        <v>2.0857799999999997</v>
      </c>
      <c r="I6" s="44">
        <v>-991</v>
      </c>
      <c r="J6" s="44">
        <v>-945</v>
      </c>
      <c r="K6" s="21">
        <v>46</v>
      </c>
      <c r="L6" s="27">
        <f t="shared" ref="L6:L37" si="2">K6-C6</f>
        <v>-1.8877799999999993</v>
      </c>
      <c r="M6" s="27">
        <f>ABS(L6)</f>
        <v>1.8877799999999993</v>
      </c>
      <c r="N6" s="74"/>
      <c r="O6" s="75"/>
    </row>
    <row r="7" spans="1:23">
      <c r="A7" s="39">
        <v>7</v>
      </c>
      <c r="B7" t="s">
        <v>12</v>
      </c>
      <c r="C7" s="91">
        <v>47.445300000000003</v>
      </c>
      <c r="D7" s="76">
        <v>-52.847828</v>
      </c>
      <c r="E7" s="76">
        <v>-51.114494000000001</v>
      </c>
      <c r="F7" s="65">
        <v>47.165999999999997</v>
      </c>
      <c r="G7" s="108">
        <f t="shared" si="0"/>
        <v>-0.27930000000000632</v>
      </c>
      <c r="H7" s="109">
        <f t="shared" si="1"/>
        <v>0.27930000000000632</v>
      </c>
      <c r="I7" s="44">
        <v>-1438</v>
      </c>
      <c r="J7" s="44">
        <v>-1391</v>
      </c>
      <c r="K7" s="21">
        <v>47</v>
      </c>
      <c r="L7" s="27">
        <f t="shared" si="2"/>
        <v>-0.44530000000000314</v>
      </c>
      <c r="M7" s="27">
        <f t="shared" ref="M7:M56" si="3">ABS(L7)</f>
        <v>0.44530000000000314</v>
      </c>
      <c r="N7" s="74"/>
      <c r="O7" s="75"/>
      <c r="W7" s="5"/>
    </row>
    <row r="8" spans="1:23">
      <c r="A8" s="39">
        <v>14</v>
      </c>
      <c r="B8" t="s">
        <v>21</v>
      </c>
      <c r="C8" s="89">
        <v>33.493000000000002</v>
      </c>
      <c r="D8" s="76">
        <v>-288.62343099999998</v>
      </c>
      <c r="E8" s="76">
        <v>-287.44654200000002</v>
      </c>
      <c r="F8" s="65">
        <v>32.024999999999999</v>
      </c>
      <c r="G8" s="108">
        <f t="shared" si="0"/>
        <v>-1.4680000000000035</v>
      </c>
      <c r="H8" s="109">
        <f t="shared" si="1"/>
        <v>1.4680000000000035</v>
      </c>
      <c r="I8" s="44">
        <v>-7851</v>
      </c>
      <c r="J8" s="44">
        <v>-7819</v>
      </c>
      <c r="K8" s="21">
        <v>32</v>
      </c>
      <c r="L8" s="27">
        <f t="shared" si="2"/>
        <v>-1.4930000000000021</v>
      </c>
      <c r="M8" s="27">
        <f t="shared" si="3"/>
        <v>1.4930000000000021</v>
      </c>
      <c r="N8" s="74"/>
      <c r="O8" s="75"/>
    </row>
    <row r="9" spans="1:23">
      <c r="A9" s="39">
        <v>15</v>
      </c>
      <c r="B9" t="s">
        <v>25</v>
      </c>
      <c r="C9" s="89">
        <v>30.202639999999999</v>
      </c>
      <c r="D9" s="76">
        <v>-340.49171999999999</v>
      </c>
      <c r="E9" s="76">
        <v>-339.41045000000003</v>
      </c>
      <c r="F9" s="65">
        <v>29.422999999999998</v>
      </c>
      <c r="G9" s="108">
        <f t="shared" si="0"/>
        <v>-0.77964000000000055</v>
      </c>
      <c r="H9" s="109">
        <f t="shared" si="1"/>
        <v>0.77964000000000055</v>
      </c>
      <c r="I9" s="44">
        <v>-9262</v>
      </c>
      <c r="J9" s="44">
        <v>-9233</v>
      </c>
      <c r="K9" s="21">
        <v>29</v>
      </c>
      <c r="L9" s="27">
        <f t="shared" si="2"/>
        <v>-1.2026399999999988</v>
      </c>
      <c r="M9" s="27">
        <f t="shared" si="3"/>
        <v>1.2026399999999988</v>
      </c>
      <c r="N9" s="74"/>
      <c r="O9" s="75"/>
    </row>
    <row r="10" spans="1:23">
      <c r="A10" s="39">
        <v>16</v>
      </c>
      <c r="B10" t="s">
        <v>30</v>
      </c>
      <c r="C10" s="89">
        <v>34.86</v>
      </c>
      <c r="D10" s="76">
        <v>-397.42171500000001</v>
      </c>
      <c r="E10" s="76">
        <v>-396.19792200000001</v>
      </c>
      <c r="F10" s="65">
        <v>33.301000000000002</v>
      </c>
      <c r="G10" s="108">
        <f t="shared" si="0"/>
        <v>-1.5589999999999975</v>
      </c>
      <c r="H10" s="109">
        <f t="shared" si="1"/>
        <v>1.5589999999999975</v>
      </c>
      <c r="I10" s="44">
        <v>-10811</v>
      </c>
      <c r="J10" s="44">
        <v>-10777</v>
      </c>
      <c r="K10" s="21">
        <v>34</v>
      </c>
      <c r="L10" s="27">
        <f t="shared" si="2"/>
        <v>-0.85999999999999943</v>
      </c>
      <c r="M10" s="27">
        <f t="shared" si="3"/>
        <v>0.85999999999999943</v>
      </c>
      <c r="N10" s="74"/>
      <c r="O10" s="75"/>
    </row>
    <row r="11" spans="1:23">
      <c r="A11" s="39">
        <v>17</v>
      </c>
      <c r="B11" t="s">
        <v>36</v>
      </c>
      <c r="C11" s="89">
        <v>39.799999999999997</v>
      </c>
      <c r="D11" s="76">
        <v>-459.58013599999998</v>
      </c>
      <c r="E11" s="76">
        <v>-458.21001999999999</v>
      </c>
      <c r="F11" s="65">
        <v>37.283000000000001</v>
      </c>
      <c r="G11" s="108">
        <f t="shared" si="0"/>
        <v>-2.5169999999999959</v>
      </c>
      <c r="H11" s="109">
        <f t="shared" si="1"/>
        <v>2.5169999999999959</v>
      </c>
      <c r="I11" s="44">
        <v>-12504</v>
      </c>
      <c r="J11" s="44">
        <v>-12465</v>
      </c>
      <c r="K11" s="21">
        <v>39</v>
      </c>
      <c r="L11" s="27">
        <f t="shared" si="2"/>
        <v>-0.79999999999999716</v>
      </c>
      <c r="M11" s="27">
        <f t="shared" si="3"/>
        <v>0.79999999999999716</v>
      </c>
      <c r="N11" s="74"/>
      <c r="O11" s="75"/>
    </row>
    <row r="12" spans="1:23">
      <c r="A12" s="39">
        <v>21</v>
      </c>
      <c r="B12" t="s">
        <v>44</v>
      </c>
      <c r="C12" s="89">
        <v>24.756838999999999</v>
      </c>
      <c r="D12" s="76">
        <v>-762.73185000000001</v>
      </c>
      <c r="E12" s="76">
        <v>-761.85975800000006</v>
      </c>
      <c r="F12" s="65">
        <v>23.731000000000002</v>
      </c>
      <c r="G12" s="108">
        <f t="shared" si="0"/>
        <v>-1.0258389999999977</v>
      </c>
      <c r="H12" s="109">
        <f t="shared" si="1"/>
        <v>1.0258389999999977</v>
      </c>
      <c r="I12" s="44">
        <v>-20745</v>
      </c>
      <c r="J12" s="44">
        <v>-20721</v>
      </c>
      <c r="K12" s="21">
        <v>24</v>
      </c>
      <c r="L12" s="27">
        <f t="shared" si="2"/>
        <v>-0.75683899999999937</v>
      </c>
      <c r="M12" s="27">
        <f t="shared" si="3"/>
        <v>0.75683899999999937</v>
      </c>
      <c r="N12" s="74"/>
      <c r="O12" s="75"/>
    </row>
    <row r="13" spans="1:23">
      <c r="A13" s="39">
        <v>22</v>
      </c>
      <c r="B13" t="s">
        <v>45</v>
      </c>
      <c r="C13" s="89">
        <v>27.491710000000001</v>
      </c>
      <c r="D13" s="76">
        <v>-852.13782500000002</v>
      </c>
      <c r="E13" s="76">
        <v>-851.20050500000002</v>
      </c>
      <c r="F13" s="65">
        <v>25.506</v>
      </c>
      <c r="G13" s="108">
        <f t="shared" si="0"/>
        <v>-1.985710000000001</v>
      </c>
      <c r="H13" s="109">
        <f t="shared" si="1"/>
        <v>1.985710000000001</v>
      </c>
      <c r="I13" s="44">
        <v>-23177</v>
      </c>
      <c r="J13" s="44">
        <v>-23150</v>
      </c>
      <c r="K13" s="21">
        <v>27</v>
      </c>
      <c r="L13" s="27">
        <f t="shared" si="2"/>
        <v>-0.4917100000000012</v>
      </c>
      <c r="M13" s="27">
        <f t="shared" si="3"/>
        <v>0.4917100000000012</v>
      </c>
      <c r="N13" s="74">
        <v>-851.92741000000001</v>
      </c>
      <c r="O13" s="73">
        <v>-850.95171000000005</v>
      </c>
      <c r="P13" s="53">
        <f t="shared" ref="P13:P19" si="4">(O13-N13)*27.211386245988</f>
        <v>26.550149560209423</v>
      </c>
      <c r="Q13" s="122">
        <f t="shared" ref="Q13:Q19" si="5">P13-C13</f>
        <v>-0.94156043979057813</v>
      </c>
      <c r="R13" s="122">
        <f>ABS(Q13)</f>
        <v>0.94156043979057813</v>
      </c>
    </row>
    <row r="14" spans="1:23">
      <c r="A14" s="39">
        <v>23</v>
      </c>
      <c r="B14" t="s">
        <v>49</v>
      </c>
      <c r="C14" s="89">
        <v>29.3111</v>
      </c>
      <c r="D14" s="76">
        <v>-947.47459300000003</v>
      </c>
      <c r="E14" s="76">
        <v>-946.47621200000003</v>
      </c>
      <c r="F14" s="65">
        <v>27.167000000000002</v>
      </c>
      <c r="G14" s="108">
        <f t="shared" si="0"/>
        <v>-2.1440999999999981</v>
      </c>
      <c r="H14" s="109">
        <f t="shared" si="1"/>
        <v>2.1440999999999981</v>
      </c>
      <c r="I14" s="44">
        <v>-25770</v>
      </c>
      <c r="J14" s="44">
        <v>-25742</v>
      </c>
      <c r="K14" s="21">
        <v>28</v>
      </c>
      <c r="L14" s="27">
        <f t="shared" si="2"/>
        <v>-1.3110999999999997</v>
      </c>
      <c r="M14" s="27">
        <f t="shared" si="3"/>
        <v>1.3110999999999997</v>
      </c>
      <c r="N14" s="74">
        <v>-947.27044999999998</v>
      </c>
      <c r="O14" s="73">
        <v>-946.23451</v>
      </c>
      <c r="P14" s="53">
        <f t="shared" si="4"/>
        <v>28.189363467668326</v>
      </c>
      <c r="Q14" s="122">
        <f t="shared" si="5"/>
        <v>-1.1217365323316741</v>
      </c>
      <c r="R14" s="122">
        <f t="shared" ref="R14:R19" si="6">ABS(Q14)</f>
        <v>1.1217365323316741</v>
      </c>
    </row>
    <row r="15" spans="1:23">
      <c r="A15" s="39">
        <v>24</v>
      </c>
      <c r="B15" t="s">
        <v>54</v>
      </c>
      <c r="C15" s="89">
        <v>30.959</v>
      </c>
      <c r="D15" s="76">
        <v>-1048.8941950000001</v>
      </c>
      <c r="E15" s="76">
        <v>-1047.8378680000001</v>
      </c>
      <c r="F15" s="65">
        <v>28.744</v>
      </c>
      <c r="G15" s="108">
        <f t="shared" si="0"/>
        <v>-2.2149999999999999</v>
      </c>
      <c r="H15" s="109">
        <f t="shared" si="1"/>
        <v>2.2149999999999999</v>
      </c>
      <c r="I15" s="44">
        <v>-28529</v>
      </c>
      <c r="J15" s="44">
        <v>-28500</v>
      </c>
      <c r="K15" s="21">
        <v>29</v>
      </c>
      <c r="L15" s="27">
        <f t="shared" si="2"/>
        <v>-1.9589999999999996</v>
      </c>
      <c r="M15" s="27">
        <f t="shared" si="3"/>
        <v>1.9589999999999996</v>
      </c>
      <c r="N15" s="74">
        <v>-1048.6981000000001</v>
      </c>
      <c r="O15" s="73">
        <v>-1047.6067</v>
      </c>
      <c r="P15" s="53">
        <f t="shared" si="4"/>
        <v>29.698506948871888</v>
      </c>
      <c r="Q15" s="122">
        <f t="shared" si="5"/>
        <v>-1.2604930511281118</v>
      </c>
      <c r="R15" s="122">
        <f t="shared" si="6"/>
        <v>1.2604930511281118</v>
      </c>
    </row>
    <row r="16" spans="1:23">
      <c r="A16" s="39">
        <v>25</v>
      </c>
      <c r="B16" t="s">
        <v>60</v>
      </c>
      <c r="C16" s="89">
        <v>33.667999999999999</v>
      </c>
      <c r="D16" s="76">
        <v>-1156.5488150000001</v>
      </c>
      <c r="E16" s="76">
        <v>-1155.4369899999999</v>
      </c>
      <c r="F16" s="65">
        <v>30.254000000000001</v>
      </c>
      <c r="G16" s="108">
        <f t="shared" si="0"/>
        <v>-3.4139999999999979</v>
      </c>
      <c r="H16" s="109">
        <f t="shared" si="1"/>
        <v>3.4139999999999979</v>
      </c>
      <c r="I16" s="44">
        <v>-31459</v>
      </c>
      <c r="J16" s="44">
        <v>-31427</v>
      </c>
      <c r="K16" s="21">
        <v>32</v>
      </c>
      <c r="L16" s="27">
        <f t="shared" si="2"/>
        <v>-1.6679999999999993</v>
      </c>
      <c r="M16" s="27">
        <f t="shared" si="3"/>
        <v>1.6679999999999993</v>
      </c>
      <c r="N16" s="74">
        <v>-1156.4123</v>
      </c>
      <c r="O16" s="73">
        <v>-1155.2167999999999</v>
      </c>
      <c r="P16" s="53">
        <f t="shared" si="4"/>
        <v>32.531212257079694</v>
      </c>
      <c r="Q16" s="122">
        <f t="shared" si="5"/>
        <v>-1.1367877429203048</v>
      </c>
      <c r="R16" s="122">
        <f t="shared" si="6"/>
        <v>1.1367877429203048</v>
      </c>
    </row>
    <row r="17" spans="1:21">
      <c r="A17" s="39">
        <v>26</v>
      </c>
      <c r="B17" t="s">
        <v>67</v>
      </c>
      <c r="C17" s="89">
        <v>30.651</v>
      </c>
      <c r="D17" s="76">
        <v>-1270.5910710000001</v>
      </c>
      <c r="E17" s="76">
        <v>-1269.425737</v>
      </c>
      <c r="F17" s="65">
        <v>31.71</v>
      </c>
      <c r="G17" s="108">
        <f t="shared" si="0"/>
        <v>1.0590000000000011</v>
      </c>
      <c r="H17" s="109">
        <f t="shared" si="1"/>
        <v>1.0590000000000011</v>
      </c>
      <c r="I17" s="44">
        <v>-34557</v>
      </c>
      <c r="J17" s="44">
        <v>-34529</v>
      </c>
      <c r="K17" s="21">
        <v>28</v>
      </c>
      <c r="L17" s="27">
        <f t="shared" si="2"/>
        <v>-2.6509999999999998</v>
      </c>
      <c r="M17" s="27">
        <f t="shared" si="3"/>
        <v>2.6509999999999998</v>
      </c>
      <c r="N17" s="74">
        <v>-1270.3123000000001</v>
      </c>
      <c r="O17" s="73">
        <v>-1269.2762</v>
      </c>
      <c r="P17" s="53">
        <f t="shared" si="4"/>
        <v>28.193717289469067</v>
      </c>
      <c r="Q17" s="122">
        <f t="shared" si="5"/>
        <v>-2.4572827105309329</v>
      </c>
      <c r="R17" s="122">
        <f t="shared" si="6"/>
        <v>2.4572827105309329</v>
      </c>
    </row>
    <row r="18" spans="1:21">
      <c r="A18" s="39">
        <v>27</v>
      </c>
      <c r="B18" t="s">
        <v>73</v>
      </c>
      <c r="C18" s="89">
        <v>33.5</v>
      </c>
      <c r="D18" s="76">
        <v>-1391.173951</v>
      </c>
      <c r="E18" s="76">
        <v>-1389.9567669999999</v>
      </c>
      <c r="F18" s="65">
        <v>33.121000000000002</v>
      </c>
      <c r="G18" s="108">
        <f t="shared" si="0"/>
        <v>-0.37899999999999778</v>
      </c>
      <c r="H18" s="109">
        <f t="shared" si="1"/>
        <v>0.37899999999999778</v>
      </c>
      <c r="I18" s="44">
        <v>-37834</v>
      </c>
      <c r="J18" s="44">
        <v>-37803</v>
      </c>
      <c r="K18" s="21">
        <v>31</v>
      </c>
      <c r="L18" s="27">
        <f t="shared" si="2"/>
        <v>-2.5</v>
      </c>
      <c r="M18" s="27">
        <f t="shared" si="3"/>
        <v>2.5</v>
      </c>
      <c r="N18" s="74">
        <v>-1390.7897</v>
      </c>
      <c r="O18" s="73">
        <v>-1389.644</v>
      </c>
      <c r="P18" s="53">
        <f t="shared" si="4"/>
        <v>31.176085222029361</v>
      </c>
      <c r="Q18" s="122">
        <f t="shared" si="5"/>
        <v>-2.3239147779706393</v>
      </c>
      <c r="R18" s="122">
        <f t="shared" si="6"/>
        <v>2.3239147779706393</v>
      </c>
    </row>
    <row r="19" spans="1:21">
      <c r="A19" s="39">
        <v>28</v>
      </c>
      <c r="B19" t="s">
        <v>78</v>
      </c>
      <c r="C19" s="89">
        <v>35.186999999999998</v>
      </c>
      <c r="D19" s="76">
        <v>-1518.4512830000001</v>
      </c>
      <c r="E19" s="76">
        <v>-1517.183661</v>
      </c>
      <c r="F19" s="65">
        <v>34.494</v>
      </c>
      <c r="G19" s="108">
        <f t="shared" si="0"/>
        <v>-0.69299999999999784</v>
      </c>
      <c r="H19" s="109">
        <f t="shared" si="1"/>
        <v>0.69299999999999784</v>
      </c>
      <c r="I19" s="44">
        <v>-41293</v>
      </c>
      <c r="J19" s="44">
        <v>-41261</v>
      </c>
      <c r="K19" s="21">
        <v>32</v>
      </c>
      <c r="L19" s="27">
        <f t="shared" si="2"/>
        <v>-3.1869999999999976</v>
      </c>
      <c r="M19" s="27">
        <f t="shared" si="3"/>
        <v>3.1869999999999976</v>
      </c>
      <c r="N19" s="74">
        <v>-1517.9512</v>
      </c>
      <c r="O19" s="73">
        <v>-1516.7520999999999</v>
      </c>
      <c r="P19" s="53">
        <f t="shared" si="4"/>
        <v>32.629173247565404</v>
      </c>
      <c r="Q19" s="122">
        <f t="shared" si="5"/>
        <v>-2.5578267524345932</v>
      </c>
      <c r="R19" s="122">
        <f t="shared" si="6"/>
        <v>2.5578267524345932</v>
      </c>
    </row>
    <row r="20" spans="1:21">
      <c r="A20" s="39">
        <v>29</v>
      </c>
      <c r="B20" t="s">
        <v>82</v>
      </c>
      <c r="C20" s="89">
        <v>36.841000000000001</v>
      </c>
      <c r="D20" s="76">
        <v>-1652.577282</v>
      </c>
      <c r="E20" s="76">
        <v>-1651.260442</v>
      </c>
      <c r="F20" s="65">
        <v>35.832999999999998</v>
      </c>
      <c r="G20" s="108">
        <f t="shared" si="0"/>
        <v>-1.0080000000000027</v>
      </c>
      <c r="H20" s="109">
        <f t="shared" si="1"/>
        <v>1.0080000000000027</v>
      </c>
      <c r="I20" s="44">
        <v>-44938</v>
      </c>
      <c r="J20" s="44">
        <v>-44904</v>
      </c>
      <c r="K20" s="21">
        <v>34</v>
      </c>
      <c r="L20" s="27">
        <f t="shared" si="2"/>
        <v>-2.8410000000000011</v>
      </c>
      <c r="M20" s="27">
        <f t="shared" si="3"/>
        <v>2.8410000000000011</v>
      </c>
      <c r="N20" s="70"/>
      <c r="O20" s="50"/>
      <c r="P20" s="53"/>
      <c r="Q20" s="82" t="s">
        <v>256</v>
      </c>
      <c r="R20" s="4">
        <f>AVERAGE(R13:R19)</f>
        <v>1.6856574295866906</v>
      </c>
      <c r="T20" s="83">
        <f>AVERAGE(H13:H19)</f>
        <v>1.6985442857142847</v>
      </c>
      <c r="U20" s="83">
        <f>AVERAGE(M13:M19)</f>
        <v>1.9668299999999996</v>
      </c>
    </row>
    <row r="21" spans="1:21">
      <c r="A21" s="39">
        <v>31</v>
      </c>
      <c r="B21" t="s">
        <v>86</v>
      </c>
      <c r="C21" s="89">
        <v>30.725760000000001</v>
      </c>
      <c r="D21" s="76">
        <v>-1941.673996</v>
      </c>
      <c r="E21" s="76">
        <v>-1940.5852159999999</v>
      </c>
      <c r="F21" s="65">
        <v>29.626999999999999</v>
      </c>
      <c r="G21" s="108">
        <f t="shared" si="0"/>
        <v>-1.0987600000000022</v>
      </c>
      <c r="H21" s="109">
        <f t="shared" si="1"/>
        <v>1.0987600000000022</v>
      </c>
      <c r="I21" s="44">
        <v>-52797</v>
      </c>
      <c r="J21" s="44">
        <v>-52767</v>
      </c>
      <c r="K21" s="21">
        <v>30</v>
      </c>
      <c r="L21" s="27">
        <f t="shared" si="2"/>
        <v>-0.72576000000000107</v>
      </c>
      <c r="M21" s="27">
        <f t="shared" si="3"/>
        <v>0.72576000000000107</v>
      </c>
      <c r="N21" s="70"/>
      <c r="O21" s="51"/>
      <c r="Q21" s="82" t="s">
        <v>255</v>
      </c>
      <c r="R21" s="4">
        <f>MAX(R13:R19)</f>
        <v>2.5578267524345932</v>
      </c>
      <c r="T21" s="83">
        <f>MAX(H13:H19)</f>
        <v>3.4139999999999979</v>
      </c>
      <c r="U21" s="83">
        <f>MAX(M13:M19)</f>
        <v>3.1869999999999976</v>
      </c>
    </row>
    <row r="22" spans="1:21">
      <c r="A22" s="39">
        <v>32</v>
      </c>
      <c r="B22" t="s">
        <v>89</v>
      </c>
      <c r="C22" s="89">
        <v>34.057600000000001</v>
      </c>
      <c r="D22" s="76">
        <v>-2096.6610049999999</v>
      </c>
      <c r="E22" s="76">
        <v>-2095.4772419999999</v>
      </c>
      <c r="F22" s="65">
        <v>32.212000000000003</v>
      </c>
      <c r="G22" s="108">
        <f t="shared" si="0"/>
        <v>-1.8455999999999975</v>
      </c>
      <c r="H22" s="109">
        <f t="shared" si="1"/>
        <v>1.8455999999999975</v>
      </c>
      <c r="I22" s="44">
        <v>-57010</v>
      </c>
      <c r="J22" s="44">
        <v>-56977</v>
      </c>
      <c r="K22" s="21">
        <v>33</v>
      </c>
      <c r="L22" s="27">
        <f t="shared" si="2"/>
        <v>-1.0576000000000008</v>
      </c>
      <c r="M22" s="27">
        <f t="shared" si="3"/>
        <v>1.0576000000000008</v>
      </c>
      <c r="N22" s="70"/>
      <c r="O22" s="51"/>
      <c r="T22" s="5" t="s">
        <v>264</v>
      </c>
      <c r="U22" s="5" t="s">
        <v>265</v>
      </c>
    </row>
    <row r="23" spans="1:21">
      <c r="A23" s="39">
        <v>33</v>
      </c>
      <c r="B23" t="s">
        <v>91</v>
      </c>
      <c r="C23" s="89">
        <v>28.349</v>
      </c>
      <c r="D23" s="76">
        <v>-2258.498607</v>
      </c>
      <c r="E23" s="76">
        <v>-2257.4927699999998</v>
      </c>
      <c r="F23" s="65">
        <v>27.37</v>
      </c>
      <c r="G23" s="108">
        <f t="shared" si="0"/>
        <v>-0.9789999999999992</v>
      </c>
      <c r="H23" s="109">
        <f t="shared" si="1"/>
        <v>0.9789999999999992</v>
      </c>
      <c r="I23" s="44">
        <v>-61409</v>
      </c>
      <c r="J23" s="44">
        <v>-61381</v>
      </c>
      <c r="K23" s="21">
        <v>28</v>
      </c>
      <c r="L23" s="27">
        <f t="shared" si="2"/>
        <v>-0.3490000000000002</v>
      </c>
      <c r="M23" s="27">
        <f t="shared" si="3"/>
        <v>0.3490000000000002</v>
      </c>
      <c r="N23" s="70"/>
      <c r="O23" s="51"/>
    </row>
    <row r="24" spans="1:21">
      <c r="A24" s="39">
        <v>39</v>
      </c>
      <c r="B24" t="s">
        <v>96</v>
      </c>
      <c r="C24" s="89">
        <v>20.52441</v>
      </c>
      <c r="D24" s="76">
        <v>-3383.1561660000002</v>
      </c>
      <c r="E24" s="76">
        <v>-3382.4371809999998</v>
      </c>
      <c r="F24" s="65">
        <v>19.565000000000001</v>
      </c>
      <c r="G24" s="108">
        <f t="shared" si="0"/>
        <v>-0.95940999999999832</v>
      </c>
      <c r="H24" s="109">
        <f t="shared" si="1"/>
        <v>0.95940999999999832</v>
      </c>
      <c r="I24" s="44">
        <v>-91975</v>
      </c>
      <c r="J24" s="44">
        <v>-91956</v>
      </c>
      <c r="K24" s="21">
        <v>19</v>
      </c>
      <c r="L24" s="27">
        <f t="shared" si="2"/>
        <v>-1.5244099999999996</v>
      </c>
      <c r="M24" s="27">
        <f t="shared" si="3"/>
        <v>1.5244099999999996</v>
      </c>
      <c r="N24" s="70"/>
      <c r="O24" s="51"/>
    </row>
    <row r="25" spans="1:21">
      <c r="A25" s="39">
        <v>40</v>
      </c>
      <c r="B25" t="s">
        <v>99</v>
      </c>
      <c r="C25" s="89">
        <v>23.17</v>
      </c>
      <c r="D25" s="76">
        <v>-3596.4396019999999</v>
      </c>
      <c r="E25" s="76">
        <v>-3595.6489430000001</v>
      </c>
      <c r="F25" s="65">
        <v>21.515000000000001</v>
      </c>
      <c r="G25" s="108">
        <f t="shared" si="0"/>
        <v>-1.6550000000000011</v>
      </c>
      <c r="H25" s="109">
        <f t="shared" si="1"/>
        <v>1.6550000000000011</v>
      </c>
      <c r="I25" s="44">
        <v>-97772</v>
      </c>
      <c r="J25" s="44">
        <v>-97750</v>
      </c>
      <c r="K25" s="21">
        <v>22</v>
      </c>
      <c r="L25" s="27">
        <f t="shared" si="2"/>
        <v>-1.1700000000000017</v>
      </c>
      <c r="M25" s="27">
        <f t="shared" si="3"/>
        <v>1.1700000000000017</v>
      </c>
      <c r="N25" s="70"/>
      <c r="O25" s="51"/>
    </row>
    <row r="26" spans="1:21">
      <c r="A26" s="39">
        <v>41</v>
      </c>
      <c r="B26" t="s">
        <v>101</v>
      </c>
      <c r="C26" s="89">
        <v>25.04</v>
      </c>
      <c r="D26" s="76">
        <v>-3817.4918210000001</v>
      </c>
      <c r="E26" s="76">
        <v>-3816.6317819999999</v>
      </c>
      <c r="F26" s="65">
        <v>23.402999999999999</v>
      </c>
      <c r="G26" s="108">
        <f t="shared" si="0"/>
        <v>-1.6370000000000005</v>
      </c>
      <c r="H26" s="109">
        <f t="shared" si="1"/>
        <v>1.6370000000000005</v>
      </c>
      <c r="I26" s="44">
        <v>-103780</v>
      </c>
      <c r="J26" s="44">
        <v>-103756</v>
      </c>
      <c r="K26" s="21">
        <v>24</v>
      </c>
      <c r="L26" s="27">
        <f t="shared" si="2"/>
        <v>-1.0399999999999991</v>
      </c>
      <c r="M26" s="27">
        <f t="shared" si="3"/>
        <v>1.0399999999999991</v>
      </c>
      <c r="N26" s="70"/>
      <c r="O26" s="51"/>
    </row>
    <row r="27" spans="1:21">
      <c r="A27" s="39">
        <v>42</v>
      </c>
      <c r="B27" t="s">
        <v>106</v>
      </c>
      <c r="C27" s="89">
        <v>27.13</v>
      </c>
      <c r="D27" s="76">
        <v>-4046.433892</v>
      </c>
      <c r="E27" s="76">
        <v>-4045.505897</v>
      </c>
      <c r="F27" s="65">
        <v>25.251999999999999</v>
      </c>
      <c r="G27" s="108">
        <f t="shared" si="0"/>
        <v>-1.8780000000000001</v>
      </c>
      <c r="H27" s="109">
        <f t="shared" si="1"/>
        <v>1.8780000000000001</v>
      </c>
      <c r="I27" s="44">
        <v>-110002</v>
      </c>
      <c r="J27" s="44">
        <v>-109976</v>
      </c>
      <c r="K27" s="21">
        <v>26</v>
      </c>
      <c r="L27" s="27">
        <f t="shared" si="2"/>
        <v>-1.129999999999999</v>
      </c>
      <c r="M27" s="27">
        <f t="shared" si="3"/>
        <v>1.129999999999999</v>
      </c>
      <c r="N27" s="70"/>
      <c r="O27" s="51"/>
    </row>
    <row r="28" spans="1:21">
      <c r="A28" s="39">
        <v>43</v>
      </c>
      <c r="B28" t="s">
        <v>112</v>
      </c>
      <c r="C28" s="89">
        <v>29.55</v>
      </c>
      <c r="D28" s="76">
        <v>-4283.3807669999997</v>
      </c>
      <c r="E28" s="76">
        <v>-4282.3857079999998</v>
      </c>
      <c r="F28" s="65">
        <v>27.077000000000002</v>
      </c>
      <c r="G28" s="108">
        <f t="shared" si="0"/>
        <v>-2.472999999999999</v>
      </c>
      <c r="H28" s="109">
        <f t="shared" si="1"/>
        <v>2.472999999999999</v>
      </c>
      <c r="I28" s="44">
        <v>-116443</v>
      </c>
      <c r="J28" s="44">
        <v>-116414</v>
      </c>
      <c r="K28" s="21">
        <v>29</v>
      </c>
      <c r="L28" s="27">
        <f t="shared" si="2"/>
        <v>-0.55000000000000071</v>
      </c>
      <c r="M28" s="27">
        <f t="shared" si="3"/>
        <v>0.55000000000000071</v>
      </c>
      <c r="N28" s="70"/>
      <c r="O28" s="50"/>
      <c r="P28" s="53"/>
      <c r="Q28" s="53"/>
    </row>
    <row r="29" spans="1:21">
      <c r="A29" s="39">
        <v>44</v>
      </c>
      <c r="B29" t="s">
        <v>119</v>
      </c>
      <c r="C29" s="89">
        <v>28.47</v>
      </c>
      <c r="D29" s="76">
        <v>-4528.4556309999998</v>
      </c>
      <c r="E29" s="76">
        <v>-4527.3940519999996</v>
      </c>
      <c r="F29" s="65">
        <v>28.887</v>
      </c>
      <c r="G29" s="108">
        <f t="shared" si="0"/>
        <v>0.41700000000000159</v>
      </c>
      <c r="H29" s="109">
        <f t="shared" si="1"/>
        <v>0.41700000000000159</v>
      </c>
      <c r="I29" s="44">
        <v>-123101</v>
      </c>
      <c r="J29" s="44">
        <v>-123074</v>
      </c>
      <c r="K29" s="21">
        <v>27</v>
      </c>
      <c r="L29" s="27">
        <f t="shared" si="2"/>
        <v>-1.4699999999999989</v>
      </c>
      <c r="M29" s="27">
        <f t="shared" si="3"/>
        <v>1.4699999999999989</v>
      </c>
      <c r="N29" s="79"/>
    </row>
    <row r="30" spans="1:21">
      <c r="A30" s="39">
        <v>45</v>
      </c>
      <c r="B30" t="s">
        <v>127</v>
      </c>
      <c r="C30" s="89">
        <v>31.06</v>
      </c>
      <c r="D30" s="76">
        <v>-4781.7824209999999</v>
      </c>
      <c r="E30" s="76">
        <v>-4780.6546250000001</v>
      </c>
      <c r="F30" s="65">
        <v>30.689</v>
      </c>
      <c r="G30" s="108">
        <f t="shared" si="0"/>
        <v>-0.37099999999999866</v>
      </c>
      <c r="H30" s="109">
        <f t="shared" si="1"/>
        <v>0.37099999999999866</v>
      </c>
      <c r="I30" s="44">
        <v>-129983</v>
      </c>
      <c r="J30" s="44">
        <v>-129953</v>
      </c>
      <c r="K30" s="21">
        <v>30</v>
      </c>
      <c r="L30" s="27">
        <f t="shared" si="2"/>
        <v>-1.0599999999999987</v>
      </c>
      <c r="M30" s="27">
        <f t="shared" si="3"/>
        <v>1.0599999999999987</v>
      </c>
      <c r="N30" s="79"/>
    </row>
    <row r="31" spans="1:21">
      <c r="A31" s="39">
        <v>47</v>
      </c>
      <c r="B31" t="s">
        <v>133</v>
      </c>
      <c r="C31" s="89">
        <v>34.799999999999997</v>
      </c>
      <c r="D31" s="76">
        <v>-5313.6684420000001</v>
      </c>
      <c r="E31" s="76">
        <v>-5312.4084560000001</v>
      </c>
      <c r="F31" s="65">
        <v>34.286000000000001</v>
      </c>
      <c r="G31" s="108">
        <f t="shared" si="0"/>
        <v>-0.51399999999999579</v>
      </c>
      <c r="H31" s="109">
        <f t="shared" si="1"/>
        <v>0.51399999999999579</v>
      </c>
      <c r="I31" s="44">
        <v>-144432</v>
      </c>
      <c r="J31" s="44">
        <v>-144399</v>
      </c>
      <c r="K31" s="21">
        <v>33</v>
      </c>
      <c r="L31" s="27">
        <f t="shared" si="2"/>
        <v>-1.7999999999999972</v>
      </c>
      <c r="M31" s="27">
        <f t="shared" si="3"/>
        <v>1.7999999999999972</v>
      </c>
      <c r="N31" s="79"/>
    </row>
    <row r="32" spans="1:21">
      <c r="A32" s="39">
        <v>49</v>
      </c>
      <c r="B32" t="s">
        <v>136</v>
      </c>
      <c r="C32" s="89">
        <v>28.044149999999998</v>
      </c>
      <c r="D32" s="76">
        <v>-5879.6169399999999</v>
      </c>
      <c r="E32" s="76">
        <v>-5878.6386640000001</v>
      </c>
      <c r="F32" s="65">
        <v>26.62</v>
      </c>
      <c r="G32" s="108">
        <f t="shared" si="0"/>
        <v>-1.4241499999999974</v>
      </c>
      <c r="H32" s="109">
        <f t="shared" si="1"/>
        <v>1.4241499999999974</v>
      </c>
      <c r="I32" s="44">
        <v>-159807</v>
      </c>
      <c r="J32" s="44">
        <v>-159781</v>
      </c>
      <c r="K32" s="21">
        <v>26</v>
      </c>
      <c r="L32" s="27">
        <f t="shared" si="2"/>
        <v>-2.0441499999999984</v>
      </c>
      <c r="M32" s="27">
        <f t="shared" si="3"/>
        <v>2.0441499999999984</v>
      </c>
      <c r="N32" s="79"/>
    </row>
    <row r="33" spans="1:14">
      <c r="A33" s="39">
        <v>57</v>
      </c>
      <c r="B33" t="s">
        <v>141</v>
      </c>
      <c r="C33" s="89">
        <v>19.177299999999999</v>
      </c>
      <c r="D33" s="76">
        <v>-8493.1075880000008</v>
      </c>
      <c r="E33" s="76">
        <v>-8492.4427379999997</v>
      </c>
      <c r="F33" s="65">
        <v>18.091000000000001</v>
      </c>
      <c r="G33" s="108">
        <f t="shared" si="0"/>
        <v>-1.0862999999999978</v>
      </c>
      <c r="H33" s="109">
        <f t="shared" si="1"/>
        <v>1.0862999999999978</v>
      </c>
      <c r="I33" s="44">
        <v>-230798</v>
      </c>
      <c r="J33" s="44">
        <v>-230780</v>
      </c>
      <c r="K33" s="21">
        <v>18</v>
      </c>
      <c r="L33" s="27">
        <f t="shared" si="2"/>
        <v>-1.1772999999999989</v>
      </c>
      <c r="M33" s="27">
        <f t="shared" si="3"/>
        <v>1.1772999999999989</v>
      </c>
      <c r="N33" s="79"/>
    </row>
    <row r="34" spans="1:14">
      <c r="A34" s="39">
        <v>58</v>
      </c>
      <c r="B34" t="s">
        <v>142</v>
      </c>
      <c r="C34" s="89">
        <v>20.197399999999998</v>
      </c>
      <c r="D34" s="76">
        <v>-8860.4801100000004</v>
      </c>
      <c r="E34" s="76">
        <v>-8859.8510370000004</v>
      </c>
      <c r="F34" s="65">
        <v>17.117999999999999</v>
      </c>
      <c r="G34" s="108">
        <f t="shared" si="0"/>
        <v>-3.0793999999999997</v>
      </c>
      <c r="H34" s="109">
        <f t="shared" si="1"/>
        <v>3.0793999999999997</v>
      </c>
      <c r="I34" s="44">
        <v>-240777</v>
      </c>
      <c r="J34" s="44">
        <v>-240758</v>
      </c>
      <c r="K34" s="21">
        <v>19</v>
      </c>
      <c r="L34" s="27">
        <f t="shared" si="2"/>
        <v>-1.1973999999999982</v>
      </c>
      <c r="M34" s="27">
        <f t="shared" si="3"/>
        <v>1.1973999999999982</v>
      </c>
      <c r="N34" s="79"/>
    </row>
    <row r="35" spans="1:14">
      <c r="A35" s="39">
        <v>59</v>
      </c>
      <c r="B35" t="s">
        <v>144</v>
      </c>
      <c r="C35" s="89">
        <v>21.623699999999999</v>
      </c>
      <c r="D35" s="76">
        <v>-9237.6225680000007</v>
      </c>
      <c r="E35" s="76">
        <v>-9236.9642910000002</v>
      </c>
      <c r="F35" s="65">
        <v>17.913</v>
      </c>
      <c r="G35" s="108">
        <f t="shared" si="0"/>
        <v>-3.7106999999999992</v>
      </c>
      <c r="H35" s="109">
        <f t="shared" si="1"/>
        <v>3.7106999999999992</v>
      </c>
      <c r="I35" s="44">
        <v>-251021</v>
      </c>
      <c r="J35" s="44">
        <v>-251002</v>
      </c>
      <c r="K35" s="21">
        <v>19</v>
      </c>
      <c r="L35" s="27">
        <f t="shared" si="2"/>
        <v>-2.6236999999999995</v>
      </c>
      <c r="M35" s="27">
        <f t="shared" si="3"/>
        <v>2.6236999999999995</v>
      </c>
      <c r="N35" s="79"/>
    </row>
    <row r="36" spans="1:14">
      <c r="A36" s="39">
        <v>60</v>
      </c>
      <c r="B36" t="s">
        <v>146</v>
      </c>
      <c r="C36" s="89">
        <v>22.09</v>
      </c>
      <c r="D36" s="76">
        <v>-9624.6005409999998</v>
      </c>
      <c r="E36" s="76">
        <v>-9623.9181410000001</v>
      </c>
      <c r="F36" s="65">
        <v>18.568999999999999</v>
      </c>
      <c r="G36" s="108">
        <f t="shared" si="0"/>
        <v>-3.5210000000000008</v>
      </c>
      <c r="H36" s="109">
        <f t="shared" si="1"/>
        <v>3.5210000000000008</v>
      </c>
      <c r="I36" s="44">
        <v>-261533</v>
      </c>
      <c r="J36" s="44">
        <v>-261513</v>
      </c>
      <c r="K36" s="21">
        <v>20</v>
      </c>
      <c r="L36" s="27">
        <f t="shared" si="2"/>
        <v>-2.09</v>
      </c>
      <c r="M36" s="27">
        <f t="shared" si="3"/>
        <v>2.09</v>
      </c>
      <c r="N36" s="79"/>
    </row>
    <row r="37" spans="1:14" ht="15.75" thickBot="1">
      <c r="A37" s="39">
        <v>62</v>
      </c>
      <c r="B37" t="s">
        <v>147</v>
      </c>
      <c r="C37" s="91">
        <v>23.55</v>
      </c>
      <c r="D37" s="76">
        <v>-10428.627528999999</v>
      </c>
      <c r="E37" s="76">
        <v>-10427.908493999999</v>
      </c>
      <c r="F37" s="65">
        <v>19.565999999999999</v>
      </c>
      <c r="G37" s="108">
        <f t="shared" si="0"/>
        <v>-3.9840000000000018</v>
      </c>
      <c r="H37" s="109">
        <f t="shared" si="1"/>
        <v>3.9840000000000018</v>
      </c>
      <c r="I37" s="44">
        <v>-283370</v>
      </c>
      <c r="J37" s="44">
        <v>-283349</v>
      </c>
      <c r="K37" s="21">
        <v>21</v>
      </c>
      <c r="L37" s="27">
        <f t="shared" si="2"/>
        <v>-2.5500000000000007</v>
      </c>
      <c r="M37" s="27">
        <f t="shared" si="3"/>
        <v>2.5500000000000007</v>
      </c>
      <c r="N37" s="79"/>
    </row>
    <row r="38" spans="1:14" ht="15.75" thickBot="1">
      <c r="A38" s="39">
        <v>63</v>
      </c>
      <c r="B38" t="s">
        <v>148</v>
      </c>
      <c r="C38" s="91">
        <v>24.84</v>
      </c>
      <c r="D38" s="76">
        <v>-10845.962841</v>
      </c>
      <c r="E38" s="76">
        <v>-10845.230173</v>
      </c>
      <c r="F38" s="65">
        <v>19.937000000000001</v>
      </c>
      <c r="G38" s="116">
        <f t="shared" si="0"/>
        <v>-4.9029999999999987</v>
      </c>
      <c r="H38" s="117">
        <f t="shared" si="1"/>
        <v>4.9029999999999987</v>
      </c>
      <c r="I38" s="44">
        <v>-294706</v>
      </c>
      <c r="J38" s="44">
        <v>-294683</v>
      </c>
      <c r="K38" s="21">
        <v>23</v>
      </c>
      <c r="L38" s="27">
        <f t="shared" ref="L38:L56" si="7">K38-C38</f>
        <v>-1.8399999999999999</v>
      </c>
      <c r="M38" s="27">
        <f t="shared" si="3"/>
        <v>1.8399999999999999</v>
      </c>
      <c r="N38" s="79"/>
    </row>
    <row r="39" spans="1:14">
      <c r="A39" s="39">
        <v>64</v>
      </c>
      <c r="B39" t="s">
        <v>151</v>
      </c>
      <c r="C39" s="91">
        <v>20.54</v>
      </c>
      <c r="D39" s="76">
        <v>-11273.600073</v>
      </c>
      <c r="E39" s="76">
        <v>-11272.905069</v>
      </c>
      <c r="F39" s="65">
        <v>18.911999999999999</v>
      </c>
      <c r="G39" s="108">
        <f t="shared" si="0"/>
        <v>-1.6280000000000001</v>
      </c>
      <c r="H39" s="109">
        <f t="shared" si="1"/>
        <v>1.6280000000000001</v>
      </c>
      <c r="I39" s="44">
        <v>-306321</v>
      </c>
      <c r="J39" s="44">
        <v>-306302</v>
      </c>
      <c r="K39" s="21">
        <v>19</v>
      </c>
      <c r="L39" s="27">
        <f t="shared" si="7"/>
        <v>-1.5399999999999991</v>
      </c>
      <c r="M39" s="27">
        <f t="shared" si="3"/>
        <v>1.5399999999999991</v>
      </c>
      <c r="N39" s="79"/>
    </row>
    <row r="40" spans="1:14" ht="15.75" thickBot="1">
      <c r="A40" s="39">
        <v>66</v>
      </c>
      <c r="B40" t="s">
        <v>154</v>
      </c>
      <c r="C40" s="91">
        <v>22.89</v>
      </c>
      <c r="D40" s="76">
        <v>-12160.990091</v>
      </c>
      <c r="E40" s="76">
        <v>-12160.231226</v>
      </c>
      <c r="F40" s="65">
        <v>20.65</v>
      </c>
      <c r="G40" s="108">
        <f t="shared" si="0"/>
        <v>-2.240000000000002</v>
      </c>
      <c r="H40" s="109">
        <f t="shared" si="1"/>
        <v>2.240000000000002</v>
      </c>
      <c r="I40" s="44">
        <v>-330408</v>
      </c>
      <c r="J40" s="44">
        <v>-330388</v>
      </c>
      <c r="K40" s="21">
        <v>20</v>
      </c>
      <c r="L40" s="27">
        <f t="shared" si="7"/>
        <v>-2.8900000000000006</v>
      </c>
      <c r="M40" s="27">
        <f t="shared" si="3"/>
        <v>2.8900000000000006</v>
      </c>
      <c r="N40" s="79"/>
    </row>
    <row r="41" spans="1:14" ht="15.75" thickBot="1">
      <c r="A41" s="39">
        <v>69</v>
      </c>
      <c r="B41" t="s">
        <v>155</v>
      </c>
      <c r="C41" s="91">
        <v>23.66</v>
      </c>
      <c r="D41" s="76">
        <v>-13573.69254</v>
      </c>
      <c r="E41" s="76">
        <v>-13572.925316000001</v>
      </c>
      <c r="F41" s="65">
        <v>20.876999999999999</v>
      </c>
      <c r="G41" s="108">
        <f t="shared" si="0"/>
        <v>-2.7830000000000013</v>
      </c>
      <c r="H41" s="109">
        <f t="shared" si="1"/>
        <v>2.7830000000000013</v>
      </c>
      <c r="I41" s="44">
        <v>-368758</v>
      </c>
      <c r="J41" s="44">
        <v>-368740</v>
      </c>
      <c r="K41" s="21">
        <v>18</v>
      </c>
      <c r="L41" s="118">
        <f t="shared" si="7"/>
        <v>-5.66</v>
      </c>
      <c r="M41" s="119">
        <f t="shared" si="3"/>
        <v>5.66</v>
      </c>
    </row>
    <row r="42" spans="1:14">
      <c r="A42" s="39">
        <v>70</v>
      </c>
      <c r="B42" t="s">
        <v>156</v>
      </c>
      <c r="C42" s="91">
        <v>25.053000000000001</v>
      </c>
      <c r="D42" s="76">
        <v>-14067.01547</v>
      </c>
      <c r="E42" s="76">
        <v>-14066.24877</v>
      </c>
      <c r="F42" s="65">
        <v>20.863</v>
      </c>
      <c r="G42" s="108">
        <f t="shared" si="0"/>
        <v>-4.1900000000000013</v>
      </c>
      <c r="H42" s="109">
        <f t="shared" si="1"/>
        <v>4.1900000000000013</v>
      </c>
      <c r="I42" s="44">
        <v>-382151</v>
      </c>
      <c r="J42" s="44">
        <v>-382131</v>
      </c>
      <c r="K42" s="21">
        <v>20</v>
      </c>
      <c r="L42" s="27">
        <f t="shared" si="7"/>
        <v>-5.0530000000000008</v>
      </c>
      <c r="M42" s="27">
        <f t="shared" si="3"/>
        <v>5.0530000000000008</v>
      </c>
      <c r="N42" s="79"/>
    </row>
    <row r="43" spans="1:14">
      <c r="A43" s="39">
        <v>72</v>
      </c>
      <c r="B43" t="s">
        <v>157</v>
      </c>
      <c r="C43" s="91">
        <v>22.55</v>
      </c>
      <c r="D43" s="76">
        <v>-15088.039319</v>
      </c>
      <c r="E43" s="76">
        <v>-15087.279060000001</v>
      </c>
      <c r="F43" s="65">
        <v>20.687999999999999</v>
      </c>
      <c r="G43" s="108">
        <f t="shared" si="0"/>
        <v>-1.8620000000000019</v>
      </c>
      <c r="H43" s="109">
        <f t="shared" si="1"/>
        <v>1.8620000000000019</v>
      </c>
      <c r="I43" s="44">
        <v>-409870</v>
      </c>
      <c r="J43" s="44">
        <v>-409849</v>
      </c>
      <c r="K43" s="21">
        <v>21</v>
      </c>
      <c r="L43" s="27">
        <f t="shared" si="7"/>
        <v>-1.5500000000000007</v>
      </c>
      <c r="M43" s="27">
        <f t="shared" si="3"/>
        <v>1.5500000000000007</v>
      </c>
      <c r="N43" s="79"/>
    </row>
    <row r="44" spans="1:14">
      <c r="A44" s="39">
        <v>73</v>
      </c>
      <c r="B44" t="s">
        <v>159</v>
      </c>
      <c r="C44" s="91">
        <v>23.1</v>
      </c>
      <c r="D44" s="76">
        <v>-15615.837267999999</v>
      </c>
      <c r="E44" s="76">
        <v>-15615.016744</v>
      </c>
      <c r="F44" s="65">
        <v>22.327999999999999</v>
      </c>
      <c r="G44" s="108">
        <f t="shared" si="0"/>
        <v>-0.77200000000000202</v>
      </c>
      <c r="H44" s="109">
        <f t="shared" si="1"/>
        <v>0.77200000000000202</v>
      </c>
      <c r="I44" s="44">
        <v>-424200</v>
      </c>
      <c r="J44" s="44">
        <v>-424177</v>
      </c>
      <c r="K44" s="21">
        <v>23</v>
      </c>
      <c r="L44" s="27">
        <f t="shared" si="7"/>
        <v>-0.10000000000000142</v>
      </c>
      <c r="M44" s="27">
        <f t="shared" si="3"/>
        <v>0.10000000000000142</v>
      </c>
      <c r="N44" s="79"/>
    </row>
    <row r="45" spans="1:14">
      <c r="A45" s="39">
        <v>74</v>
      </c>
      <c r="B45" t="s">
        <v>164</v>
      </c>
      <c r="C45" s="91">
        <v>26</v>
      </c>
      <c r="D45" s="76">
        <v>-16155.360113999999</v>
      </c>
      <c r="E45" s="76">
        <v>-16154.479819</v>
      </c>
      <c r="F45" s="65">
        <v>23.954000000000001</v>
      </c>
      <c r="G45" s="108">
        <f t="shared" si="0"/>
        <v>-2.0459999999999994</v>
      </c>
      <c r="H45" s="109">
        <f t="shared" si="1"/>
        <v>2.0459999999999994</v>
      </c>
      <c r="I45" s="44">
        <v>-438845</v>
      </c>
      <c r="J45" s="44">
        <v>-438820</v>
      </c>
      <c r="K45" s="21">
        <v>25</v>
      </c>
      <c r="L45" s="27">
        <f t="shared" si="7"/>
        <v>-1</v>
      </c>
      <c r="M45" s="27">
        <f t="shared" si="3"/>
        <v>1</v>
      </c>
      <c r="N45" s="79"/>
    </row>
    <row r="46" spans="1:14">
      <c r="A46" s="39">
        <v>75</v>
      </c>
      <c r="B46" t="s">
        <v>170</v>
      </c>
      <c r="C46" s="91">
        <v>27</v>
      </c>
      <c r="D46" s="76">
        <v>-16706.784847999999</v>
      </c>
      <c r="E46" s="76">
        <v>-16705.845020000001</v>
      </c>
      <c r="F46" s="65">
        <v>25.574000000000002</v>
      </c>
      <c r="G46" s="108">
        <f t="shared" si="0"/>
        <v>-1.4259999999999984</v>
      </c>
      <c r="H46" s="109">
        <f t="shared" si="1"/>
        <v>1.4259999999999984</v>
      </c>
      <c r="I46" s="44">
        <v>-453815</v>
      </c>
      <c r="J46" s="44">
        <v>-453788</v>
      </c>
      <c r="K46" s="21">
        <v>27</v>
      </c>
      <c r="L46" s="27">
        <f t="shared" si="7"/>
        <v>0</v>
      </c>
      <c r="M46" s="27">
        <f t="shared" si="3"/>
        <v>0</v>
      </c>
      <c r="N46" s="79"/>
    </row>
    <row r="47" spans="1:14">
      <c r="A47" s="39">
        <v>76</v>
      </c>
      <c r="B47" t="s">
        <v>177</v>
      </c>
      <c r="C47" s="91">
        <v>25</v>
      </c>
      <c r="D47" s="76">
        <v>-17270.202848000001</v>
      </c>
      <c r="E47" s="76">
        <v>-17269.203525000001</v>
      </c>
      <c r="F47" s="65">
        <v>27.193000000000001</v>
      </c>
      <c r="G47" s="108">
        <f t="shared" si="0"/>
        <v>2.1930000000000014</v>
      </c>
      <c r="H47" s="109">
        <f t="shared" si="1"/>
        <v>2.1930000000000014</v>
      </c>
      <c r="I47" s="44">
        <v>-469106</v>
      </c>
      <c r="J47" s="44">
        <v>-469081</v>
      </c>
      <c r="K47" s="21">
        <v>25</v>
      </c>
      <c r="L47" s="27">
        <f t="shared" si="7"/>
        <v>0</v>
      </c>
      <c r="M47" s="27">
        <f t="shared" si="3"/>
        <v>0</v>
      </c>
      <c r="N47" s="79"/>
    </row>
    <row r="48" spans="1:14">
      <c r="A48" s="39">
        <v>77</v>
      </c>
      <c r="B48" t="s">
        <v>185</v>
      </c>
      <c r="C48" s="91">
        <v>28</v>
      </c>
      <c r="D48" s="76">
        <v>-17845.900902000001</v>
      </c>
      <c r="E48" s="76">
        <v>-17844.841976</v>
      </c>
      <c r="F48" s="65">
        <v>28.815000000000001</v>
      </c>
      <c r="G48" s="108">
        <f t="shared" si="0"/>
        <v>0.81500000000000128</v>
      </c>
      <c r="H48" s="109">
        <f t="shared" si="1"/>
        <v>0.81500000000000128</v>
      </c>
      <c r="I48" s="44">
        <v>-484731</v>
      </c>
      <c r="J48" s="44">
        <v>-484703</v>
      </c>
      <c r="K48" s="21">
        <v>28</v>
      </c>
      <c r="L48" s="27">
        <f t="shared" si="7"/>
        <v>0</v>
      </c>
      <c r="M48" s="27">
        <f t="shared" si="3"/>
        <v>0</v>
      </c>
      <c r="N48" s="79"/>
    </row>
    <row r="49" spans="1:14">
      <c r="A49" s="39">
        <v>79</v>
      </c>
      <c r="B49" t="s">
        <v>193</v>
      </c>
      <c r="C49" s="91">
        <v>30</v>
      </c>
      <c r="D49" s="76">
        <v>-19034.568464</v>
      </c>
      <c r="E49" s="76">
        <v>-19033.389572</v>
      </c>
      <c r="F49" s="65">
        <v>32.079000000000001</v>
      </c>
      <c r="G49" s="108">
        <f t="shared" si="0"/>
        <v>2.0790000000000006</v>
      </c>
      <c r="H49" s="109">
        <f t="shared" si="1"/>
        <v>2.0790000000000006</v>
      </c>
      <c r="I49" s="44">
        <v>-516989</v>
      </c>
      <c r="J49" s="44">
        <v>-516959</v>
      </c>
      <c r="K49" s="21">
        <v>30</v>
      </c>
      <c r="L49" s="27">
        <f t="shared" si="7"/>
        <v>0</v>
      </c>
      <c r="M49" s="27">
        <f t="shared" si="3"/>
        <v>0</v>
      </c>
      <c r="N49" s="79"/>
    </row>
    <row r="50" spans="1:14">
      <c r="A50" s="39">
        <v>90</v>
      </c>
      <c r="B50" t="s">
        <v>199</v>
      </c>
      <c r="C50" s="91">
        <v>18.32</v>
      </c>
      <c r="D50" s="76">
        <v>-26509.848580999998</v>
      </c>
      <c r="E50" s="76">
        <v>-26509.238670999999</v>
      </c>
      <c r="F50" s="65">
        <v>16.597000000000001</v>
      </c>
      <c r="G50" s="108">
        <f t="shared" si="0"/>
        <v>-1.722999999999999</v>
      </c>
      <c r="H50" s="109">
        <f t="shared" si="1"/>
        <v>1.722999999999999</v>
      </c>
      <c r="I50" s="44">
        <v>-719814</v>
      </c>
      <c r="J50" s="44">
        <v>-719796</v>
      </c>
      <c r="K50" s="21">
        <v>18</v>
      </c>
      <c r="L50" s="27">
        <f t="shared" si="7"/>
        <v>-0.32000000000000028</v>
      </c>
      <c r="M50" s="27">
        <f t="shared" si="3"/>
        <v>0.32000000000000028</v>
      </c>
      <c r="N50" s="79"/>
    </row>
    <row r="51" spans="1:14">
      <c r="A51" s="39">
        <v>95</v>
      </c>
      <c r="B51" t="s">
        <v>214</v>
      </c>
      <c r="C51" s="91">
        <v>21.7</v>
      </c>
      <c r="D51" s="76">
        <v>-30481.095245</v>
      </c>
      <c r="E51" s="76">
        <v>-30480.393631999999</v>
      </c>
      <c r="F51" s="65">
        <v>19.091999999999999</v>
      </c>
      <c r="G51" s="108">
        <f t="shared" si="0"/>
        <v>-2.6080000000000005</v>
      </c>
      <c r="H51" s="109">
        <f t="shared" si="1"/>
        <v>2.6080000000000005</v>
      </c>
      <c r="I51" s="44">
        <v>-827539</v>
      </c>
      <c r="J51" s="44">
        <v>-827517</v>
      </c>
      <c r="K51" s="21">
        <v>22</v>
      </c>
      <c r="L51" s="27">
        <f t="shared" si="7"/>
        <v>0.30000000000000071</v>
      </c>
      <c r="M51" s="27">
        <f t="shared" si="3"/>
        <v>0.30000000000000071</v>
      </c>
      <c r="N51" s="79"/>
    </row>
    <row r="52" spans="1:14">
      <c r="A52" s="39">
        <v>98</v>
      </c>
      <c r="B52" t="s">
        <v>220</v>
      </c>
      <c r="C52" s="91">
        <v>22.4</v>
      </c>
      <c r="D52" s="76">
        <v>-33058.813472000002</v>
      </c>
      <c r="E52" s="76">
        <v>-33058.016931999999</v>
      </c>
      <c r="F52" s="65">
        <v>21.675000000000001</v>
      </c>
      <c r="G52" s="108">
        <f t="shared" si="0"/>
        <v>-0.72499999999999787</v>
      </c>
      <c r="H52" s="109">
        <f t="shared" si="1"/>
        <v>0.72499999999999787</v>
      </c>
      <c r="I52" s="44">
        <v>-897415</v>
      </c>
      <c r="J52" s="44">
        <v>-897394</v>
      </c>
      <c r="K52" s="21">
        <v>21</v>
      </c>
      <c r="L52" s="27">
        <f t="shared" si="7"/>
        <v>-1.3999999999999986</v>
      </c>
      <c r="M52" s="27">
        <f t="shared" si="3"/>
        <v>1.3999999999999986</v>
      </c>
      <c r="N52" s="79"/>
    </row>
    <row r="53" spans="1:14">
      <c r="A53" s="39">
        <v>99</v>
      </c>
      <c r="B53" t="s">
        <v>222</v>
      </c>
      <c r="C53" s="91">
        <v>22.7</v>
      </c>
      <c r="D53" s="76">
        <v>-33952.205494000002</v>
      </c>
      <c r="E53" s="76">
        <v>-33951.379630000003</v>
      </c>
      <c r="F53" s="65">
        <v>22.472999999999999</v>
      </c>
      <c r="G53" s="108">
        <f t="shared" si="0"/>
        <v>-0.22700000000000031</v>
      </c>
      <c r="H53" s="109">
        <f t="shared" si="1"/>
        <v>0.22700000000000031</v>
      </c>
      <c r="I53" s="44">
        <v>-921634</v>
      </c>
      <c r="J53" s="44">
        <v>-921616</v>
      </c>
      <c r="K53" s="21">
        <v>18</v>
      </c>
      <c r="L53" s="27">
        <f t="shared" si="7"/>
        <v>-4.6999999999999993</v>
      </c>
      <c r="M53" s="27">
        <f t="shared" si="3"/>
        <v>4.6999999999999993</v>
      </c>
      <c r="N53" s="79"/>
    </row>
    <row r="54" spans="1:14">
      <c r="A54" s="39">
        <v>100</v>
      </c>
      <c r="B54" t="s">
        <v>223</v>
      </c>
      <c r="C54" s="91">
        <v>23.2</v>
      </c>
      <c r="D54" s="76">
        <v>-34863.123631000002</v>
      </c>
      <c r="E54" s="76">
        <v>-34862.269456000002</v>
      </c>
      <c r="F54" s="65">
        <v>23.242999999999999</v>
      </c>
      <c r="G54" s="108">
        <f t="shared" si="0"/>
        <v>4.2999999999999261E-2</v>
      </c>
      <c r="H54" s="109">
        <f t="shared" si="1"/>
        <v>4.2999999999999261E-2</v>
      </c>
      <c r="I54" s="44">
        <v>-946337</v>
      </c>
      <c r="J54" s="44">
        <v>-946314</v>
      </c>
      <c r="K54" s="21">
        <v>23</v>
      </c>
      <c r="L54" s="27">
        <f t="shared" si="7"/>
        <v>-0.19999999999999929</v>
      </c>
      <c r="M54" s="27">
        <f t="shared" si="3"/>
        <v>0.19999999999999929</v>
      </c>
      <c r="N54" s="79"/>
    </row>
    <row r="55" spans="1:14">
      <c r="A55" s="39">
        <v>101</v>
      </c>
      <c r="B55" t="s">
        <v>224</v>
      </c>
      <c r="C55" s="91">
        <v>24.3</v>
      </c>
      <c r="D55" s="76">
        <v>-35792.418857999997</v>
      </c>
      <c r="E55" s="76">
        <v>-35791.537335000001</v>
      </c>
      <c r="F55" s="65">
        <v>23.986999999999998</v>
      </c>
      <c r="G55" s="108">
        <f t="shared" si="0"/>
        <v>-0.31300000000000239</v>
      </c>
      <c r="H55" s="109">
        <f t="shared" si="1"/>
        <v>0.31300000000000239</v>
      </c>
      <c r="I55" s="44">
        <v>-971520</v>
      </c>
      <c r="J55" s="44">
        <v>-971500</v>
      </c>
      <c r="K55" s="21">
        <v>20</v>
      </c>
      <c r="L55" s="27">
        <f t="shared" si="7"/>
        <v>-4.3000000000000007</v>
      </c>
      <c r="M55" s="27">
        <f t="shared" si="3"/>
        <v>4.3000000000000007</v>
      </c>
      <c r="N55" s="79"/>
    </row>
    <row r="56" spans="1:14">
      <c r="A56" s="39">
        <v>102</v>
      </c>
      <c r="B56" t="s">
        <v>225</v>
      </c>
      <c r="C56" s="91">
        <v>25.8</v>
      </c>
      <c r="D56" s="76">
        <v>-36740.275309999997</v>
      </c>
      <c r="E56" s="76">
        <v>-36739.367355000002</v>
      </c>
      <c r="F56" s="65">
        <v>24.707000000000001</v>
      </c>
      <c r="G56" s="108">
        <f t="shared" si="0"/>
        <v>-1.093</v>
      </c>
      <c r="H56" s="109">
        <f t="shared" si="1"/>
        <v>1.093</v>
      </c>
      <c r="I56" s="44">
        <v>-997216</v>
      </c>
      <c r="J56" s="44">
        <v>-997190</v>
      </c>
      <c r="K56" s="21">
        <v>26</v>
      </c>
      <c r="L56" s="27">
        <f t="shared" si="7"/>
        <v>0.19999999999999929</v>
      </c>
      <c r="M56" s="27">
        <f t="shared" si="3"/>
        <v>0.19999999999999929</v>
      </c>
      <c r="N56" s="79"/>
    </row>
    <row r="57" spans="1:14">
      <c r="G57" s="82" t="s">
        <v>256</v>
      </c>
      <c r="H57" s="4">
        <f>AVERAGE(H6:H56)</f>
        <v>1.7042095882352937</v>
      </c>
      <c r="L57" s="82" t="s">
        <v>256</v>
      </c>
      <c r="M57" s="4">
        <f>AVERAGE(M6:M56)</f>
        <v>1.5424840980392156</v>
      </c>
    </row>
    <row r="58" spans="1:14">
      <c r="C58" s="92"/>
      <c r="G58" s="82" t="s">
        <v>255</v>
      </c>
      <c r="H58" s="4">
        <f>MAX(H6:H56)</f>
        <v>4.9029999999999987</v>
      </c>
      <c r="L58" s="82" t="s">
        <v>255</v>
      </c>
      <c r="M58" s="4">
        <f>MAX(M6:M56)</f>
        <v>5.66</v>
      </c>
    </row>
    <row r="59" spans="1:14">
      <c r="G59" s="124" t="s">
        <v>278</v>
      </c>
      <c r="H59">
        <f>COUNT(H6:H56)</f>
        <v>51</v>
      </c>
      <c r="L59" s="124" t="s">
        <v>278</v>
      </c>
      <c r="M59">
        <f>COUNT(M6:M56)</f>
        <v>51</v>
      </c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9E61-39BB-478B-A869-A39A6783CA48}">
  <dimension ref="A1:V56"/>
  <sheetViews>
    <sheetView workbookViewId="0">
      <selection activeCell="E4" sqref="E4"/>
    </sheetView>
  </sheetViews>
  <sheetFormatPr defaultRowHeight="15"/>
  <cols>
    <col min="1" max="1" width="10.42578125" style="39" customWidth="1"/>
    <col min="2" max="2" width="10.42578125" style="38" customWidth="1"/>
    <col min="3" max="3" width="14.5703125" customWidth="1"/>
    <col min="4" max="4" width="13.5703125" style="65" customWidth="1"/>
    <col min="5" max="5" width="15.28515625" style="65" customWidth="1"/>
    <col min="6" max="6" width="11.28515625" style="65" customWidth="1"/>
    <col min="7" max="7" width="11.42578125" style="65" customWidth="1"/>
    <col min="8" max="8" width="11" style="65" customWidth="1"/>
    <col min="9" max="9" width="14.5703125" style="26" customWidth="1"/>
    <col min="10" max="10" width="11.42578125" style="26" customWidth="1"/>
    <col min="11" max="11" width="11" style="27" customWidth="1"/>
    <col min="12" max="12" width="11" style="21" customWidth="1"/>
    <col min="14" max="14" width="14.140625" style="51" customWidth="1"/>
    <col min="15" max="15" width="14.42578125" style="52" bestFit="1" customWidth="1"/>
    <col min="16" max="16" width="10.42578125" style="52" customWidth="1"/>
    <col min="17" max="17" width="12.7109375" style="52" customWidth="1"/>
    <col min="18" max="18" width="10.5703125" bestFit="1" customWidth="1"/>
  </cols>
  <sheetData>
    <row r="1" spans="1:22">
      <c r="A1" s="143" t="s">
        <v>425</v>
      </c>
    </row>
    <row r="3" spans="1:22">
      <c r="C3" s="10" t="s">
        <v>239</v>
      </c>
      <c r="D3" s="66" t="s">
        <v>228</v>
      </c>
      <c r="F3" s="66"/>
      <c r="G3" s="66"/>
      <c r="H3" s="93"/>
      <c r="I3" s="24" t="s">
        <v>227</v>
      </c>
      <c r="J3" s="25"/>
      <c r="N3" s="77" t="s">
        <v>226</v>
      </c>
      <c r="O3" s="47"/>
      <c r="P3" s="47"/>
      <c r="Q3" s="47"/>
    </row>
    <row r="4" spans="1:22">
      <c r="A4" s="12" t="s">
        <v>0</v>
      </c>
      <c r="B4" s="13" t="s">
        <v>1</v>
      </c>
      <c r="C4" s="64" t="s">
        <v>240</v>
      </c>
      <c r="D4" s="29" t="s">
        <v>260</v>
      </c>
      <c r="E4" s="29" t="s">
        <v>266</v>
      </c>
      <c r="F4" s="17" t="s">
        <v>229</v>
      </c>
      <c r="G4" s="35" t="s">
        <v>230</v>
      </c>
      <c r="H4" s="18" t="s">
        <v>254</v>
      </c>
      <c r="I4" s="36" t="s">
        <v>259</v>
      </c>
      <c r="J4" s="34" t="s">
        <v>267</v>
      </c>
      <c r="K4" s="23" t="s">
        <v>231</v>
      </c>
      <c r="L4" s="22" t="s">
        <v>232</v>
      </c>
      <c r="M4" s="22" t="s">
        <v>257</v>
      </c>
      <c r="N4" s="78" t="s">
        <v>261</v>
      </c>
      <c r="O4" s="48" t="s">
        <v>234</v>
      </c>
      <c r="P4" s="48" t="s">
        <v>235</v>
      </c>
      <c r="Q4" s="49" t="s">
        <v>236</v>
      </c>
      <c r="R4" s="69" t="s">
        <v>263</v>
      </c>
    </row>
    <row r="5" spans="1:22">
      <c r="A5" s="1">
        <v>6</v>
      </c>
      <c r="B5" t="s">
        <v>9</v>
      </c>
      <c r="C5" s="14">
        <v>64.493520000000004</v>
      </c>
      <c r="D5" s="68">
        <v>-34.741948000000001</v>
      </c>
      <c r="E5" s="68">
        <v>-32.375985999999997</v>
      </c>
      <c r="F5" s="65">
        <v>64.381</v>
      </c>
      <c r="G5" s="108">
        <f t="shared" ref="G5:G44" si="0">F5-C5</f>
        <v>-0.11252000000000351</v>
      </c>
      <c r="H5" s="109">
        <f>ABS(G5)</f>
        <v>0.11252000000000351</v>
      </c>
      <c r="I5" s="44">
        <v>-945</v>
      </c>
      <c r="J5" s="44" t="s">
        <v>233</v>
      </c>
      <c r="K5" s="21"/>
      <c r="L5" s="27"/>
      <c r="M5" s="4"/>
      <c r="N5" s="70"/>
      <c r="O5" s="51"/>
      <c r="R5" s="4"/>
      <c r="S5" s="4"/>
      <c r="T5" s="4"/>
      <c r="U5" s="8"/>
    </row>
    <row r="6" spans="1:22">
      <c r="A6" s="1">
        <v>7</v>
      </c>
      <c r="B6" t="s">
        <v>13</v>
      </c>
      <c r="C6" s="14">
        <v>77.473500000000001</v>
      </c>
      <c r="D6" s="68">
        <v>-51.114494000000001</v>
      </c>
      <c r="E6" s="68">
        <v>-48.357247000000001</v>
      </c>
      <c r="F6" s="65">
        <v>75.028999999999996</v>
      </c>
      <c r="G6" s="108">
        <f t="shared" si="0"/>
        <v>-2.444500000000005</v>
      </c>
      <c r="H6" s="109">
        <f t="shared" ref="H6:H44" si="1">ABS(G6)</f>
        <v>2.444500000000005</v>
      </c>
      <c r="I6" s="43">
        <v>-1391</v>
      </c>
      <c r="J6" s="44">
        <v>-1316</v>
      </c>
      <c r="K6" s="21">
        <v>75</v>
      </c>
      <c r="L6" s="27">
        <f t="shared" ref="L6:L44" si="2">K6-C6</f>
        <v>-2.4735000000000014</v>
      </c>
      <c r="M6" s="27">
        <f>ABS(L6)</f>
        <v>2.4735000000000014</v>
      </c>
      <c r="N6" s="70"/>
      <c r="O6" s="51"/>
    </row>
    <row r="7" spans="1:22">
      <c r="A7" s="1">
        <v>14</v>
      </c>
      <c r="B7" t="s">
        <v>22</v>
      </c>
      <c r="C7" s="14">
        <v>45.14179</v>
      </c>
      <c r="D7" s="68">
        <v>-287.44654200000002</v>
      </c>
      <c r="E7" s="68">
        <v>-285.80260299999998</v>
      </c>
      <c r="F7" s="65">
        <v>44.734000000000002</v>
      </c>
      <c r="G7" s="108">
        <f t="shared" si="0"/>
        <v>-0.40778999999999854</v>
      </c>
      <c r="H7" s="109">
        <f t="shared" si="1"/>
        <v>0.40778999999999854</v>
      </c>
      <c r="I7" s="43">
        <v>-7819</v>
      </c>
      <c r="J7" s="44">
        <v>-7774</v>
      </c>
      <c r="K7" s="21">
        <v>45</v>
      </c>
      <c r="L7" s="27">
        <f t="shared" si="2"/>
        <v>-0.1417900000000003</v>
      </c>
      <c r="M7" s="27">
        <f t="shared" ref="M7:M44" si="3">ABS(L7)</f>
        <v>0.1417900000000003</v>
      </c>
      <c r="N7" s="70"/>
      <c r="O7" s="51"/>
      <c r="V7" s="5"/>
    </row>
    <row r="8" spans="1:22">
      <c r="A8" s="1">
        <v>15</v>
      </c>
      <c r="B8" t="s">
        <v>26</v>
      </c>
      <c r="C8" s="14">
        <v>51.443869999999997</v>
      </c>
      <c r="D8" s="68">
        <v>-339.41045000000003</v>
      </c>
      <c r="E8" s="68">
        <v>-337.57998199999997</v>
      </c>
      <c r="F8" s="65">
        <v>49.81</v>
      </c>
      <c r="G8" s="108">
        <f t="shared" si="0"/>
        <v>-1.6338699999999946</v>
      </c>
      <c r="H8" s="109">
        <f t="shared" si="1"/>
        <v>1.6338699999999946</v>
      </c>
      <c r="I8" s="43">
        <v>-9233</v>
      </c>
      <c r="J8" s="44">
        <v>-9183</v>
      </c>
      <c r="K8" s="21">
        <v>50</v>
      </c>
      <c r="L8" s="27">
        <f t="shared" si="2"/>
        <v>-1.4438699999999969</v>
      </c>
      <c r="M8" s="27">
        <f t="shared" si="3"/>
        <v>1.4438699999999969</v>
      </c>
      <c r="N8" s="70"/>
      <c r="O8" s="51"/>
    </row>
    <row r="9" spans="1:22">
      <c r="A9" s="1">
        <v>16</v>
      </c>
      <c r="B9" t="s">
        <v>31</v>
      </c>
      <c r="C9" s="14">
        <v>47.222000000000001</v>
      </c>
      <c r="D9" s="68">
        <v>-396.19792200000001</v>
      </c>
      <c r="E9" s="68">
        <v>-394.49027999999998</v>
      </c>
      <c r="F9" s="65">
        <v>46.466999999999999</v>
      </c>
      <c r="G9" s="108">
        <f t="shared" si="0"/>
        <v>-0.75500000000000256</v>
      </c>
      <c r="H9" s="109">
        <f t="shared" si="1"/>
        <v>0.75500000000000256</v>
      </c>
      <c r="I9" s="43">
        <v>-10777</v>
      </c>
      <c r="J9" s="44">
        <v>-10731</v>
      </c>
      <c r="K9" s="21">
        <v>46</v>
      </c>
      <c r="L9" s="27">
        <f t="shared" si="2"/>
        <v>-1.2220000000000013</v>
      </c>
      <c r="M9" s="27">
        <f t="shared" si="3"/>
        <v>1.2220000000000013</v>
      </c>
      <c r="N9" s="70"/>
      <c r="O9" s="51"/>
    </row>
    <row r="10" spans="1:22">
      <c r="A10" s="1">
        <v>17</v>
      </c>
      <c r="B10" t="s">
        <v>37</v>
      </c>
      <c r="C10" s="14">
        <v>53.24</v>
      </c>
      <c r="D10" s="68">
        <v>-458.21001999999999</v>
      </c>
      <c r="E10" s="68">
        <v>-456.31921299999999</v>
      </c>
      <c r="F10" s="65">
        <v>51.451000000000001</v>
      </c>
      <c r="G10" s="108">
        <f t="shared" si="0"/>
        <v>-1.7890000000000015</v>
      </c>
      <c r="H10" s="109">
        <f t="shared" si="1"/>
        <v>1.7890000000000015</v>
      </c>
      <c r="I10" s="43">
        <v>-12465</v>
      </c>
      <c r="J10" s="44">
        <v>-12412</v>
      </c>
      <c r="K10" s="21">
        <v>53</v>
      </c>
      <c r="L10" s="27">
        <f t="shared" si="2"/>
        <v>-0.24000000000000199</v>
      </c>
      <c r="M10" s="27">
        <f t="shared" si="3"/>
        <v>0.24000000000000199</v>
      </c>
      <c r="N10" s="70"/>
      <c r="O10" s="51"/>
    </row>
    <row r="11" spans="1:22">
      <c r="A11" s="1">
        <v>22</v>
      </c>
      <c r="B11" t="s">
        <v>46</v>
      </c>
      <c r="C11" s="14">
        <v>43.26717</v>
      </c>
      <c r="D11" s="68">
        <v>-851.20050500000002</v>
      </c>
      <c r="E11" s="68">
        <v>-849.64981599999999</v>
      </c>
      <c r="F11" s="65">
        <v>42.195999999999998</v>
      </c>
      <c r="G11" s="108">
        <f t="shared" si="0"/>
        <v>-1.0711700000000022</v>
      </c>
      <c r="H11" s="109">
        <f t="shared" si="1"/>
        <v>1.0711700000000022</v>
      </c>
      <c r="I11" s="43">
        <v>-23150</v>
      </c>
      <c r="J11" s="44">
        <v>-23108</v>
      </c>
      <c r="K11" s="21">
        <v>42</v>
      </c>
      <c r="L11" s="27">
        <f t="shared" si="2"/>
        <v>-1.2671700000000001</v>
      </c>
      <c r="M11" s="27">
        <f t="shared" si="3"/>
        <v>1.2671700000000001</v>
      </c>
      <c r="N11" s="94">
        <v>-850.95171000000005</v>
      </c>
      <c r="O11" s="75">
        <v>-849.64981999999998</v>
      </c>
      <c r="P11" s="53">
        <f>(O11-N11)*27.211386245988</f>
        <v>35.426231639791254</v>
      </c>
      <c r="Q11" s="122">
        <f>P11-C11</f>
        <v>-7.8409383602087459</v>
      </c>
      <c r="R11" s="122">
        <f>ABS(Q11)</f>
        <v>7.8409383602087459</v>
      </c>
    </row>
    <row r="12" spans="1:22">
      <c r="A12" s="1">
        <v>23</v>
      </c>
      <c r="B12" t="s">
        <v>50</v>
      </c>
      <c r="C12" s="14">
        <v>46.709000000000003</v>
      </c>
      <c r="D12" s="68">
        <v>-946.47621200000003</v>
      </c>
      <c r="E12" s="68">
        <v>-944.84025799999995</v>
      </c>
      <c r="F12" s="65">
        <v>44.517000000000003</v>
      </c>
      <c r="G12" s="108">
        <f t="shared" si="0"/>
        <v>-2.1920000000000002</v>
      </c>
      <c r="H12" s="109">
        <f t="shared" si="1"/>
        <v>2.1920000000000002</v>
      </c>
      <c r="I12" s="43">
        <v>-25742</v>
      </c>
      <c r="J12" s="44">
        <v>-25696</v>
      </c>
      <c r="K12" s="21">
        <v>46</v>
      </c>
      <c r="L12" s="27">
        <f t="shared" si="2"/>
        <v>-0.70900000000000318</v>
      </c>
      <c r="M12" s="27">
        <f t="shared" si="3"/>
        <v>0.70900000000000318</v>
      </c>
      <c r="N12" s="94"/>
      <c r="O12" s="75"/>
      <c r="Q12" s="121"/>
      <c r="R12" s="122"/>
    </row>
    <row r="13" spans="1:22">
      <c r="A13" s="1">
        <v>24</v>
      </c>
      <c r="B13" t="s">
        <v>55</v>
      </c>
      <c r="C13" s="14">
        <v>49.16</v>
      </c>
      <c r="D13" s="68">
        <v>-1047.8378680000001</v>
      </c>
      <c r="E13" s="68">
        <v>-1046.1197</v>
      </c>
      <c r="F13" s="65">
        <v>46.753999999999998</v>
      </c>
      <c r="G13" s="108">
        <f t="shared" si="0"/>
        <v>-2.4059999999999988</v>
      </c>
      <c r="H13" s="109">
        <f t="shared" si="1"/>
        <v>2.4059999999999988</v>
      </c>
      <c r="I13" s="43">
        <v>-28500</v>
      </c>
      <c r="J13" s="44">
        <v>-28452</v>
      </c>
      <c r="K13" s="21">
        <v>48</v>
      </c>
      <c r="L13" s="27">
        <f t="shared" si="2"/>
        <v>-1.1599999999999966</v>
      </c>
      <c r="M13" s="27">
        <f t="shared" si="3"/>
        <v>1.1599999999999966</v>
      </c>
      <c r="N13" s="74"/>
      <c r="O13" s="73"/>
      <c r="P13" s="53"/>
      <c r="Q13" s="122"/>
      <c r="R13" s="122"/>
    </row>
    <row r="14" spans="1:22">
      <c r="A14" s="1">
        <v>25</v>
      </c>
      <c r="B14" t="s">
        <v>61</v>
      </c>
      <c r="C14" s="14">
        <v>51.21</v>
      </c>
      <c r="D14" s="68">
        <v>-1155.4369899999999</v>
      </c>
      <c r="E14" s="68">
        <v>-1153.6391389999999</v>
      </c>
      <c r="F14" s="65">
        <v>48.921999999999997</v>
      </c>
      <c r="G14" s="108">
        <f t="shared" si="0"/>
        <v>-2.2880000000000038</v>
      </c>
      <c r="H14" s="109">
        <f t="shared" si="1"/>
        <v>2.2880000000000038</v>
      </c>
      <c r="I14" s="43">
        <v>-31427</v>
      </c>
      <c r="J14" s="44">
        <v>-31377</v>
      </c>
      <c r="K14" s="21">
        <v>50</v>
      </c>
      <c r="L14" s="27">
        <f t="shared" si="2"/>
        <v>-1.2100000000000009</v>
      </c>
      <c r="M14" s="27">
        <f t="shared" si="3"/>
        <v>1.2100000000000009</v>
      </c>
      <c r="N14" s="74">
        <v>-1155.2167999999999</v>
      </c>
      <c r="O14" s="73">
        <v>-1153.3751</v>
      </c>
      <c r="P14" s="53">
        <f>(O14-N14)*27.211386245988</f>
        <v>50.115210049234634</v>
      </c>
      <c r="Q14" s="122">
        <f>P14-C14</f>
        <v>-1.0947899507653673</v>
      </c>
      <c r="R14" s="122">
        <f t="shared" ref="R14:R26" si="4">ABS(Q14)</f>
        <v>1.0947899507653673</v>
      </c>
    </row>
    <row r="15" spans="1:22">
      <c r="A15" s="1">
        <v>26</v>
      </c>
      <c r="B15" t="s">
        <v>68</v>
      </c>
      <c r="C15" s="14">
        <v>54.91</v>
      </c>
      <c r="D15" s="68">
        <v>-1269.425737</v>
      </c>
      <c r="E15" s="68">
        <v>-1267.5503510000001</v>
      </c>
      <c r="F15" s="65">
        <v>51.031999999999996</v>
      </c>
      <c r="G15" s="108">
        <f t="shared" si="0"/>
        <v>-3.8780000000000001</v>
      </c>
      <c r="H15" s="109">
        <f t="shared" si="1"/>
        <v>3.8780000000000001</v>
      </c>
      <c r="I15" s="43">
        <v>-34529</v>
      </c>
      <c r="J15" s="44">
        <v>-34475</v>
      </c>
      <c r="K15" s="21">
        <v>54</v>
      </c>
      <c r="L15" s="27">
        <f t="shared" si="2"/>
        <v>-0.90999999999999659</v>
      </c>
      <c r="M15" s="27">
        <f t="shared" si="3"/>
        <v>0.90999999999999659</v>
      </c>
      <c r="N15" s="74"/>
      <c r="O15" s="73"/>
      <c r="P15" s="53"/>
      <c r="Q15" s="122"/>
      <c r="R15" s="122"/>
    </row>
    <row r="16" spans="1:22">
      <c r="A16" s="1">
        <v>27</v>
      </c>
      <c r="B16" t="s">
        <v>74</v>
      </c>
      <c r="C16" s="14">
        <v>51.27</v>
      </c>
      <c r="D16" s="68">
        <v>-1389.9567669999999</v>
      </c>
      <c r="E16" s="68">
        <v>-1388.005699</v>
      </c>
      <c r="F16" s="65">
        <v>53.091000000000001</v>
      </c>
      <c r="G16" s="108">
        <f t="shared" si="0"/>
        <v>1.820999999999998</v>
      </c>
      <c r="H16" s="109">
        <f t="shared" si="1"/>
        <v>1.820999999999998</v>
      </c>
      <c r="I16" s="43">
        <v>-37803</v>
      </c>
      <c r="J16" s="44">
        <v>-37754</v>
      </c>
      <c r="K16" s="21">
        <v>49</v>
      </c>
      <c r="L16" s="27">
        <f t="shared" si="2"/>
        <v>-2.2700000000000031</v>
      </c>
      <c r="M16" s="27">
        <f t="shared" si="3"/>
        <v>2.2700000000000031</v>
      </c>
      <c r="N16" s="74"/>
      <c r="O16" s="73"/>
      <c r="P16" s="53"/>
      <c r="Q16" s="122"/>
      <c r="R16" s="122"/>
    </row>
    <row r="17" spans="1:21">
      <c r="A17" s="1">
        <v>28</v>
      </c>
      <c r="B17" t="s">
        <v>79</v>
      </c>
      <c r="C17" s="14">
        <v>54.92</v>
      </c>
      <c r="D17" s="68">
        <v>-1517.183661</v>
      </c>
      <c r="E17" s="68">
        <v>-1515.1585319999999</v>
      </c>
      <c r="F17" s="65">
        <v>55.106999999999999</v>
      </c>
      <c r="G17" s="108">
        <f t="shared" si="0"/>
        <v>0.18699999999999761</v>
      </c>
      <c r="H17" s="109">
        <f t="shared" si="1"/>
        <v>0.18699999999999761</v>
      </c>
      <c r="I17" s="43">
        <v>-41261</v>
      </c>
      <c r="J17" s="44">
        <v>-41208</v>
      </c>
      <c r="K17" s="21">
        <v>53</v>
      </c>
      <c r="L17" s="27">
        <f t="shared" si="2"/>
        <v>-1.9200000000000017</v>
      </c>
      <c r="M17" s="27">
        <f t="shared" si="3"/>
        <v>1.9200000000000017</v>
      </c>
      <c r="N17" s="74"/>
      <c r="O17" s="73"/>
      <c r="P17" s="53"/>
      <c r="Q17" s="122"/>
      <c r="R17" s="122"/>
    </row>
    <row r="18" spans="1:21">
      <c r="A18" s="1">
        <v>29</v>
      </c>
      <c r="B18" t="s">
        <v>83</v>
      </c>
      <c r="C18" s="14">
        <v>57.38</v>
      </c>
      <c r="D18" s="68">
        <v>-1651.260442</v>
      </c>
      <c r="E18" s="68">
        <v>-1649.1626879999999</v>
      </c>
      <c r="F18" s="65">
        <v>57.082999999999998</v>
      </c>
      <c r="G18" s="108">
        <f t="shared" si="0"/>
        <v>-0.29700000000000415</v>
      </c>
      <c r="H18" s="109">
        <f t="shared" si="1"/>
        <v>0.29700000000000415</v>
      </c>
      <c r="I18" s="43">
        <v>-44904</v>
      </c>
      <c r="J18" s="44">
        <v>-44849</v>
      </c>
      <c r="K18" s="21">
        <v>55</v>
      </c>
      <c r="L18" s="27">
        <f t="shared" si="2"/>
        <v>-2.3800000000000026</v>
      </c>
      <c r="M18" s="27">
        <f t="shared" si="3"/>
        <v>2.3800000000000026</v>
      </c>
      <c r="N18" s="74"/>
      <c r="O18" s="73"/>
      <c r="P18" s="53"/>
      <c r="Q18" s="122"/>
      <c r="R18" s="122"/>
    </row>
    <row r="19" spans="1:21">
      <c r="A19" s="1">
        <v>32</v>
      </c>
      <c r="B19" t="s">
        <v>90</v>
      </c>
      <c r="C19" s="14">
        <v>45.715499999999999</v>
      </c>
      <c r="D19" s="68">
        <v>-2095.4772419999999</v>
      </c>
      <c r="E19" s="68">
        <v>-2093.8373270000002</v>
      </c>
      <c r="F19" s="65">
        <v>44.624000000000002</v>
      </c>
      <c r="G19" s="108">
        <f t="shared" si="0"/>
        <v>-1.0914999999999964</v>
      </c>
      <c r="H19" s="109">
        <f t="shared" si="1"/>
        <v>1.0914999999999964</v>
      </c>
      <c r="I19" s="43">
        <v>-56977</v>
      </c>
      <c r="J19" s="44">
        <v>-56933</v>
      </c>
      <c r="K19" s="21">
        <v>44</v>
      </c>
      <c r="L19" s="27">
        <f t="shared" si="2"/>
        <v>-1.7154999999999987</v>
      </c>
      <c r="M19" s="27">
        <f t="shared" si="3"/>
        <v>1.7154999999999987</v>
      </c>
      <c r="N19" s="74"/>
      <c r="O19" s="73"/>
      <c r="P19" s="53"/>
      <c r="Q19" s="122"/>
      <c r="R19" s="122"/>
    </row>
    <row r="20" spans="1:21">
      <c r="A20" s="1">
        <v>35</v>
      </c>
      <c r="B20" t="s">
        <v>93</v>
      </c>
      <c r="C20" s="14">
        <v>47.781999999999996</v>
      </c>
      <c r="D20" s="68">
        <v>-2602.5813739999999</v>
      </c>
      <c r="E20" s="68">
        <v>-2600.915931</v>
      </c>
      <c r="F20" s="65">
        <v>45.319000000000003</v>
      </c>
      <c r="G20" s="108">
        <f t="shared" si="0"/>
        <v>-2.4629999999999939</v>
      </c>
      <c r="H20" s="109">
        <f t="shared" si="1"/>
        <v>2.4629999999999939</v>
      </c>
      <c r="I20" s="43">
        <v>-70762</v>
      </c>
      <c r="J20" s="44">
        <v>-70716</v>
      </c>
      <c r="K20" s="21">
        <v>46</v>
      </c>
      <c r="L20" s="27">
        <f t="shared" si="2"/>
        <v>-1.7819999999999965</v>
      </c>
      <c r="M20" s="27">
        <f t="shared" si="3"/>
        <v>1.7819999999999965</v>
      </c>
      <c r="N20" s="74"/>
      <c r="O20" s="73"/>
      <c r="P20" s="53"/>
      <c r="Q20" s="122"/>
      <c r="R20" s="122"/>
    </row>
    <row r="21" spans="1:21">
      <c r="A21" s="1">
        <v>40</v>
      </c>
      <c r="B21" t="s">
        <v>100</v>
      </c>
      <c r="C21" s="14">
        <v>34.41836</v>
      </c>
      <c r="D21" s="68">
        <v>-3595.6489430000001</v>
      </c>
      <c r="E21" s="68">
        <v>-3594.4243080000001</v>
      </c>
      <c r="F21" s="65">
        <v>33.323999999999998</v>
      </c>
      <c r="G21" s="108">
        <f t="shared" si="0"/>
        <v>-1.0943600000000018</v>
      </c>
      <c r="H21" s="109">
        <f t="shared" si="1"/>
        <v>1.0943600000000018</v>
      </c>
      <c r="I21" s="43">
        <v>-97750</v>
      </c>
      <c r="J21" s="44">
        <v>-97716</v>
      </c>
      <c r="K21" s="21">
        <v>34</v>
      </c>
      <c r="L21" s="27">
        <f t="shared" si="2"/>
        <v>-0.41835999999999984</v>
      </c>
      <c r="M21" s="27">
        <f t="shared" si="3"/>
        <v>0.41835999999999984</v>
      </c>
      <c r="N21" s="74"/>
      <c r="O21" s="75"/>
      <c r="Q21" s="121"/>
      <c r="R21" s="122"/>
    </row>
    <row r="22" spans="1:21">
      <c r="A22" s="1">
        <v>41</v>
      </c>
      <c r="B22" t="s">
        <v>102</v>
      </c>
      <c r="C22" s="14">
        <v>37.610999999999997</v>
      </c>
      <c r="D22" s="68">
        <v>-3816.6317819999999</v>
      </c>
      <c r="E22" s="68">
        <v>-3815.3165990000002</v>
      </c>
      <c r="F22" s="65">
        <v>35.787999999999997</v>
      </c>
      <c r="G22" s="108">
        <f t="shared" si="0"/>
        <v>-1.8230000000000004</v>
      </c>
      <c r="H22" s="109">
        <f t="shared" si="1"/>
        <v>1.8230000000000004</v>
      </c>
      <c r="I22" s="43">
        <v>-103756</v>
      </c>
      <c r="J22" s="44">
        <v>-103719</v>
      </c>
      <c r="K22" s="21">
        <v>37</v>
      </c>
      <c r="L22" s="27">
        <f t="shared" si="2"/>
        <v>-0.6109999999999971</v>
      </c>
      <c r="M22" s="27">
        <f t="shared" si="3"/>
        <v>0.6109999999999971</v>
      </c>
      <c r="N22" s="74"/>
      <c r="O22" s="75"/>
      <c r="Q22" s="121"/>
      <c r="R22" s="122"/>
    </row>
    <row r="23" spans="1:21">
      <c r="A23" s="1">
        <v>42</v>
      </c>
      <c r="B23" t="s">
        <v>107</v>
      </c>
      <c r="C23" s="14">
        <v>40.33</v>
      </c>
      <c r="D23" s="68">
        <v>-4045.505897</v>
      </c>
      <c r="E23" s="68">
        <v>-4044.1017550000001</v>
      </c>
      <c r="F23" s="65">
        <v>38.209000000000003</v>
      </c>
      <c r="G23" s="108">
        <f t="shared" si="0"/>
        <v>-2.1209999999999951</v>
      </c>
      <c r="H23" s="109">
        <f t="shared" si="1"/>
        <v>2.1209999999999951</v>
      </c>
      <c r="I23" s="43">
        <v>-109976</v>
      </c>
      <c r="J23" s="44">
        <v>-109937</v>
      </c>
      <c r="K23" s="21">
        <v>39</v>
      </c>
      <c r="L23" s="27">
        <f t="shared" si="2"/>
        <v>-1.3299999999999983</v>
      </c>
      <c r="M23" s="27">
        <f t="shared" si="3"/>
        <v>1.3299999999999983</v>
      </c>
      <c r="N23" s="74"/>
      <c r="O23" s="75"/>
      <c r="Q23" s="121"/>
      <c r="R23" s="122"/>
    </row>
    <row r="24" spans="1:21">
      <c r="A24" s="95">
        <v>43</v>
      </c>
      <c r="B24" s="96" t="s">
        <v>113</v>
      </c>
      <c r="C24" s="33">
        <v>41</v>
      </c>
      <c r="D24" s="106">
        <v>-4282.3857079999998</v>
      </c>
      <c r="E24" s="106">
        <v>-4280.8937159999996</v>
      </c>
      <c r="F24" s="98">
        <v>40.598999999999997</v>
      </c>
      <c r="G24" s="110">
        <f t="shared" si="0"/>
        <v>-0.40100000000000335</v>
      </c>
      <c r="H24" s="111">
        <f t="shared" si="1"/>
        <v>0.40100000000000335</v>
      </c>
      <c r="I24" s="101">
        <v>-116414</v>
      </c>
      <c r="J24" s="102">
        <v>-116373</v>
      </c>
      <c r="K24" s="103">
        <v>41</v>
      </c>
      <c r="L24" s="112">
        <f t="shared" si="2"/>
        <v>0</v>
      </c>
      <c r="M24" s="112">
        <f t="shared" si="3"/>
        <v>0</v>
      </c>
      <c r="N24" s="74"/>
      <c r="O24" s="75"/>
      <c r="Q24" s="121"/>
      <c r="R24" s="122"/>
    </row>
    <row r="25" spans="1:21">
      <c r="A25" s="95">
        <v>44</v>
      </c>
      <c r="B25" s="96" t="s">
        <v>120</v>
      </c>
      <c r="C25" s="33">
        <v>45</v>
      </c>
      <c r="D25" s="106">
        <v>-4527.3940519999996</v>
      </c>
      <c r="E25" s="106">
        <v>-4525.8149800000001</v>
      </c>
      <c r="F25" s="98">
        <v>42.969000000000001</v>
      </c>
      <c r="G25" s="110">
        <f t="shared" si="0"/>
        <v>-2.0309999999999988</v>
      </c>
      <c r="H25" s="111">
        <f t="shared" si="1"/>
        <v>2.0309999999999988</v>
      </c>
      <c r="I25" s="101">
        <v>-123074</v>
      </c>
      <c r="J25" s="102">
        <v>-123029</v>
      </c>
      <c r="K25" s="103">
        <v>45</v>
      </c>
      <c r="L25" s="112">
        <f t="shared" si="2"/>
        <v>0</v>
      </c>
      <c r="M25" s="112">
        <f t="shared" si="3"/>
        <v>0</v>
      </c>
      <c r="N25" s="74">
        <v>-4525.0367999999999</v>
      </c>
      <c r="O25" s="75">
        <v>-4523.3895000000002</v>
      </c>
      <c r="P25" s="53">
        <f>(O25-N25)*27.211386245988</f>
        <v>44.825316563006012</v>
      </c>
      <c r="Q25" s="122">
        <f>P25-C25</f>
        <v>-0.17468343699398758</v>
      </c>
      <c r="R25" s="122">
        <f t="shared" si="4"/>
        <v>0.17468343699398758</v>
      </c>
    </row>
    <row r="26" spans="1:21">
      <c r="A26" s="95">
        <v>45</v>
      </c>
      <c r="B26" s="96" t="s">
        <v>128</v>
      </c>
      <c r="C26" s="33">
        <v>42</v>
      </c>
      <c r="D26" s="106">
        <v>-4780.6546250000001</v>
      </c>
      <c r="E26" s="106">
        <v>-4778.9889899999998</v>
      </c>
      <c r="F26" s="98">
        <v>45.323999999999998</v>
      </c>
      <c r="G26" s="110">
        <f t="shared" si="0"/>
        <v>3.3239999999999981</v>
      </c>
      <c r="H26" s="111">
        <f t="shared" si="1"/>
        <v>3.3239999999999981</v>
      </c>
      <c r="I26" s="101">
        <v>-129953</v>
      </c>
      <c r="J26" s="102">
        <v>-129911</v>
      </c>
      <c r="K26" s="103">
        <v>42</v>
      </c>
      <c r="L26" s="112">
        <f t="shared" si="2"/>
        <v>0</v>
      </c>
      <c r="M26" s="112">
        <f t="shared" si="3"/>
        <v>0</v>
      </c>
      <c r="N26" s="74">
        <v>-4778.0232999999998</v>
      </c>
      <c r="O26" s="75">
        <v>-4776.4525999999996</v>
      </c>
      <c r="P26" s="53">
        <f>(O26-N26)*27.211386245988</f>
        <v>42.740924376579208</v>
      </c>
      <c r="Q26" s="122">
        <f>P26-C26</f>
        <v>0.7409243765792084</v>
      </c>
      <c r="R26" s="122">
        <f t="shared" si="4"/>
        <v>0.7409243765792084</v>
      </c>
    </row>
    <row r="27" spans="1:21">
      <c r="A27" s="1">
        <v>58</v>
      </c>
      <c r="B27" t="s">
        <v>143</v>
      </c>
      <c r="C27" s="14">
        <v>36.905999999999999</v>
      </c>
      <c r="D27" s="68">
        <v>-8859.8510370000004</v>
      </c>
      <c r="E27" s="68">
        <v>-8858.5705959999996</v>
      </c>
      <c r="F27" s="65">
        <v>34.843000000000004</v>
      </c>
      <c r="G27" s="108">
        <f t="shared" si="0"/>
        <v>-2.0629999999999953</v>
      </c>
      <c r="H27" s="109">
        <f t="shared" si="1"/>
        <v>2.0629999999999953</v>
      </c>
      <c r="I27" s="43">
        <v>-240758</v>
      </c>
      <c r="J27" s="44">
        <v>-240723</v>
      </c>
      <c r="K27" s="21">
        <v>35</v>
      </c>
      <c r="L27" s="27">
        <f t="shared" si="2"/>
        <v>-1.9059999999999988</v>
      </c>
      <c r="M27" s="27">
        <f t="shared" si="3"/>
        <v>1.9059999999999988</v>
      </c>
      <c r="N27" s="70"/>
      <c r="O27" s="51"/>
      <c r="Q27" s="82" t="s">
        <v>256</v>
      </c>
      <c r="R27" s="123">
        <f>AVERAGE(R11,R14,R25,R26)</f>
        <v>2.4628340311368273</v>
      </c>
      <c r="T27" s="83">
        <f>AVERAGE(H11,H14,H25,H26)</f>
        <v>2.1785425000000007</v>
      </c>
      <c r="U27" s="83">
        <f>AVERAGE(M11,M14,M25,M26)</f>
        <v>0.61929250000000025</v>
      </c>
    </row>
    <row r="28" spans="1:21">
      <c r="A28" s="1">
        <v>59</v>
      </c>
      <c r="B28" t="s">
        <v>145</v>
      </c>
      <c r="C28" s="14">
        <v>38.981000000000002</v>
      </c>
      <c r="D28" s="68">
        <v>-9236.9642910000002</v>
      </c>
      <c r="E28" s="68">
        <v>-9235.6452179999997</v>
      </c>
      <c r="F28" s="65">
        <v>35.893999999999998</v>
      </c>
      <c r="G28" s="108">
        <f t="shared" si="0"/>
        <v>-3.0870000000000033</v>
      </c>
      <c r="H28" s="109">
        <f t="shared" si="1"/>
        <v>3.0870000000000033</v>
      </c>
      <c r="I28" s="43">
        <v>-251002</v>
      </c>
      <c r="J28" s="44">
        <v>-250964</v>
      </c>
      <c r="K28" s="21">
        <v>38</v>
      </c>
      <c r="L28" s="27">
        <f t="shared" si="2"/>
        <v>-0.98100000000000165</v>
      </c>
      <c r="M28" s="27">
        <f t="shared" si="3"/>
        <v>0.98100000000000165</v>
      </c>
      <c r="N28" s="70"/>
      <c r="O28" s="50"/>
      <c r="P28" s="53"/>
      <c r="Q28" s="82" t="s">
        <v>255</v>
      </c>
      <c r="R28" s="123">
        <f>MAX(R11,R14,R25,R26)</f>
        <v>7.8409383602087459</v>
      </c>
      <c r="T28" s="83">
        <f>MAX(H11,H14,H25,H26)</f>
        <v>3.3239999999999981</v>
      </c>
      <c r="U28" s="83">
        <f>MAX(M11,M14,M25,M26)</f>
        <v>1.2671700000000001</v>
      </c>
    </row>
    <row r="29" spans="1:21">
      <c r="A29" s="1">
        <v>65</v>
      </c>
      <c r="B29" t="s">
        <v>153</v>
      </c>
      <c r="C29" s="14">
        <v>39.33</v>
      </c>
      <c r="D29" s="68">
        <v>-11711.228476</v>
      </c>
      <c r="E29" s="68">
        <v>-11709.757583000001</v>
      </c>
      <c r="F29" s="65">
        <v>40.024999999999999</v>
      </c>
      <c r="G29" s="108">
        <f t="shared" si="0"/>
        <v>0.69500000000000028</v>
      </c>
      <c r="H29" s="109">
        <f t="shared" si="1"/>
        <v>0.69500000000000028</v>
      </c>
      <c r="I29" s="43">
        <v>-318200</v>
      </c>
      <c r="J29" s="44">
        <v>-318164</v>
      </c>
      <c r="K29" s="21">
        <v>36</v>
      </c>
      <c r="L29" s="27">
        <f t="shared" si="2"/>
        <v>-3.3299999999999983</v>
      </c>
      <c r="M29" s="27">
        <f t="shared" si="3"/>
        <v>3.3299999999999983</v>
      </c>
      <c r="N29" s="79"/>
      <c r="T29" s="5" t="s">
        <v>264</v>
      </c>
      <c r="U29" s="5" t="s">
        <v>265</v>
      </c>
    </row>
    <row r="30" spans="1:21">
      <c r="A30" s="1">
        <v>72</v>
      </c>
      <c r="B30" t="s">
        <v>158</v>
      </c>
      <c r="C30" s="14">
        <v>33.369999999999997</v>
      </c>
      <c r="D30" s="68">
        <v>-15087.279060000001</v>
      </c>
      <c r="E30" s="68">
        <v>-15086.104633999999</v>
      </c>
      <c r="F30" s="65">
        <v>31.957999999999998</v>
      </c>
      <c r="G30" s="108">
        <f t="shared" si="0"/>
        <v>-1.411999999999999</v>
      </c>
      <c r="H30" s="109">
        <f t="shared" si="1"/>
        <v>1.411999999999999</v>
      </c>
      <c r="I30" s="43">
        <v>-409849</v>
      </c>
      <c r="J30" s="44">
        <v>-409816</v>
      </c>
      <c r="K30" s="21">
        <v>33</v>
      </c>
      <c r="L30" s="27">
        <f t="shared" si="2"/>
        <v>-0.36999999999999744</v>
      </c>
      <c r="M30" s="27">
        <f t="shared" si="3"/>
        <v>0.36999999999999744</v>
      </c>
      <c r="N30" s="79"/>
    </row>
    <row r="31" spans="1:21">
      <c r="A31" s="95">
        <v>73</v>
      </c>
      <c r="B31" s="96" t="s">
        <v>160</v>
      </c>
      <c r="C31" s="33">
        <v>35</v>
      </c>
      <c r="D31" s="106">
        <v>-15615.016744</v>
      </c>
      <c r="E31" s="106">
        <v>-15613.768118</v>
      </c>
      <c r="F31" s="98">
        <v>33.976999999999997</v>
      </c>
      <c r="G31" s="110">
        <f t="shared" si="0"/>
        <v>-1.0230000000000032</v>
      </c>
      <c r="H31" s="111">
        <f t="shared" si="1"/>
        <v>1.0230000000000032</v>
      </c>
      <c r="I31" s="101">
        <v>-424177</v>
      </c>
      <c r="J31" s="102">
        <v>-424142</v>
      </c>
      <c r="K31" s="103">
        <v>35</v>
      </c>
      <c r="L31" s="112">
        <f t="shared" si="2"/>
        <v>0</v>
      </c>
      <c r="M31" s="112">
        <f t="shared" si="3"/>
        <v>0</v>
      </c>
      <c r="N31" s="79"/>
    </row>
    <row r="32" spans="1:21">
      <c r="A32" s="1">
        <v>74</v>
      </c>
      <c r="B32" t="s">
        <v>165</v>
      </c>
      <c r="C32" s="14">
        <v>38.200000000000003</v>
      </c>
      <c r="D32" s="68">
        <v>-16154.479819</v>
      </c>
      <c r="E32" s="68">
        <v>-16153.157091999999</v>
      </c>
      <c r="F32" s="65">
        <v>35.993000000000002</v>
      </c>
      <c r="G32" s="108">
        <f t="shared" si="0"/>
        <v>-2.2070000000000007</v>
      </c>
      <c r="H32" s="109">
        <f t="shared" si="1"/>
        <v>2.2070000000000007</v>
      </c>
      <c r="I32" s="43">
        <v>-438820</v>
      </c>
      <c r="J32" s="44">
        <v>-438784</v>
      </c>
      <c r="K32" s="21">
        <v>36</v>
      </c>
      <c r="L32" s="27">
        <f t="shared" si="2"/>
        <v>-2.2000000000000028</v>
      </c>
      <c r="M32" s="27">
        <f t="shared" si="3"/>
        <v>2.2000000000000028</v>
      </c>
      <c r="N32" s="79"/>
    </row>
    <row r="33" spans="1:14">
      <c r="A33" s="95">
        <v>75</v>
      </c>
      <c r="B33" s="96" t="s">
        <v>171</v>
      </c>
      <c r="C33" s="33">
        <v>39.1</v>
      </c>
      <c r="D33" s="106">
        <v>-16705.845020000001</v>
      </c>
      <c r="E33" s="106">
        <v>-16704.448235</v>
      </c>
      <c r="F33" s="98">
        <v>38.008000000000003</v>
      </c>
      <c r="G33" s="110">
        <f t="shared" si="0"/>
        <v>-1.0919999999999987</v>
      </c>
      <c r="H33" s="111">
        <f t="shared" si="1"/>
        <v>1.0919999999999987</v>
      </c>
      <c r="I33" s="101">
        <v>-453788</v>
      </c>
      <c r="J33" s="102">
        <v>-453749</v>
      </c>
      <c r="K33" s="103">
        <v>39</v>
      </c>
      <c r="L33" s="112">
        <f t="shared" si="2"/>
        <v>-0.10000000000000142</v>
      </c>
      <c r="M33" s="112">
        <f t="shared" si="3"/>
        <v>0.10000000000000142</v>
      </c>
      <c r="N33" s="79"/>
    </row>
    <row r="34" spans="1:14">
      <c r="A34" s="95">
        <v>76</v>
      </c>
      <c r="B34" s="96" t="s">
        <v>178</v>
      </c>
      <c r="C34" s="33">
        <v>41</v>
      </c>
      <c r="D34" s="106">
        <v>-17269.203525000001</v>
      </c>
      <c r="E34" s="106">
        <v>-17267.732650999998</v>
      </c>
      <c r="F34" s="98">
        <v>40.024999999999999</v>
      </c>
      <c r="G34" s="110">
        <f t="shared" si="0"/>
        <v>-0.97500000000000142</v>
      </c>
      <c r="H34" s="111">
        <f t="shared" si="1"/>
        <v>0.97500000000000142</v>
      </c>
      <c r="I34" s="101">
        <v>-469081</v>
      </c>
      <c r="J34" s="102">
        <v>-469040</v>
      </c>
      <c r="K34" s="103">
        <v>41</v>
      </c>
      <c r="L34" s="112">
        <f t="shared" si="2"/>
        <v>0</v>
      </c>
      <c r="M34" s="112">
        <f t="shared" si="3"/>
        <v>0</v>
      </c>
      <c r="N34" s="79"/>
    </row>
    <row r="35" spans="1:14">
      <c r="A35" s="95">
        <v>77</v>
      </c>
      <c r="B35" s="96" t="s">
        <v>186</v>
      </c>
      <c r="C35" s="33">
        <v>40</v>
      </c>
      <c r="D35" s="106">
        <v>-17844.841976</v>
      </c>
      <c r="E35" s="106">
        <v>-17843.296901999998</v>
      </c>
      <c r="F35" s="98">
        <v>42.043999999999997</v>
      </c>
      <c r="G35" s="110">
        <f t="shared" si="0"/>
        <v>2.0439999999999969</v>
      </c>
      <c r="H35" s="111">
        <f t="shared" si="1"/>
        <v>2.0439999999999969</v>
      </c>
      <c r="I35" s="101">
        <v>-484703</v>
      </c>
      <c r="J35" s="102">
        <v>-484663</v>
      </c>
      <c r="K35" s="103">
        <v>40</v>
      </c>
      <c r="L35" s="112">
        <f t="shared" si="2"/>
        <v>0</v>
      </c>
      <c r="M35" s="112">
        <f t="shared" si="3"/>
        <v>0</v>
      </c>
      <c r="N35" s="79"/>
    </row>
    <row r="36" spans="1:14">
      <c r="A36" s="1">
        <v>90</v>
      </c>
      <c r="B36" t="s">
        <v>200</v>
      </c>
      <c r="C36" s="14">
        <v>28.648</v>
      </c>
      <c r="D36" s="68">
        <v>-26509.238670999999</v>
      </c>
      <c r="E36" s="68">
        <v>-26508.267097</v>
      </c>
      <c r="F36" s="65">
        <v>26.437999999999999</v>
      </c>
      <c r="G36" s="108">
        <f t="shared" si="0"/>
        <v>-2.2100000000000009</v>
      </c>
      <c r="H36" s="109">
        <f t="shared" si="1"/>
        <v>2.2100000000000009</v>
      </c>
      <c r="I36" s="43">
        <v>-719796</v>
      </c>
      <c r="J36" s="44">
        <v>-719769</v>
      </c>
      <c r="K36" s="21">
        <v>27</v>
      </c>
      <c r="L36" s="27">
        <f t="shared" si="2"/>
        <v>-1.6479999999999997</v>
      </c>
      <c r="M36" s="27">
        <f t="shared" si="3"/>
        <v>1.6479999999999997</v>
      </c>
      <c r="N36" s="79"/>
    </row>
    <row r="37" spans="1:14" ht="15.75" thickBot="1">
      <c r="A37" s="1">
        <v>91</v>
      </c>
      <c r="B37" t="s">
        <v>201</v>
      </c>
      <c r="C37" s="14">
        <v>30.9</v>
      </c>
      <c r="D37" s="68">
        <v>-27272.997960000001</v>
      </c>
      <c r="E37" s="68">
        <v>-27271.966654</v>
      </c>
      <c r="F37" s="65">
        <v>28.062999999999999</v>
      </c>
      <c r="G37" s="108">
        <f t="shared" si="0"/>
        <v>-2.8369999999999997</v>
      </c>
      <c r="H37" s="109">
        <f t="shared" si="1"/>
        <v>2.8369999999999997</v>
      </c>
      <c r="I37" s="43">
        <v>-740505</v>
      </c>
      <c r="J37" s="44">
        <v>-740475</v>
      </c>
      <c r="K37" s="21">
        <v>30</v>
      </c>
      <c r="L37" s="27">
        <f t="shared" si="2"/>
        <v>-0.89999999999999858</v>
      </c>
      <c r="M37" s="27">
        <f t="shared" si="3"/>
        <v>0.89999999999999858</v>
      </c>
      <c r="N37" s="79"/>
    </row>
    <row r="38" spans="1:14" ht="15.75" thickBot="1">
      <c r="A38" s="1">
        <v>92</v>
      </c>
      <c r="B38" t="s">
        <v>203</v>
      </c>
      <c r="C38" s="14">
        <v>36.700000000000003</v>
      </c>
      <c r="D38" s="68">
        <v>-28050.965100000001</v>
      </c>
      <c r="E38" s="68">
        <v>-28049.878154999999</v>
      </c>
      <c r="F38" s="65">
        <v>29.577000000000002</v>
      </c>
      <c r="G38" s="116">
        <f t="shared" si="0"/>
        <v>-7.1230000000000011</v>
      </c>
      <c r="H38" s="117">
        <f t="shared" si="1"/>
        <v>7.1230000000000011</v>
      </c>
      <c r="I38" s="44">
        <v>-761620</v>
      </c>
      <c r="J38" s="44">
        <v>-761589</v>
      </c>
      <c r="K38" s="21">
        <v>31</v>
      </c>
      <c r="L38" s="118">
        <f t="shared" si="2"/>
        <v>-5.7000000000000028</v>
      </c>
      <c r="M38" s="119">
        <f t="shared" si="3"/>
        <v>5.7000000000000028</v>
      </c>
    </row>
    <row r="39" spans="1:14">
      <c r="A39" s="1">
        <v>93</v>
      </c>
      <c r="B39" t="s">
        <v>206</v>
      </c>
      <c r="C39" s="14">
        <v>33.799999999999997</v>
      </c>
      <c r="D39" s="68">
        <v>-28845.559999000001</v>
      </c>
      <c r="E39" s="68">
        <v>-28844.420612999998</v>
      </c>
      <c r="F39" s="65">
        <v>31.004000000000001</v>
      </c>
      <c r="G39" s="108">
        <f t="shared" si="0"/>
        <v>-2.7959999999999958</v>
      </c>
      <c r="H39" s="109">
        <f t="shared" si="1"/>
        <v>2.7959999999999958</v>
      </c>
      <c r="I39" s="43">
        <v>-783160</v>
      </c>
      <c r="J39" s="44">
        <v>-783128</v>
      </c>
      <c r="K39" s="21">
        <v>32</v>
      </c>
      <c r="L39" s="27">
        <f t="shared" si="2"/>
        <v>-1.7999999999999972</v>
      </c>
      <c r="M39" s="27">
        <f t="shared" si="3"/>
        <v>1.7999999999999972</v>
      </c>
      <c r="N39" s="79"/>
    </row>
    <row r="40" spans="1:14">
      <c r="A40" s="1">
        <v>94</v>
      </c>
      <c r="B40" t="s">
        <v>210</v>
      </c>
      <c r="C40" s="14">
        <v>35</v>
      </c>
      <c r="D40" s="68">
        <v>-29654.797874</v>
      </c>
      <c r="E40" s="68">
        <v>-29653.60859</v>
      </c>
      <c r="F40" s="65">
        <v>32.362000000000002</v>
      </c>
      <c r="G40" s="108">
        <f t="shared" si="0"/>
        <v>-2.6379999999999981</v>
      </c>
      <c r="H40" s="109">
        <f t="shared" si="1"/>
        <v>2.6379999999999981</v>
      </c>
      <c r="I40" s="43">
        <v>-805122</v>
      </c>
      <c r="J40" s="44">
        <v>-805089</v>
      </c>
      <c r="K40" s="21">
        <v>33</v>
      </c>
      <c r="L40" s="27">
        <f t="shared" si="2"/>
        <v>-2</v>
      </c>
      <c r="M40" s="27">
        <f t="shared" si="3"/>
        <v>2</v>
      </c>
      <c r="N40" s="79"/>
    </row>
    <row r="41" spans="1:14">
      <c r="A41" s="1">
        <v>95</v>
      </c>
      <c r="B41" t="s">
        <v>215</v>
      </c>
      <c r="C41" s="14">
        <v>36.799999999999997</v>
      </c>
      <c r="D41" s="68">
        <v>-30480.393631999999</v>
      </c>
      <c r="E41" s="68">
        <v>-30479.156620999998</v>
      </c>
      <c r="F41" s="65">
        <v>33.661000000000001</v>
      </c>
      <c r="G41" s="108">
        <f t="shared" si="0"/>
        <v>-3.1389999999999958</v>
      </c>
      <c r="H41" s="109">
        <f t="shared" si="1"/>
        <v>3.1389999999999958</v>
      </c>
      <c r="I41" s="43">
        <v>-827517</v>
      </c>
      <c r="J41" s="44">
        <v>-827483</v>
      </c>
      <c r="K41" s="21">
        <v>34</v>
      </c>
      <c r="L41" s="27">
        <f t="shared" si="2"/>
        <v>-2.7999999999999972</v>
      </c>
      <c r="M41" s="27">
        <f t="shared" si="3"/>
        <v>2.7999999999999972</v>
      </c>
      <c r="N41" s="79"/>
    </row>
    <row r="42" spans="1:14">
      <c r="A42" s="1">
        <v>96</v>
      </c>
      <c r="B42" t="s">
        <v>218</v>
      </c>
      <c r="C42" s="14">
        <v>37.700000000000003</v>
      </c>
      <c r="D42" s="68">
        <v>-31323.009709000002</v>
      </c>
      <c r="E42" s="68">
        <v>-31321.726864</v>
      </c>
      <c r="F42" s="65">
        <v>34.908000000000001</v>
      </c>
      <c r="G42" s="108">
        <f t="shared" si="0"/>
        <v>-2.7920000000000016</v>
      </c>
      <c r="H42" s="109">
        <f t="shared" si="1"/>
        <v>2.7920000000000016</v>
      </c>
      <c r="I42" s="43">
        <v>-850357</v>
      </c>
      <c r="J42" s="44">
        <v>-850319</v>
      </c>
      <c r="K42" s="21">
        <v>38</v>
      </c>
      <c r="L42" s="27">
        <f t="shared" si="2"/>
        <v>0.29999999999999716</v>
      </c>
      <c r="M42" s="27">
        <f t="shared" si="3"/>
        <v>0.29999999999999716</v>
      </c>
      <c r="N42" s="79"/>
    </row>
    <row r="43" spans="1:14">
      <c r="A43" s="1">
        <v>97</v>
      </c>
      <c r="B43" t="s">
        <v>219</v>
      </c>
      <c r="C43" s="14">
        <v>36</v>
      </c>
      <c r="D43" s="68">
        <v>-32182.192115000002</v>
      </c>
      <c r="E43" s="68">
        <v>-32180.865098999999</v>
      </c>
      <c r="F43" s="65">
        <v>36.11</v>
      </c>
      <c r="G43" s="108">
        <f t="shared" si="0"/>
        <v>0.10999999999999943</v>
      </c>
      <c r="H43" s="109">
        <f t="shared" si="1"/>
        <v>0.10999999999999943</v>
      </c>
      <c r="I43" s="43">
        <v>-873648</v>
      </c>
      <c r="J43" s="44">
        <v>-873614</v>
      </c>
      <c r="K43" s="21">
        <v>34</v>
      </c>
      <c r="L43" s="27">
        <f t="shared" si="2"/>
        <v>-2</v>
      </c>
      <c r="M43" s="27">
        <f t="shared" si="3"/>
        <v>2</v>
      </c>
      <c r="N43" s="79"/>
    </row>
    <row r="44" spans="1:14">
      <c r="A44" s="1">
        <v>98</v>
      </c>
      <c r="B44" t="s">
        <v>221</v>
      </c>
      <c r="C44" s="14">
        <v>37.700000000000003</v>
      </c>
      <c r="D44" s="68">
        <v>-33058.016931999999</v>
      </c>
      <c r="E44" s="68">
        <v>-33056.647239999998</v>
      </c>
      <c r="F44" s="65">
        <v>37.271000000000001</v>
      </c>
      <c r="G44" s="108">
        <f t="shared" si="0"/>
        <v>-0.42900000000000205</v>
      </c>
      <c r="H44" s="109">
        <f t="shared" si="1"/>
        <v>0.42900000000000205</v>
      </c>
      <c r="I44" s="43">
        <v>-897394</v>
      </c>
      <c r="J44" s="44">
        <v>-897359</v>
      </c>
      <c r="K44" s="21">
        <v>35</v>
      </c>
      <c r="L44" s="27">
        <f t="shared" si="2"/>
        <v>-2.7000000000000028</v>
      </c>
      <c r="M44" s="27">
        <f t="shared" si="3"/>
        <v>2.7000000000000028</v>
      </c>
      <c r="N44" s="79"/>
    </row>
    <row r="45" spans="1:14">
      <c r="B45"/>
      <c r="G45" s="82" t="s">
        <v>256</v>
      </c>
      <c r="H45" s="4">
        <f>AVERAGE(H6:H44)</f>
        <v>1.9023382051282045</v>
      </c>
      <c r="I45" s="44"/>
      <c r="J45" s="44"/>
      <c r="K45" s="21"/>
      <c r="L45" s="82" t="s">
        <v>256</v>
      </c>
      <c r="M45" s="4">
        <f>AVERAGE(M6:M44)</f>
        <v>1.3317741025641023</v>
      </c>
    </row>
    <row r="46" spans="1:14">
      <c r="B46"/>
      <c r="G46" s="82" t="s">
        <v>255</v>
      </c>
      <c r="H46" s="4">
        <f>MAX(H6:H44)</f>
        <v>7.1230000000000011</v>
      </c>
      <c r="I46" s="44"/>
      <c r="J46" s="44"/>
      <c r="K46" s="21"/>
      <c r="L46" s="82" t="s">
        <v>255</v>
      </c>
      <c r="M46" s="4">
        <f>MAX(M6:M44)</f>
        <v>5.7000000000000028</v>
      </c>
    </row>
    <row r="47" spans="1:14">
      <c r="B47"/>
      <c r="D47"/>
      <c r="E47"/>
      <c r="F47"/>
      <c r="G47"/>
      <c r="H47" s="4"/>
      <c r="I47" s="44"/>
      <c r="J47" s="44"/>
      <c r="K47" s="21"/>
      <c r="L47" s="2"/>
      <c r="M47" s="4"/>
    </row>
    <row r="48" spans="1:14">
      <c r="B48"/>
      <c r="D48" s="5" t="s">
        <v>268</v>
      </c>
      <c r="G48" s="82" t="s">
        <v>256</v>
      </c>
      <c r="H48" s="4">
        <f>AVERAGE(H6:H23,H27:H30,H32,H36:H44)</f>
        <v>1.9781621874999995</v>
      </c>
      <c r="I48" s="44"/>
      <c r="J48" s="44"/>
      <c r="K48" s="21"/>
      <c r="L48" s="82" t="s">
        <v>256</v>
      </c>
      <c r="M48" s="4">
        <f>AVERAGE(M6:M23,M27:M30,M32,M36:M44)</f>
        <v>1.6199746874999998</v>
      </c>
    </row>
    <row r="49" spans="2:13">
      <c r="B49"/>
      <c r="G49" s="82" t="s">
        <v>255</v>
      </c>
      <c r="H49" s="4">
        <f>MAX(H6:H23,H27:H30,H32,H36:H44)</f>
        <v>7.1230000000000011</v>
      </c>
      <c r="I49" s="44"/>
      <c r="J49" s="44"/>
      <c r="K49" s="21"/>
      <c r="L49" s="82" t="s">
        <v>255</v>
      </c>
      <c r="M49" s="4">
        <f>MAX(M6:M23,M27:M30,M32,M36:M44)</f>
        <v>5.7000000000000028</v>
      </c>
    </row>
    <row r="50" spans="2:13">
      <c r="B50"/>
      <c r="G50" s="124" t="s">
        <v>278</v>
      </c>
      <c r="H50">
        <f>COUNT(H6:H23,H27:H30,H32,H36:H44)</f>
        <v>32</v>
      </c>
      <c r="I50" s="44"/>
      <c r="J50" s="44"/>
      <c r="K50" s="21"/>
      <c r="L50" s="124" t="s">
        <v>278</v>
      </c>
      <c r="M50">
        <f>COUNT(M6:M23,M27:M30,M32,M36:M44)</f>
        <v>32</v>
      </c>
    </row>
    <row r="51" spans="2:13">
      <c r="B51"/>
      <c r="G51" s="19"/>
      <c r="I51" s="44"/>
      <c r="J51" s="44"/>
      <c r="K51" s="21"/>
      <c r="L51" s="2"/>
    </row>
    <row r="52" spans="2:13">
      <c r="B52"/>
      <c r="G52" s="19"/>
      <c r="I52" s="44"/>
      <c r="J52" s="44"/>
      <c r="K52" s="21"/>
      <c r="L52" s="2"/>
    </row>
    <row r="53" spans="2:13">
      <c r="B53"/>
      <c r="G53" s="19"/>
      <c r="I53" s="44"/>
      <c r="J53" s="44"/>
      <c r="K53" s="21"/>
      <c r="L53" s="2"/>
    </row>
    <row r="54" spans="2:13">
      <c r="B54"/>
      <c r="G54" s="19"/>
      <c r="I54" s="44"/>
      <c r="J54" s="44"/>
      <c r="K54" s="21"/>
      <c r="L54" s="2"/>
    </row>
    <row r="55" spans="2:13">
      <c r="B55"/>
      <c r="G55" s="19"/>
      <c r="I55" s="44"/>
      <c r="J55" s="44"/>
      <c r="K55" s="21"/>
      <c r="L55" s="2"/>
    </row>
    <row r="56" spans="2:13">
      <c r="B56"/>
      <c r="G56" s="19"/>
      <c r="I56" s="44"/>
      <c r="J56" s="44"/>
      <c r="K56" s="21"/>
      <c r="L56" s="2"/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2895-EDEC-4DC7-A576-98E9216DAC21}">
  <dimension ref="A1:V41"/>
  <sheetViews>
    <sheetView workbookViewId="0"/>
  </sheetViews>
  <sheetFormatPr defaultRowHeight="15"/>
  <cols>
    <col min="1" max="1" width="10.42578125" style="39" customWidth="1"/>
    <col min="2" max="2" width="10.42578125" style="38" customWidth="1"/>
    <col min="3" max="3" width="11.7109375" customWidth="1"/>
    <col min="4" max="4" width="13.5703125" style="65" customWidth="1"/>
    <col min="5" max="5" width="15.28515625" style="65" customWidth="1"/>
    <col min="6" max="6" width="11.85546875" style="65" customWidth="1"/>
    <col min="7" max="8" width="11.28515625" style="65" customWidth="1"/>
    <col min="9" max="9" width="14.5703125" style="26" customWidth="1"/>
    <col min="10" max="10" width="11.42578125" style="26" customWidth="1"/>
    <col min="11" max="11" width="11" style="27" customWidth="1"/>
    <col min="12" max="12" width="11" style="21" customWidth="1"/>
    <col min="17" max="17" width="11.5703125" bestFit="1" customWidth="1"/>
    <col min="18" max="18" width="10.5703125" bestFit="1" customWidth="1"/>
  </cols>
  <sheetData>
    <row r="1" spans="1:22">
      <c r="A1" s="143" t="s">
        <v>426</v>
      </c>
    </row>
    <row r="3" spans="1:22">
      <c r="C3" s="10" t="s">
        <v>239</v>
      </c>
      <c r="D3" s="66" t="s">
        <v>228</v>
      </c>
      <c r="F3" s="66"/>
      <c r="G3" s="66"/>
      <c r="H3" s="67"/>
      <c r="I3" s="24" t="s">
        <v>227</v>
      </c>
      <c r="J3" s="25"/>
    </row>
    <row r="4" spans="1:22">
      <c r="A4" s="12" t="s">
        <v>0</v>
      </c>
      <c r="B4" s="13" t="s">
        <v>1</v>
      </c>
      <c r="C4" s="64" t="s">
        <v>240</v>
      </c>
      <c r="D4" s="29" t="s">
        <v>266</v>
      </c>
      <c r="E4" s="29" t="s">
        <v>269</v>
      </c>
      <c r="F4" s="17" t="s">
        <v>229</v>
      </c>
      <c r="G4" s="35" t="s">
        <v>230</v>
      </c>
      <c r="H4" s="18" t="s">
        <v>254</v>
      </c>
      <c r="I4" s="36" t="s">
        <v>267</v>
      </c>
      <c r="J4" s="34" t="s">
        <v>237</v>
      </c>
      <c r="K4" s="23" t="s">
        <v>231</v>
      </c>
      <c r="L4" s="22" t="s">
        <v>232</v>
      </c>
      <c r="M4" s="22" t="s">
        <v>257</v>
      </c>
      <c r="N4" s="5"/>
      <c r="Q4" s="6"/>
    </row>
    <row r="5" spans="1:22">
      <c r="A5" s="1">
        <v>7</v>
      </c>
      <c r="B5" t="s">
        <v>14</v>
      </c>
      <c r="C5" s="14">
        <v>97.89</v>
      </c>
      <c r="D5" s="76">
        <v>-48.357247000000001</v>
      </c>
      <c r="E5" s="76">
        <v>-44.764194000000003</v>
      </c>
      <c r="F5" s="65">
        <v>97.772000000000006</v>
      </c>
      <c r="G5" s="19">
        <f t="shared" ref="G5:G31" si="0">F5-C5</f>
        <v>-0.117999999999995</v>
      </c>
      <c r="H5" s="45">
        <f>ABS(G5)</f>
        <v>0.117999999999995</v>
      </c>
      <c r="I5" s="43">
        <v>-1316</v>
      </c>
      <c r="J5" s="44" t="s">
        <v>233</v>
      </c>
      <c r="K5" s="21"/>
      <c r="L5" s="2"/>
      <c r="N5" s="7"/>
      <c r="R5" s="4"/>
      <c r="S5" s="4"/>
      <c r="T5" s="4"/>
      <c r="U5" s="8"/>
    </row>
    <row r="6" spans="1:22">
      <c r="A6" s="1">
        <v>15</v>
      </c>
      <c r="B6" t="s">
        <v>27</v>
      </c>
      <c r="C6" s="14">
        <v>65.025109999999998</v>
      </c>
      <c r="D6" s="76">
        <v>-337.57998199999997</v>
      </c>
      <c r="E6" s="76">
        <v>-335.20662199999998</v>
      </c>
      <c r="F6" s="65">
        <v>64.581999999999994</v>
      </c>
      <c r="G6" s="19">
        <f t="shared" si="0"/>
        <v>-0.44311000000000433</v>
      </c>
      <c r="H6" s="45">
        <f t="shared" ref="H6:H31" si="1">ABS(G6)</f>
        <v>0.44311000000000433</v>
      </c>
      <c r="I6" s="43">
        <v>-9183</v>
      </c>
      <c r="J6" s="44">
        <v>-9118</v>
      </c>
      <c r="K6" s="21">
        <v>65</v>
      </c>
      <c r="L6" s="2">
        <f t="shared" ref="L6:L31" si="2">K6-C6</f>
        <v>-2.5109999999997967E-2</v>
      </c>
      <c r="M6" s="2">
        <f>ABS(L6)</f>
        <v>2.5109999999997967E-2</v>
      </c>
    </row>
    <row r="7" spans="1:22">
      <c r="A7" s="1">
        <v>16</v>
      </c>
      <c r="B7" t="s">
        <v>32</v>
      </c>
      <c r="C7" s="14">
        <v>72.594499999999996</v>
      </c>
      <c r="D7" s="76">
        <v>-394.49027999999998</v>
      </c>
      <c r="E7" s="76">
        <v>-391.88799299999999</v>
      </c>
      <c r="F7" s="65">
        <v>70.811999999999998</v>
      </c>
      <c r="G7" s="19">
        <f t="shared" si="0"/>
        <v>-1.7824999999999989</v>
      </c>
      <c r="H7" s="45">
        <f t="shared" si="1"/>
        <v>1.7824999999999989</v>
      </c>
      <c r="I7" s="43">
        <v>-10731</v>
      </c>
      <c r="J7" s="44">
        <v>-10660</v>
      </c>
      <c r="K7" s="21">
        <v>71</v>
      </c>
      <c r="L7" s="2">
        <f t="shared" si="2"/>
        <v>-1.5944999999999965</v>
      </c>
      <c r="M7" s="2">
        <f t="shared" ref="M7:M31" si="3">ABS(L7)</f>
        <v>1.5944999999999965</v>
      </c>
      <c r="N7" s="5"/>
      <c r="V7" s="5"/>
    </row>
    <row r="8" spans="1:22">
      <c r="A8" s="1">
        <v>17</v>
      </c>
      <c r="B8" t="s">
        <v>38</v>
      </c>
      <c r="C8" s="14">
        <v>67.680000000000007</v>
      </c>
      <c r="D8" s="76">
        <v>-456.31921299999999</v>
      </c>
      <c r="E8" s="76">
        <v>-453.86684500000001</v>
      </c>
      <c r="F8" s="65">
        <v>66.731999999999999</v>
      </c>
      <c r="G8" s="19">
        <f t="shared" si="0"/>
        <v>-0.9480000000000075</v>
      </c>
      <c r="H8" s="45">
        <f t="shared" si="1"/>
        <v>0.9480000000000075</v>
      </c>
      <c r="I8" s="43">
        <v>-12412</v>
      </c>
      <c r="J8" s="44">
        <v>-12345</v>
      </c>
      <c r="K8" s="21">
        <v>67</v>
      </c>
      <c r="L8" s="2">
        <f t="shared" si="2"/>
        <v>-0.68000000000000682</v>
      </c>
      <c r="M8" s="2">
        <f t="shared" si="3"/>
        <v>0.68000000000000682</v>
      </c>
      <c r="N8" s="5"/>
    </row>
    <row r="9" spans="1:22">
      <c r="A9" s="1">
        <v>23</v>
      </c>
      <c r="B9" t="s">
        <v>51</v>
      </c>
      <c r="C9" s="14">
        <v>65.281649999999999</v>
      </c>
      <c r="D9" s="76">
        <v>-944.84025799999995</v>
      </c>
      <c r="E9" s="76">
        <v>-942.48162300000001</v>
      </c>
      <c r="F9" s="65">
        <v>64.182000000000002</v>
      </c>
      <c r="G9" s="19">
        <f t="shared" si="0"/>
        <v>-1.0996499999999969</v>
      </c>
      <c r="H9" s="45">
        <f t="shared" si="1"/>
        <v>1.0996499999999969</v>
      </c>
      <c r="I9" s="43">
        <v>-25696</v>
      </c>
      <c r="J9" s="44">
        <v>-25632</v>
      </c>
      <c r="K9" s="21">
        <v>64</v>
      </c>
      <c r="L9" s="2">
        <f t="shared" si="2"/>
        <v>-1.2816499999999991</v>
      </c>
      <c r="M9" s="2">
        <f t="shared" si="3"/>
        <v>1.2816499999999991</v>
      </c>
    </row>
    <row r="10" spans="1:22">
      <c r="A10" s="1">
        <v>24</v>
      </c>
      <c r="B10" t="s">
        <v>56</v>
      </c>
      <c r="C10" s="14">
        <v>69.459999999999994</v>
      </c>
      <c r="D10" s="76">
        <v>-1046.1197</v>
      </c>
      <c r="E10" s="76">
        <v>-1043.654368</v>
      </c>
      <c r="F10" s="65">
        <v>67.084999999999994</v>
      </c>
      <c r="G10" s="19">
        <f t="shared" si="0"/>
        <v>-2.375</v>
      </c>
      <c r="H10" s="45">
        <f t="shared" si="1"/>
        <v>2.375</v>
      </c>
      <c r="I10" s="43">
        <v>-28452</v>
      </c>
      <c r="J10" s="44">
        <v>-28383</v>
      </c>
      <c r="K10" s="21">
        <v>69</v>
      </c>
      <c r="L10" s="2">
        <f t="shared" si="2"/>
        <v>-0.45999999999999375</v>
      </c>
      <c r="M10" s="2">
        <f t="shared" si="3"/>
        <v>0.45999999999999375</v>
      </c>
    </row>
    <row r="11" spans="1:22">
      <c r="A11" s="1">
        <v>25</v>
      </c>
      <c r="B11" t="s">
        <v>62</v>
      </c>
      <c r="C11" s="14">
        <v>72.41</v>
      </c>
      <c r="D11" s="76">
        <v>-1153.6391389999999</v>
      </c>
      <c r="E11" s="76">
        <v>-1151.069653</v>
      </c>
      <c r="F11" s="65">
        <v>69.918999999999997</v>
      </c>
      <c r="G11" s="19">
        <f t="shared" si="0"/>
        <v>-2.4909999999999997</v>
      </c>
      <c r="H11" s="45">
        <f t="shared" si="1"/>
        <v>2.4909999999999997</v>
      </c>
      <c r="I11" s="43">
        <v>-31377</v>
      </c>
      <c r="J11" s="44">
        <v>-31305</v>
      </c>
      <c r="K11" s="21">
        <v>72</v>
      </c>
      <c r="L11" s="2">
        <f t="shared" si="2"/>
        <v>-0.40999999999999659</v>
      </c>
      <c r="M11" s="2">
        <f t="shared" si="3"/>
        <v>0.40999999999999659</v>
      </c>
    </row>
    <row r="12" spans="1:22" ht="15.75" thickBot="1">
      <c r="A12" s="1">
        <v>26</v>
      </c>
      <c r="B12" t="s">
        <v>69</v>
      </c>
      <c r="C12" s="14">
        <v>75</v>
      </c>
      <c r="D12" s="76">
        <v>-1267.5503510000001</v>
      </c>
      <c r="E12" s="76">
        <v>-1264.8789360000001</v>
      </c>
      <c r="F12" s="65">
        <v>72.692999999999998</v>
      </c>
      <c r="G12" s="19">
        <f t="shared" si="0"/>
        <v>-2.3070000000000022</v>
      </c>
      <c r="H12" s="45">
        <f t="shared" si="1"/>
        <v>2.3070000000000022</v>
      </c>
      <c r="I12" s="43">
        <v>-34475</v>
      </c>
      <c r="J12" s="44">
        <v>-34401</v>
      </c>
      <c r="K12" s="21">
        <v>74</v>
      </c>
      <c r="L12" s="2">
        <f t="shared" si="2"/>
        <v>-1</v>
      </c>
      <c r="M12" s="2">
        <f t="shared" si="3"/>
        <v>1</v>
      </c>
    </row>
    <row r="13" spans="1:22" ht="15.75" thickBot="1">
      <c r="A13" s="1">
        <v>27</v>
      </c>
      <c r="B13" t="s">
        <v>75</v>
      </c>
      <c r="C13" s="14">
        <v>79.5</v>
      </c>
      <c r="D13" s="76">
        <v>-1388.005699</v>
      </c>
      <c r="E13" s="76">
        <v>-1385.234328</v>
      </c>
      <c r="F13" s="65">
        <v>75.412999999999997</v>
      </c>
      <c r="G13" s="85">
        <f t="shared" si="0"/>
        <v>-4.0870000000000033</v>
      </c>
      <c r="H13" s="86">
        <f t="shared" si="1"/>
        <v>4.0870000000000033</v>
      </c>
      <c r="I13" s="44">
        <v>-37754</v>
      </c>
      <c r="J13" s="44">
        <v>-37676</v>
      </c>
      <c r="K13" s="21">
        <v>78</v>
      </c>
      <c r="L13" s="2">
        <f t="shared" si="2"/>
        <v>-1.5</v>
      </c>
      <c r="M13" s="2">
        <f t="shared" si="3"/>
        <v>1.5</v>
      </c>
    </row>
    <row r="14" spans="1:22">
      <c r="A14" s="1">
        <v>35</v>
      </c>
      <c r="B14" t="s">
        <v>94</v>
      </c>
      <c r="C14" s="14">
        <v>59.594999999999999</v>
      </c>
      <c r="D14" s="76">
        <v>-2600.915931</v>
      </c>
      <c r="E14" s="76">
        <v>-2598.7718719999998</v>
      </c>
      <c r="F14" s="65">
        <v>58.343000000000004</v>
      </c>
      <c r="G14" s="19">
        <f t="shared" si="0"/>
        <v>-1.2519999999999953</v>
      </c>
      <c r="H14" s="45">
        <f t="shared" si="1"/>
        <v>1.2519999999999953</v>
      </c>
      <c r="I14" s="43">
        <v>-70716</v>
      </c>
      <c r="J14" s="44">
        <v>-70657</v>
      </c>
      <c r="K14" s="21">
        <v>59</v>
      </c>
      <c r="L14" s="2">
        <f t="shared" si="2"/>
        <v>-0.59499999999999886</v>
      </c>
      <c r="M14" s="2">
        <f t="shared" si="3"/>
        <v>0.59499999999999886</v>
      </c>
    </row>
    <row r="15" spans="1:22">
      <c r="A15" s="1">
        <v>41</v>
      </c>
      <c r="B15" t="s">
        <v>103</v>
      </c>
      <c r="C15" s="14">
        <v>50.572800000000001</v>
      </c>
      <c r="D15" s="76">
        <v>-3815.3165990000002</v>
      </c>
      <c r="E15" s="76">
        <v>-3813.5026969999999</v>
      </c>
      <c r="F15" s="65">
        <v>49.359000000000002</v>
      </c>
      <c r="G15" s="19">
        <f t="shared" si="0"/>
        <v>-1.2137999999999991</v>
      </c>
      <c r="H15" s="45">
        <f t="shared" si="1"/>
        <v>1.2137999999999991</v>
      </c>
      <c r="I15" s="43">
        <v>-103719</v>
      </c>
      <c r="J15" s="44">
        <v>-103670</v>
      </c>
      <c r="K15" s="21">
        <v>49</v>
      </c>
      <c r="L15" s="2">
        <f t="shared" si="2"/>
        <v>-1.5728000000000009</v>
      </c>
      <c r="M15" s="2">
        <f t="shared" si="3"/>
        <v>1.5728000000000009</v>
      </c>
    </row>
    <row r="16" spans="1:22">
      <c r="A16" s="1">
        <v>42</v>
      </c>
      <c r="B16" t="s">
        <v>108</v>
      </c>
      <c r="C16" s="14">
        <v>54.417000000000002</v>
      </c>
      <c r="D16" s="76">
        <v>-4044.1017550000001</v>
      </c>
      <c r="E16" s="76">
        <v>-4042.1783639999999</v>
      </c>
      <c r="F16" s="65">
        <v>52.338000000000001</v>
      </c>
      <c r="G16" s="19">
        <f t="shared" si="0"/>
        <v>-2.0790000000000006</v>
      </c>
      <c r="H16" s="45">
        <f t="shared" si="1"/>
        <v>2.0790000000000006</v>
      </c>
      <c r="I16" s="43">
        <v>-109937</v>
      </c>
      <c r="J16" s="44">
        <v>-109884</v>
      </c>
      <c r="K16" s="21">
        <v>53</v>
      </c>
      <c r="L16" s="2">
        <f t="shared" si="2"/>
        <v>-1.4170000000000016</v>
      </c>
      <c r="M16" s="2">
        <f t="shared" si="3"/>
        <v>1.4170000000000016</v>
      </c>
    </row>
    <row r="17" spans="1:13">
      <c r="A17" s="95">
        <v>43</v>
      </c>
      <c r="B17" s="96" t="s">
        <v>114</v>
      </c>
      <c r="C17" s="42">
        <v>57</v>
      </c>
      <c r="D17" s="97">
        <v>-4280.8937159999996</v>
      </c>
      <c r="E17" s="97">
        <v>-4278.8620529999998</v>
      </c>
      <c r="F17" s="98">
        <v>55.283999999999999</v>
      </c>
      <c r="G17" s="99">
        <f t="shared" si="0"/>
        <v>-1.7160000000000011</v>
      </c>
      <c r="H17" s="100">
        <f t="shared" si="1"/>
        <v>1.7160000000000011</v>
      </c>
      <c r="I17" s="101">
        <v>-116373</v>
      </c>
      <c r="J17" s="102">
        <v>-116316</v>
      </c>
      <c r="K17" s="103">
        <v>57</v>
      </c>
      <c r="L17" s="104">
        <f t="shared" si="2"/>
        <v>0</v>
      </c>
      <c r="M17" s="104">
        <f t="shared" si="3"/>
        <v>0</v>
      </c>
    </row>
    <row r="18" spans="1:13">
      <c r="A18" s="95">
        <v>44</v>
      </c>
      <c r="B18" s="96" t="s">
        <v>121</v>
      </c>
      <c r="C18" s="42">
        <v>59</v>
      </c>
      <c r="D18" s="97">
        <v>-4525.8149800000001</v>
      </c>
      <c r="E18" s="97">
        <v>-4523.6759460000003</v>
      </c>
      <c r="F18" s="98">
        <v>58.206000000000003</v>
      </c>
      <c r="G18" s="99">
        <f t="shared" si="0"/>
        <v>-0.79399999999999693</v>
      </c>
      <c r="H18" s="100">
        <f t="shared" si="1"/>
        <v>0.79399999999999693</v>
      </c>
      <c r="I18" s="101">
        <v>-123029</v>
      </c>
      <c r="J18" s="102">
        <v>-122970</v>
      </c>
      <c r="K18" s="103">
        <v>59</v>
      </c>
      <c r="L18" s="104">
        <f t="shared" si="2"/>
        <v>0</v>
      </c>
      <c r="M18" s="104">
        <f t="shared" si="3"/>
        <v>0</v>
      </c>
    </row>
    <row r="19" spans="1:13" ht="15.75" thickBot="1">
      <c r="A19" s="95">
        <v>45</v>
      </c>
      <c r="B19" s="96" t="s">
        <v>129</v>
      </c>
      <c r="C19" s="42">
        <v>63</v>
      </c>
      <c r="D19" s="97">
        <v>-4778.9889899999998</v>
      </c>
      <c r="E19" s="97">
        <v>-4776.7432440000002</v>
      </c>
      <c r="F19" s="98">
        <v>61.11</v>
      </c>
      <c r="G19" s="99">
        <f t="shared" si="0"/>
        <v>-1.8900000000000006</v>
      </c>
      <c r="H19" s="100">
        <f t="shared" si="1"/>
        <v>1.8900000000000006</v>
      </c>
      <c r="I19" s="101">
        <v>-129911</v>
      </c>
      <c r="J19" s="102">
        <v>-129848</v>
      </c>
      <c r="K19" s="103">
        <v>63</v>
      </c>
      <c r="L19" s="104">
        <f t="shared" si="2"/>
        <v>0</v>
      </c>
      <c r="M19" s="104">
        <f t="shared" si="3"/>
        <v>0</v>
      </c>
    </row>
    <row r="20" spans="1:13" ht="15.75" thickBot="1">
      <c r="A20" s="1">
        <v>52</v>
      </c>
      <c r="B20" t="s">
        <v>137</v>
      </c>
      <c r="C20" s="14">
        <v>59.3</v>
      </c>
      <c r="D20" s="76">
        <v>-6790.4518269999999</v>
      </c>
      <c r="E20" s="76">
        <v>-6788.3840550000004</v>
      </c>
      <c r="F20" s="65">
        <v>56.267000000000003</v>
      </c>
      <c r="G20" s="19">
        <f t="shared" si="0"/>
        <v>-3.0329999999999941</v>
      </c>
      <c r="H20" s="45">
        <f t="shared" si="1"/>
        <v>3.0329999999999941</v>
      </c>
      <c r="I20" s="43">
        <v>-184550</v>
      </c>
      <c r="J20" s="44">
        <v>-184494</v>
      </c>
      <c r="K20" s="21">
        <v>56</v>
      </c>
      <c r="L20" s="84">
        <f t="shared" si="2"/>
        <v>-3.2999999999999972</v>
      </c>
      <c r="M20" s="105">
        <f t="shared" si="3"/>
        <v>3.2999999999999972</v>
      </c>
    </row>
    <row r="21" spans="1:13">
      <c r="A21" s="1">
        <v>73</v>
      </c>
      <c r="B21" t="s">
        <v>161</v>
      </c>
      <c r="C21" s="14">
        <v>48.271999999999998</v>
      </c>
      <c r="D21" s="76">
        <v>-15613.768118</v>
      </c>
      <c r="E21" s="76">
        <v>-15612.052863999999</v>
      </c>
      <c r="F21" s="65">
        <v>46.673999999999999</v>
      </c>
      <c r="G21" s="19">
        <f t="shared" si="0"/>
        <v>-1.597999999999999</v>
      </c>
      <c r="H21" s="45">
        <f t="shared" si="1"/>
        <v>1.597999999999999</v>
      </c>
      <c r="I21" s="43">
        <v>-424142</v>
      </c>
      <c r="J21" s="44">
        <v>-424095</v>
      </c>
      <c r="K21" s="21">
        <v>47</v>
      </c>
      <c r="L21" s="2">
        <f t="shared" si="2"/>
        <v>-1.2719999999999985</v>
      </c>
      <c r="M21" s="2">
        <f t="shared" si="3"/>
        <v>1.2719999999999985</v>
      </c>
    </row>
    <row r="22" spans="1:13">
      <c r="A22" s="1">
        <v>74</v>
      </c>
      <c r="B22" t="s">
        <v>166</v>
      </c>
      <c r="C22" s="41">
        <v>51.6</v>
      </c>
      <c r="D22" s="76">
        <v>-16153.157091999999</v>
      </c>
      <c r="E22" s="76">
        <v>-16151.354412000001</v>
      </c>
      <c r="F22" s="65">
        <v>49.052999999999997</v>
      </c>
      <c r="G22" s="19">
        <f t="shared" si="0"/>
        <v>-2.5470000000000041</v>
      </c>
      <c r="H22" s="45">
        <f t="shared" si="1"/>
        <v>2.5470000000000041</v>
      </c>
      <c r="I22" s="43">
        <v>-438784</v>
      </c>
      <c r="J22" s="44">
        <v>-438733</v>
      </c>
      <c r="K22" s="21">
        <v>51</v>
      </c>
      <c r="L22" s="2">
        <f t="shared" si="2"/>
        <v>-0.60000000000000142</v>
      </c>
      <c r="M22" s="2">
        <f t="shared" si="3"/>
        <v>0.60000000000000142</v>
      </c>
    </row>
    <row r="23" spans="1:13">
      <c r="A23" s="95">
        <v>75</v>
      </c>
      <c r="B23" s="96" t="s">
        <v>172</v>
      </c>
      <c r="C23" s="42">
        <v>51.9</v>
      </c>
      <c r="D23" s="97">
        <v>-16704.448235</v>
      </c>
      <c r="E23" s="97">
        <v>-16702.557873000002</v>
      </c>
      <c r="F23" s="98">
        <v>51.439</v>
      </c>
      <c r="G23" s="99">
        <f t="shared" si="0"/>
        <v>-0.46099999999999852</v>
      </c>
      <c r="H23" s="100">
        <f t="shared" si="1"/>
        <v>0.46099999999999852</v>
      </c>
      <c r="I23" s="101">
        <v>-453749</v>
      </c>
      <c r="J23" s="102">
        <v>-453697</v>
      </c>
      <c r="K23" s="103">
        <v>52</v>
      </c>
      <c r="L23" s="104">
        <f t="shared" si="2"/>
        <v>0.10000000000000142</v>
      </c>
      <c r="M23" s="104">
        <f t="shared" si="3"/>
        <v>0.10000000000000142</v>
      </c>
    </row>
    <row r="24" spans="1:13">
      <c r="A24" s="95">
        <v>76</v>
      </c>
      <c r="B24" s="96" t="s">
        <v>179</v>
      </c>
      <c r="C24" s="42">
        <v>55</v>
      </c>
      <c r="D24" s="97">
        <v>-17267.732650999998</v>
      </c>
      <c r="E24" s="97">
        <v>-17265.754389000002</v>
      </c>
      <c r="F24" s="98">
        <v>53.831000000000003</v>
      </c>
      <c r="G24" s="99">
        <f t="shared" si="0"/>
        <v>-1.1689999999999969</v>
      </c>
      <c r="H24" s="100">
        <f t="shared" si="1"/>
        <v>1.1689999999999969</v>
      </c>
      <c r="I24" s="101">
        <v>-469040</v>
      </c>
      <c r="J24" s="102">
        <v>-468985</v>
      </c>
      <c r="K24" s="103">
        <v>55</v>
      </c>
      <c r="L24" s="104">
        <f t="shared" si="2"/>
        <v>0</v>
      </c>
      <c r="M24" s="104">
        <f t="shared" si="3"/>
        <v>0</v>
      </c>
    </row>
    <row r="25" spans="1:13">
      <c r="A25" s="95">
        <v>77</v>
      </c>
      <c r="B25" s="96" t="s">
        <v>187</v>
      </c>
      <c r="C25" s="42">
        <v>57</v>
      </c>
      <c r="D25" s="97">
        <v>-17843.296901999998</v>
      </c>
      <c r="E25" s="97">
        <v>-17841.230522000002</v>
      </c>
      <c r="F25" s="98">
        <v>56.228999999999999</v>
      </c>
      <c r="G25" s="99">
        <f t="shared" si="0"/>
        <v>-0.7710000000000008</v>
      </c>
      <c r="H25" s="100">
        <f t="shared" si="1"/>
        <v>0.7710000000000008</v>
      </c>
      <c r="I25" s="101">
        <v>-484663</v>
      </c>
      <c r="J25" s="102">
        <v>-484606</v>
      </c>
      <c r="K25" s="103">
        <v>57</v>
      </c>
      <c r="L25" s="104">
        <f t="shared" si="2"/>
        <v>0</v>
      </c>
      <c r="M25" s="104">
        <f t="shared" si="3"/>
        <v>0</v>
      </c>
    </row>
    <row r="26" spans="1:13">
      <c r="A26" s="95">
        <v>78</v>
      </c>
      <c r="B26" s="96" t="s">
        <v>189</v>
      </c>
      <c r="C26" s="42">
        <v>56</v>
      </c>
      <c r="D26" s="97">
        <v>-18431.205749000001</v>
      </c>
      <c r="E26" s="97">
        <v>-18429.051005000001</v>
      </c>
      <c r="F26" s="98">
        <v>58.634</v>
      </c>
      <c r="G26" s="99">
        <f t="shared" si="0"/>
        <v>2.6340000000000003</v>
      </c>
      <c r="H26" s="100">
        <f t="shared" si="1"/>
        <v>2.6340000000000003</v>
      </c>
      <c r="I26" s="101">
        <v>-500619</v>
      </c>
      <c r="J26" s="102">
        <v>-500563</v>
      </c>
      <c r="K26" s="103">
        <v>56</v>
      </c>
      <c r="L26" s="104">
        <f t="shared" si="2"/>
        <v>0</v>
      </c>
      <c r="M26" s="104">
        <f t="shared" si="3"/>
        <v>0</v>
      </c>
    </row>
    <row r="27" spans="1:13">
      <c r="A27" s="1">
        <v>91</v>
      </c>
      <c r="B27" t="s">
        <v>202</v>
      </c>
      <c r="C27" s="41">
        <v>44.3</v>
      </c>
      <c r="D27" s="76">
        <v>-27271.966654</v>
      </c>
      <c r="E27" s="76">
        <v>-27270.400706</v>
      </c>
      <c r="F27" s="65">
        <v>42.612000000000002</v>
      </c>
      <c r="G27" s="19">
        <f t="shared" si="0"/>
        <v>-1.6879999999999953</v>
      </c>
      <c r="H27" s="45">
        <f t="shared" si="1"/>
        <v>1.6879999999999953</v>
      </c>
      <c r="I27" s="43">
        <v>-740475</v>
      </c>
      <c r="J27" s="44">
        <v>-740432</v>
      </c>
      <c r="K27" s="21">
        <v>43</v>
      </c>
      <c r="L27" s="2">
        <f t="shared" si="2"/>
        <v>-1.2999999999999972</v>
      </c>
      <c r="M27" s="2">
        <f t="shared" si="3"/>
        <v>1.2999999999999972</v>
      </c>
    </row>
    <row r="28" spans="1:13">
      <c r="A28" s="95">
        <v>92</v>
      </c>
      <c r="B28" s="96" t="s">
        <v>204</v>
      </c>
      <c r="C28" s="42">
        <v>46</v>
      </c>
      <c r="D28" s="97">
        <v>-28049.878154999999</v>
      </c>
      <c r="E28" s="97">
        <v>-28048.243688999999</v>
      </c>
      <c r="F28" s="98">
        <v>44.475999999999999</v>
      </c>
      <c r="G28" s="99">
        <f t="shared" si="0"/>
        <v>-1.5240000000000009</v>
      </c>
      <c r="H28" s="100">
        <f t="shared" si="1"/>
        <v>1.5240000000000009</v>
      </c>
      <c r="I28" s="101">
        <v>-761589</v>
      </c>
      <c r="J28" s="102">
        <v>-761543</v>
      </c>
      <c r="K28" s="103">
        <v>46</v>
      </c>
      <c r="L28" s="104">
        <f t="shared" si="2"/>
        <v>0</v>
      </c>
      <c r="M28" s="104">
        <f t="shared" si="3"/>
        <v>0</v>
      </c>
    </row>
    <row r="29" spans="1:13">
      <c r="A29" s="95">
        <v>93</v>
      </c>
      <c r="B29" s="96" t="s">
        <v>207</v>
      </c>
      <c r="C29" s="42">
        <v>48</v>
      </c>
      <c r="D29" s="97">
        <v>-28844.420612999998</v>
      </c>
      <c r="E29" s="97">
        <v>-28842.720907999999</v>
      </c>
      <c r="F29" s="98">
        <v>46.250999999999998</v>
      </c>
      <c r="G29" s="99">
        <f t="shared" si="0"/>
        <v>-1.7490000000000023</v>
      </c>
      <c r="H29" s="100">
        <f t="shared" si="1"/>
        <v>1.7490000000000023</v>
      </c>
      <c r="I29" s="101">
        <v>-783128</v>
      </c>
      <c r="J29" s="102">
        <v>-783080</v>
      </c>
      <c r="K29" s="103">
        <v>48</v>
      </c>
      <c r="L29" s="104">
        <f t="shared" si="2"/>
        <v>0</v>
      </c>
      <c r="M29" s="104">
        <f t="shared" si="3"/>
        <v>0</v>
      </c>
    </row>
    <row r="30" spans="1:13">
      <c r="A30" s="95">
        <v>94</v>
      </c>
      <c r="B30" s="96" t="s">
        <v>211</v>
      </c>
      <c r="C30" s="42">
        <v>49</v>
      </c>
      <c r="D30" s="97">
        <v>-29653.60859</v>
      </c>
      <c r="E30" s="97">
        <v>-29651.846337999999</v>
      </c>
      <c r="F30" s="98">
        <v>47.953000000000003</v>
      </c>
      <c r="G30" s="99">
        <f t="shared" si="0"/>
        <v>-1.046999999999997</v>
      </c>
      <c r="H30" s="100">
        <f t="shared" si="1"/>
        <v>1.046999999999997</v>
      </c>
      <c r="I30" s="101">
        <v>-805089</v>
      </c>
      <c r="J30" s="102">
        <v>-805040</v>
      </c>
      <c r="K30" s="103">
        <v>49</v>
      </c>
      <c r="L30" s="104">
        <f t="shared" si="2"/>
        <v>0</v>
      </c>
      <c r="M30" s="104">
        <f t="shared" si="3"/>
        <v>0</v>
      </c>
    </row>
    <row r="31" spans="1:13">
      <c r="A31" s="95">
        <v>95</v>
      </c>
      <c r="B31" s="96" t="s">
        <v>216</v>
      </c>
      <c r="C31" s="42">
        <v>50</v>
      </c>
      <c r="D31" s="97">
        <v>-30479.156620999998</v>
      </c>
      <c r="E31" s="97">
        <v>-30477.334181999999</v>
      </c>
      <c r="F31" s="98">
        <v>49.591000000000001</v>
      </c>
      <c r="G31" s="99">
        <f t="shared" si="0"/>
        <v>-0.40899999999999892</v>
      </c>
      <c r="H31" s="100">
        <f t="shared" si="1"/>
        <v>0.40899999999999892</v>
      </c>
      <c r="I31" s="101">
        <v>-827483</v>
      </c>
      <c r="J31" s="102">
        <v>-827433</v>
      </c>
      <c r="K31" s="103">
        <v>50</v>
      </c>
      <c r="L31" s="104">
        <f t="shared" si="2"/>
        <v>0</v>
      </c>
      <c r="M31" s="104">
        <f t="shared" si="3"/>
        <v>0</v>
      </c>
    </row>
    <row r="32" spans="1:13">
      <c r="B32"/>
      <c r="G32" s="82" t="s">
        <v>256</v>
      </c>
      <c r="H32" s="83">
        <f>AVERAGE(H5:H31)</f>
        <v>1.6009651851851847</v>
      </c>
      <c r="I32" s="44"/>
      <c r="J32" s="44"/>
      <c r="K32" s="21"/>
      <c r="L32" s="82" t="s">
        <v>256</v>
      </c>
      <c r="M32" s="83">
        <f>AVERAGE(M6:M31)</f>
        <v>0.65800230769230716</v>
      </c>
    </row>
    <row r="33" spans="2:13">
      <c r="B33"/>
      <c r="G33" s="82" t="s">
        <v>255</v>
      </c>
      <c r="H33" s="83">
        <f>MAX(H5:H31)</f>
        <v>4.0870000000000033</v>
      </c>
      <c r="I33" s="44"/>
      <c r="J33" s="44"/>
      <c r="K33" s="21"/>
      <c r="L33" s="82" t="s">
        <v>255</v>
      </c>
      <c r="M33" s="83">
        <f>MAX(M6:M31)</f>
        <v>3.2999999999999972</v>
      </c>
    </row>
    <row r="34" spans="2:13">
      <c r="B34"/>
      <c r="D34"/>
      <c r="E34"/>
      <c r="F34"/>
      <c r="G34"/>
      <c r="H34"/>
      <c r="I34" s="44"/>
      <c r="J34" s="44"/>
      <c r="K34" s="21"/>
      <c r="L34" s="2"/>
    </row>
    <row r="35" spans="2:13">
      <c r="B35"/>
      <c r="D35" s="5" t="s">
        <v>268</v>
      </c>
      <c r="G35" s="82" t="s">
        <v>256</v>
      </c>
      <c r="H35" s="83">
        <f>AVERAGE(H6:H16,H20:H22,H27)</f>
        <v>1.9296040000000001</v>
      </c>
      <c r="I35" s="44"/>
      <c r="J35" s="44"/>
      <c r="K35" s="21"/>
      <c r="L35" s="82" t="s">
        <v>256</v>
      </c>
      <c r="M35" s="83">
        <f>AVERAGE(M6:M16,M20:M22,M27)</f>
        <v>1.1338706666666658</v>
      </c>
    </row>
    <row r="36" spans="2:13">
      <c r="B36"/>
      <c r="G36" s="82" t="s">
        <v>255</v>
      </c>
      <c r="H36" s="83">
        <f>MAX(H6:H16,H20:H22,H27)</f>
        <v>4.0870000000000033</v>
      </c>
      <c r="I36" s="44"/>
      <c r="J36" s="44"/>
      <c r="K36" s="21"/>
      <c r="L36" s="82" t="s">
        <v>255</v>
      </c>
      <c r="M36" s="83">
        <f>MAX(M6:M16,M20:M22,M27)</f>
        <v>3.2999999999999972</v>
      </c>
    </row>
    <row r="37" spans="2:13">
      <c r="B37"/>
      <c r="G37" s="124" t="s">
        <v>278</v>
      </c>
      <c r="H37" s="6">
        <f>COUNT(H6:H16,H20:H22,H27)</f>
        <v>15</v>
      </c>
      <c r="I37" s="44"/>
      <c r="J37" s="44"/>
      <c r="K37" s="21"/>
      <c r="L37" s="124" t="s">
        <v>278</v>
      </c>
      <c r="M37" s="6">
        <f>COUNT(M6:M16,M20:M22,M27)</f>
        <v>15</v>
      </c>
    </row>
    <row r="38" spans="2:13">
      <c r="B38"/>
      <c r="G38" s="19"/>
      <c r="H38" s="19"/>
      <c r="I38" s="44"/>
      <c r="J38" s="44"/>
      <c r="K38" s="21"/>
      <c r="L38" s="2"/>
    </row>
    <row r="39" spans="2:13">
      <c r="B39"/>
      <c r="G39" s="19"/>
      <c r="H39" s="19"/>
      <c r="I39" s="44"/>
      <c r="J39" s="44"/>
      <c r="K39" s="21"/>
      <c r="L39" s="2"/>
    </row>
    <row r="40" spans="2:13">
      <c r="B40"/>
      <c r="G40" s="19"/>
      <c r="H40" s="19"/>
      <c r="I40" s="44"/>
      <c r="J40" s="44"/>
      <c r="K40" s="21"/>
      <c r="L40" s="2"/>
    </row>
    <row r="41" spans="2:13">
      <c r="B41"/>
      <c r="G41" s="19"/>
      <c r="H41" s="19"/>
      <c r="I41" s="44"/>
      <c r="J41" s="44"/>
      <c r="K41" s="21"/>
      <c r="L41" s="2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5E69-22CD-4A8B-B058-14C4F15E8FD4}">
  <dimension ref="A1:V35"/>
  <sheetViews>
    <sheetView workbookViewId="0">
      <selection activeCell="F1" sqref="F1"/>
    </sheetView>
  </sheetViews>
  <sheetFormatPr defaultRowHeight="15"/>
  <cols>
    <col min="1" max="1" width="10.42578125" style="39" customWidth="1"/>
    <col min="2" max="2" width="10.42578125" style="38" customWidth="1"/>
    <col min="3" max="3" width="13.28515625" customWidth="1"/>
    <col min="4" max="4" width="13.5703125" customWidth="1"/>
    <col min="5" max="5" width="15.28515625" style="9" customWidth="1"/>
    <col min="6" max="6" width="9.85546875" style="9" customWidth="1"/>
    <col min="7" max="7" width="11.7109375" style="9" customWidth="1"/>
    <col min="8" max="8" width="11.42578125" style="9" customWidth="1"/>
    <col min="9" max="9" width="14.5703125" style="26" customWidth="1"/>
    <col min="10" max="10" width="11.42578125" style="26" customWidth="1"/>
    <col min="11" max="11" width="8.85546875" style="27" customWidth="1"/>
    <col min="12" max="12" width="11" style="21" customWidth="1"/>
    <col min="13" max="13" width="10.5703125" customWidth="1"/>
    <col min="17" max="17" width="11.5703125" bestFit="1" customWidth="1"/>
    <col min="18" max="18" width="10.5703125" bestFit="1" customWidth="1"/>
  </cols>
  <sheetData>
    <row r="1" spans="1:22">
      <c r="A1" s="143" t="s">
        <v>427</v>
      </c>
    </row>
    <row r="3" spans="1:22">
      <c r="C3" s="10" t="s">
        <v>239</v>
      </c>
      <c r="D3" s="66" t="s">
        <v>228</v>
      </c>
      <c r="F3" s="66"/>
      <c r="G3" s="66"/>
      <c r="H3" s="67"/>
      <c r="I3" s="24" t="s">
        <v>227</v>
      </c>
      <c r="J3" s="25"/>
    </row>
    <row r="4" spans="1:22">
      <c r="A4" s="12" t="s">
        <v>0</v>
      </c>
      <c r="B4" s="13" t="s">
        <v>1</v>
      </c>
      <c r="C4" s="64" t="s">
        <v>240</v>
      </c>
      <c r="D4" s="29" t="s">
        <v>269</v>
      </c>
      <c r="E4" s="29" t="s">
        <v>270</v>
      </c>
      <c r="F4" s="17" t="s">
        <v>229</v>
      </c>
      <c r="G4" s="35" t="s">
        <v>230</v>
      </c>
      <c r="H4" s="18" t="s">
        <v>254</v>
      </c>
      <c r="I4" s="36" t="s">
        <v>237</v>
      </c>
      <c r="J4" s="34" t="s">
        <v>238</v>
      </c>
      <c r="K4" s="23" t="s">
        <v>231</v>
      </c>
      <c r="L4" s="62" t="s">
        <v>232</v>
      </c>
      <c r="M4" s="22" t="s">
        <v>257</v>
      </c>
      <c r="N4" s="5"/>
      <c r="Q4" s="6"/>
    </row>
    <row r="5" spans="1:22" ht="15.75" thickBot="1">
      <c r="A5" s="39">
        <v>16</v>
      </c>
      <c r="B5" t="s">
        <v>33</v>
      </c>
      <c r="C5" s="14">
        <v>88.052899999999994</v>
      </c>
      <c r="D5" s="76">
        <v>-391.88799299999999</v>
      </c>
      <c r="E5" s="76">
        <v>-388.66931799999998</v>
      </c>
      <c r="F5" s="65">
        <v>87.584999999999994</v>
      </c>
      <c r="G5" s="19">
        <f t="shared" ref="G5:G23" si="0">F5-C5</f>
        <v>-0.4679000000000002</v>
      </c>
      <c r="H5" s="45" cm="1">
        <f t="array" ref="H5:H23">ABS(G5:G23)</f>
        <v>0.4679000000000002</v>
      </c>
      <c r="I5" s="43">
        <v>-10660</v>
      </c>
      <c r="J5" s="44">
        <v>-10572</v>
      </c>
      <c r="K5" s="21">
        <v>88</v>
      </c>
      <c r="L5" s="2"/>
      <c r="N5" s="7"/>
      <c r="R5" s="4"/>
      <c r="S5" s="4"/>
      <c r="T5" s="4"/>
      <c r="U5" s="8"/>
    </row>
    <row r="6" spans="1:22" ht="15.75" thickBot="1">
      <c r="A6" s="39">
        <v>17</v>
      </c>
      <c r="B6" t="s">
        <v>39</v>
      </c>
      <c r="C6" s="14">
        <v>96.94</v>
      </c>
      <c r="D6" s="76">
        <v>-453.86684500000001</v>
      </c>
      <c r="E6" s="76">
        <v>-450.37633</v>
      </c>
      <c r="F6" s="65">
        <v>94.981999999999999</v>
      </c>
      <c r="G6" s="19">
        <f t="shared" si="0"/>
        <v>-1.9579999999999984</v>
      </c>
      <c r="H6" s="45">
        <v>1.9579999999999984</v>
      </c>
      <c r="I6" s="43">
        <v>-12345</v>
      </c>
      <c r="J6" s="44">
        <v>-12250</v>
      </c>
      <c r="K6" s="21">
        <v>95</v>
      </c>
      <c r="L6" s="84">
        <f t="shared" ref="L6:L23" si="1">K6-C6</f>
        <v>-1.9399999999999977</v>
      </c>
      <c r="M6" s="105">
        <f>ABS(L6)</f>
        <v>1.9399999999999977</v>
      </c>
    </row>
    <row r="7" spans="1:22" ht="15.75" thickBot="1">
      <c r="A7" s="39">
        <v>24</v>
      </c>
      <c r="B7" t="s">
        <v>57</v>
      </c>
      <c r="C7" s="14">
        <v>90.634900000000002</v>
      </c>
      <c r="D7" s="76">
        <v>-1043.654368</v>
      </c>
      <c r="E7" s="76">
        <v>-1040.3649640000001</v>
      </c>
      <c r="F7" s="65">
        <v>89.509</v>
      </c>
      <c r="G7" s="19">
        <f t="shared" si="0"/>
        <v>-1.1259000000000015</v>
      </c>
      <c r="H7" s="45">
        <v>1.1259000000000015</v>
      </c>
      <c r="I7" s="43">
        <v>-28383</v>
      </c>
      <c r="J7" s="44">
        <v>-28293</v>
      </c>
      <c r="K7" s="21">
        <v>90</v>
      </c>
      <c r="L7" s="2">
        <f t="shared" si="1"/>
        <v>-0.6349000000000018</v>
      </c>
      <c r="M7" s="2">
        <f t="shared" ref="M7:M23" si="2">ABS(L7)</f>
        <v>0.6349000000000018</v>
      </c>
      <c r="N7" s="5"/>
      <c r="V7" s="5"/>
    </row>
    <row r="8" spans="1:22" ht="15.75" thickBot="1">
      <c r="A8" s="39">
        <v>25</v>
      </c>
      <c r="B8" t="s">
        <v>63</v>
      </c>
      <c r="C8" s="14">
        <v>95.603999999999999</v>
      </c>
      <c r="D8" s="76">
        <v>-1151.069653</v>
      </c>
      <c r="E8" s="76">
        <v>-1147.651192</v>
      </c>
      <c r="F8" s="65">
        <v>93.021000000000001</v>
      </c>
      <c r="G8" s="85">
        <f t="shared" si="0"/>
        <v>-2.5829999999999984</v>
      </c>
      <c r="H8" s="86">
        <v>2.5829999999999984</v>
      </c>
      <c r="I8" s="44">
        <v>-31305</v>
      </c>
      <c r="J8" s="44">
        <v>-31210</v>
      </c>
      <c r="K8" s="21">
        <v>95</v>
      </c>
      <c r="L8" s="2">
        <f t="shared" si="1"/>
        <v>-0.6039999999999992</v>
      </c>
      <c r="M8" s="2">
        <f t="shared" si="2"/>
        <v>0.6039999999999992</v>
      </c>
      <c r="N8" s="5"/>
    </row>
    <row r="9" spans="1:22">
      <c r="A9" s="39">
        <v>26</v>
      </c>
      <c r="B9" t="s">
        <v>70</v>
      </c>
      <c r="C9" s="14">
        <v>98.984999999999999</v>
      </c>
      <c r="D9" s="76">
        <v>-1264.8789360000001</v>
      </c>
      <c r="E9" s="76">
        <v>-1261.333689</v>
      </c>
      <c r="F9" s="65">
        <v>96.471000000000004</v>
      </c>
      <c r="G9" s="19">
        <f t="shared" si="0"/>
        <v>-2.5139999999999958</v>
      </c>
      <c r="H9" s="45">
        <v>2.5139999999999958</v>
      </c>
      <c r="I9" s="43">
        <v>-34401</v>
      </c>
      <c r="J9" s="44">
        <v>-34303</v>
      </c>
      <c r="K9" s="21">
        <v>98</v>
      </c>
      <c r="L9" s="2">
        <f t="shared" si="1"/>
        <v>-0.98499999999999943</v>
      </c>
      <c r="M9" s="2">
        <f t="shared" si="2"/>
        <v>0.98499999999999943</v>
      </c>
    </row>
    <row r="10" spans="1:22">
      <c r="A10" s="39">
        <v>42</v>
      </c>
      <c r="B10" t="s">
        <v>109</v>
      </c>
      <c r="C10" s="14">
        <v>68.827039999999997</v>
      </c>
      <c r="D10" s="76">
        <v>-4042.1783639999999</v>
      </c>
      <c r="E10" s="76">
        <v>-4039.6977419999998</v>
      </c>
      <c r="F10" s="65">
        <v>67.501000000000005</v>
      </c>
      <c r="G10" s="19">
        <f t="shared" si="0"/>
        <v>-1.3260399999999919</v>
      </c>
      <c r="H10" s="45">
        <v>1.3260399999999919</v>
      </c>
      <c r="I10" s="43">
        <v>-109884</v>
      </c>
      <c r="J10" s="44">
        <v>-109816</v>
      </c>
      <c r="K10" s="21">
        <v>68</v>
      </c>
      <c r="L10" s="2">
        <f t="shared" si="1"/>
        <v>-0.82703999999999667</v>
      </c>
      <c r="M10" s="2">
        <f t="shared" si="2"/>
        <v>0.82703999999999667</v>
      </c>
    </row>
    <row r="11" spans="1:22">
      <c r="A11" s="107">
        <v>43</v>
      </c>
      <c r="B11" s="96" t="s">
        <v>115</v>
      </c>
      <c r="C11" s="42">
        <v>72</v>
      </c>
      <c r="D11" s="97">
        <v>-4278.8620529999998</v>
      </c>
      <c r="E11" s="97">
        <v>-4276.2528739999998</v>
      </c>
      <c r="F11" s="98">
        <v>70.998999999999995</v>
      </c>
      <c r="G11" s="99">
        <f t="shared" si="0"/>
        <v>-1.0010000000000048</v>
      </c>
      <c r="H11" s="100">
        <v>1.0010000000000048</v>
      </c>
      <c r="I11" s="101">
        <v>-116316</v>
      </c>
      <c r="J11" s="102">
        <v>-116244</v>
      </c>
      <c r="K11" s="103">
        <v>72</v>
      </c>
      <c r="L11" s="104">
        <f t="shared" si="1"/>
        <v>0</v>
      </c>
      <c r="M11" s="104">
        <f t="shared" si="2"/>
        <v>0</v>
      </c>
    </row>
    <row r="12" spans="1:22">
      <c r="A12" s="107">
        <v>44</v>
      </c>
      <c r="B12" s="96" t="s">
        <v>122</v>
      </c>
      <c r="C12" s="42">
        <v>76</v>
      </c>
      <c r="D12" s="97">
        <v>-4523.6759460000003</v>
      </c>
      <c r="E12" s="97">
        <v>-4520.9392029999999</v>
      </c>
      <c r="F12" s="98">
        <v>74.471000000000004</v>
      </c>
      <c r="G12" s="99">
        <f t="shared" si="0"/>
        <v>-1.5289999999999964</v>
      </c>
      <c r="H12" s="100">
        <v>1.5289999999999964</v>
      </c>
      <c r="I12" s="101">
        <v>-122970</v>
      </c>
      <c r="J12" s="102">
        <v>-122894</v>
      </c>
      <c r="K12" s="103">
        <v>76</v>
      </c>
      <c r="L12" s="104">
        <f t="shared" si="1"/>
        <v>0</v>
      </c>
      <c r="M12" s="104">
        <f t="shared" si="2"/>
        <v>0</v>
      </c>
    </row>
    <row r="13" spans="1:22">
      <c r="A13" s="107">
        <v>45</v>
      </c>
      <c r="B13" s="96" t="s">
        <v>130</v>
      </c>
      <c r="C13" s="42">
        <v>80</v>
      </c>
      <c r="D13" s="97">
        <v>-4776.7432440000002</v>
      </c>
      <c r="E13" s="97">
        <v>-4773.8796990000001</v>
      </c>
      <c r="F13" s="98">
        <v>77.921000000000006</v>
      </c>
      <c r="G13" s="99">
        <f t="shared" si="0"/>
        <v>-2.0789999999999935</v>
      </c>
      <c r="H13" s="100">
        <v>2.0789999999999935</v>
      </c>
      <c r="I13" s="101">
        <v>-129848</v>
      </c>
      <c r="J13" s="102">
        <v>-129768</v>
      </c>
      <c r="K13" s="103">
        <v>80</v>
      </c>
      <c r="L13" s="104">
        <f t="shared" si="1"/>
        <v>0</v>
      </c>
      <c r="M13" s="104">
        <f t="shared" si="2"/>
        <v>0</v>
      </c>
    </row>
    <row r="14" spans="1:22">
      <c r="A14" s="107">
        <v>52</v>
      </c>
      <c r="B14" s="96" t="s">
        <v>138</v>
      </c>
      <c r="C14" s="42">
        <v>69.099999999999994</v>
      </c>
      <c r="D14" s="97">
        <v>-6788.3840550000004</v>
      </c>
      <c r="E14" s="97">
        <v>-6785.8475399999998</v>
      </c>
      <c r="F14" s="98">
        <v>69.022000000000006</v>
      </c>
      <c r="G14" s="99">
        <f t="shared" si="0"/>
        <v>-7.7999999999988745E-2</v>
      </c>
      <c r="H14" s="100">
        <v>7.7999999999988745E-2</v>
      </c>
      <c r="I14" s="101">
        <v>-184494</v>
      </c>
      <c r="J14" s="102">
        <v>-184425</v>
      </c>
      <c r="K14" s="103">
        <v>69</v>
      </c>
      <c r="L14" s="104">
        <f t="shared" si="1"/>
        <v>-9.9999999999994316E-2</v>
      </c>
      <c r="M14" s="104">
        <f t="shared" si="2"/>
        <v>9.9999999999994316E-2</v>
      </c>
    </row>
    <row r="15" spans="1:22">
      <c r="A15" s="39">
        <v>74</v>
      </c>
      <c r="B15" t="s">
        <v>167</v>
      </c>
      <c r="C15" s="40">
        <v>64.77</v>
      </c>
      <c r="D15" s="76">
        <v>-16151.354412000001</v>
      </c>
      <c r="E15" s="76">
        <v>-16149.039780999999</v>
      </c>
      <c r="F15" s="65">
        <v>62.984000000000002</v>
      </c>
      <c r="G15" s="19">
        <f t="shared" si="0"/>
        <v>-1.7859999999999943</v>
      </c>
      <c r="H15" s="45">
        <v>1.7859999999999943</v>
      </c>
      <c r="I15" s="43">
        <v>-438733</v>
      </c>
      <c r="J15" s="44">
        <v>-438670</v>
      </c>
      <c r="K15" s="21">
        <v>63</v>
      </c>
      <c r="L15" s="2">
        <f t="shared" si="1"/>
        <v>-1.769999999999996</v>
      </c>
      <c r="M15" s="2">
        <f t="shared" si="2"/>
        <v>1.769999999999996</v>
      </c>
    </row>
    <row r="16" spans="1:22">
      <c r="A16" s="107">
        <v>75</v>
      </c>
      <c r="B16" s="96" t="s">
        <v>173</v>
      </c>
      <c r="C16" s="42">
        <v>67</v>
      </c>
      <c r="D16" s="97">
        <v>-16702.557873000002</v>
      </c>
      <c r="E16" s="97">
        <v>-16700.142387</v>
      </c>
      <c r="F16" s="98">
        <v>65.728999999999999</v>
      </c>
      <c r="G16" s="99">
        <f t="shared" si="0"/>
        <v>-1.2710000000000008</v>
      </c>
      <c r="H16" s="100">
        <v>1.2710000000000008</v>
      </c>
      <c r="I16" s="101">
        <v>-453697</v>
      </c>
      <c r="J16" s="102">
        <v>-453630</v>
      </c>
      <c r="K16" s="103">
        <v>67</v>
      </c>
      <c r="L16" s="104">
        <f t="shared" si="1"/>
        <v>0</v>
      </c>
      <c r="M16" s="104">
        <f t="shared" si="2"/>
        <v>0</v>
      </c>
    </row>
    <row r="17" spans="1:13">
      <c r="A17" s="107">
        <v>76</v>
      </c>
      <c r="B17" s="96" t="s">
        <v>180</v>
      </c>
      <c r="C17" s="42">
        <v>70.099999999999994</v>
      </c>
      <c r="D17" s="97">
        <v>-17265.754389000002</v>
      </c>
      <c r="E17" s="97">
        <v>-17263.237623000001</v>
      </c>
      <c r="F17" s="98">
        <v>68.484999999999999</v>
      </c>
      <c r="G17" s="99">
        <f t="shared" si="0"/>
        <v>-1.6149999999999949</v>
      </c>
      <c r="H17" s="100">
        <v>1.6149999999999949</v>
      </c>
      <c r="I17" s="101">
        <v>-468985</v>
      </c>
      <c r="J17" s="102">
        <v>-468915</v>
      </c>
      <c r="K17" s="103">
        <v>70</v>
      </c>
      <c r="L17" s="104">
        <f t="shared" si="1"/>
        <v>-9.9999999999994316E-2</v>
      </c>
      <c r="M17" s="104">
        <f t="shared" si="2"/>
        <v>9.9999999999994316E-2</v>
      </c>
    </row>
    <row r="18" spans="1:13">
      <c r="A18" s="107">
        <v>77</v>
      </c>
      <c r="B18" s="96" t="s">
        <v>188</v>
      </c>
      <c r="C18" s="42">
        <v>72</v>
      </c>
      <c r="D18" s="97">
        <v>-17841.230522000002</v>
      </c>
      <c r="E18" s="97">
        <v>-17838.612118000001</v>
      </c>
      <c r="F18" s="98">
        <v>71.25</v>
      </c>
      <c r="G18" s="99">
        <f t="shared" si="0"/>
        <v>-0.75</v>
      </c>
      <c r="H18" s="100">
        <v>0.75</v>
      </c>
      <c r="I18" s="101">
        <v>-484606</v>
      </c>
      <c r="J18" s="102">
        <v>-484534</v>
      </c>
      <c r="K18" s="103">
        <v>72</v>
      </c>
      <c r="L18" s="104">
        <f t="shared" si="1"/>
        <v>0</v>
      </c>
      <c r="M18" s="104">
        <f t="shared" si="2"/>
        <v>0</v>
      </c>
    </row>
    <row r="19" spans="1:13">
      <c r="A19" s="107">
        <v>78</v>
      </c>
      <c r="B19" s="96" t="s">
        <v>190</v>
      </c>
      <c r="C19" s="42">
        <v>75</v>
      </c>
      <c r="D19" s="97">
        <v>-18429.051005000001</v>
      </c>
      <c r="E19" s="97">
        <v>-18426.330622000001</v>
      </c>
      <c r="F19" s="98">
        <v>74.025000000000006</v>
      </c>
      <c r="G19" s="99">
        <f t="shared" si="0"/>
        <v>-0.97499999999999432</v>
      </c>
      <c r="H19" s="100">
        <v>0.97499999999999432</v>
      </c>
      <c r="I19" s="101">
        <v>-500563</v>
      </c>
      <c r="J19" s="102">
        <v>-500488</v>
      </c>
      <c r="K19" s="103">
        <v>75</v>
      </c>
      <c r="L19" s="104">
        <f t="shared" si="1"/>
        <v>0</v>
      </c>
      <c r="M19" s="104">
        <f t="shared" si="2"/>
        <v>0</v>
      </c>
    </row>
    <row r="20" spans="1:13">
      <c r="A20" s="39">
        <v>92</v>
      </c>
      <c r="B20" t="s">
        <v>205</v>
      </c>
      <c r="C20" s="41">
        <v>62</v>
      </c>
      <c r="D20" s="76">
        <v>-28048.243688999999</v>
      </c>
      <c r="E20" s="76">
        <v>-28046.018102000002</v>
      </c>
      <c r="F20" s="65">
        <v>60.561</v>
      </c>
      <c r="G20" s="19">
        <f t="shared" si="0"/>
        <v>-1.4390000000000001</v>
      </c>
      <c r="H20" s="45">
        <v>1.4390000000000001</v>
      </c>
      <c r="I20" s="43">
        <v>-761543</v>
      </c>
      <c r="J20" s="44">
        <v>-761482</v>
      </c>
      <c r="K20" s="21">
        <v>61</v>
      </c>
      <c r="L20" s="2">
        <f t="shared" si="1"/>
        <v>-1</v>
      </c>
      <c r="M20" s="2">
        <f t="shared" si="2"/>
        <v>1</v>
      </c>
    </row>
    <row r="21" spans="1:13">
      <c r="A21" s="107">
        <v>93</v>
      </c>
      <c r="B21" s="96" t="s">
        <v>208</v>
      </c>
      <c r="C21" s="42">
        <v>65</v>
      </c>
      <c r="D21" s="97">
        <v>-28842.720907999999</v>
      </c>
      <c r="E21" s="97">
        <v>-28840.417845</v>
      </c>
      <c r="F21" s="98">
        <v>62.67</v>
      </c>
      <c r="G21" s="99">
        <f t="shared" si="0"/>
        <v>-2.3299999999999983</v>
      </c>
      <c r="H21" s="100">
        <v>2.3299999999999983</v>
      </c>
      <c r="I21" s="101">
        <v>-783080</v>
      </c>
      <c r="J21" s="102">
        <v>-783015</v>
      </c>
      <c r="K21" s="103">
        <v>65</v>
      </c>
      <c r="L21" s="104">
        <f t="shared" si="1"/>
        <v>0</v>
      </c>
      <c r="M21" s="104">
        <f t="shared" si="2"/>
        <v>0</v>
      </c>
    </row>
    <row r="22" spans="1:13">
      <c r="A22" s="39">
        <v>94</v>
      </c>
      <c r="B22" t="s">
        <v>212</v>
      </c>
      <c r="C22" s="55">
        <v>80</v>
      </c>
      <c r="D22" s="76">
        <v>-29651.846337999999</v>
      </c>
      <c r="E22" s="76">
        <v>-29649.468538000001</v>
      </c>
      <c r="F22" s="65">
        <v>64.703000000000003</v>
      </c>
      <c r="G22" s="19">
        <f t="shared" si="0"/>
        <v>-15.296999999999997</v>
      </c>
      <c r="H22" s="45">
        <v>15.296999999999997</v>
      </c>
      <c r="I22" s="43">
        <v>-805040</v>
      </c>
      <c r="J22" s="44">
        <v>-804973</v>
      </c>
      <c r="K22" s="21">
        <v>67</v>
      </c>
      <c r="L22" s="2">
        <f t="shared" si="1"/>
        <v>-13</v>
      </c>
      <c r="M22" s="2">
        <f t="shared" si="2"/>
        <v>13</v>
      </c>
    </row>
    <row r="23" spans="1:13">
      <c r="A23" s="107">
        <v>95</v>
      </c>
      <c r="B23" s="96" t="s">
        <v>217</v>
      </c>
      <c r="C23" s="42">
        <v>67.900000000000006</v>
      </c>
      <c r="D23" s="97">
        <v>-30477.334181999999</v>
      </c>
      <c r="E23" s="97">
        <v>-30474.884102</v>
      </c>
      <c r="F23" s="98">
        <v>66.67</v>
      </c>
      <c r="G23" s="99">
        <f t="shared" si="0"/>
        <v>-1.230000000000004</v>
      </c>
      <c r="H23" s="100">
        <v>1.230000000000004</v>
      </c>
      <c r="I23" s="101">
        <v>-827433</v>
      </c>
      <c r="J23" s="102">
        <v>-827365</v>
      </c>
      <c r="K23" s="103">
        <v>68</v>
      </c>
      <c r="L23" s="104">
        <f t="shared" si="1"/>
        <v>9.9999999999994316E-2</v>
      </c>
      <c r="M23" s="104">
        <f t="shared" si="2"/>
        <v>9.9999999999994316E-2</v>
      </c>
    </row>
    <row r="24" spans="1:13">
      <c r="B24"/>
      <c r="D24" s="65"/>
      <c r="E24" s="65"/>
      <c r="F24" s="65"/>
      <c r="G24" s="82" t="s">
        <v>256</v>
      </c>
      <c r="H24" s="83">
        <f>AVERAGE(H5:H23)</f>
        <v>2.1765705263157868</v>
      </c>
      <c r="I24" s="44"/>
      <c r="J24" s="44"/>
      <c r="K24" s="21"/>
      <c r="L24" s="82" t="s">
        <v>256</v>
      </c>
      <c r="M24" s="83">
        <f>AVERAGE(M5:M23)</f>
        <v>1.1700522222222207</v>
      </c>
    </row>
    <row r="25" spans="1:13">
      <c r="B25"/>
      <c r="C25" s="56"/>
      <c r="D25" s="65"/>
      <c r="E25" s="65"/>
      <c r="F25" s="65"/>
      <c r="G25" s="82" t="s">
        <v>255</v>
      </c>
      <c r="H25" s="83">
        <f>MAX(H5:H23)</f>
        <v>15.296999999999997</v>
      </c>
      <c r="I25" s="44"/>
      <c r="J25" s="44"/>
      <c r="K25" s="21"/>
      <c r="L25" s="82" t="s">
        <v>255</v>
      </c>
      <c r="M25" s="83">
        <f>MAX(M5:M23)</f>
        <v>13</v>
      </c>
    </row>
    <row r="26" spans="1:13">
      <c r="B26"/>
      <c r="E26"/>
      <c r="F26"/>
      <c r="G26"/>
      <c r="H26"/>
      <c r="I26" s="44"/>
      <c r="J26" s="44"/>
      <c r="K26" s="21"/>
      <c r="L26" s="2"/>
    </row>
    <row r="27" spans="1:13">
      <c r="B27"/>
      <c r="D27" s="5" t="s">
        <v>271</v>
      </c>
      <c r="E27"/>
      <c r="F27"/>
      <c r="G27" s="82" t="s">
        <v>256</v>
      </c>
      <c r="H27" s="83">
        <f>AVERAGE(H5:H21,H23)</f>
        <v>1.4476577777777753</v>
      </c>
      <c r="I27"/>
      <c r="J27"/>
      <c r="K27"/>
      <c r="L27" s="82" t="s">
        <v>256</v>
      </c>
      <c r="M27" s="83">
        <f>AVERAGE(M5:M21,M23)</f>
        <v>0.47417294117646902</v>
      </c>
    </row>
    <row r="28" spans="1:13">
      <c r="B28"/>
      <c r="E28"/>
      <c r="F28"/>
      <c r="G28" s="82" t="s">
        <v>255</v>
      </c>
      <c r="H28" s="83">
        <f>MAX(H5:H21,H23)</f>
        <v>2.5829999999999984</v>
      </c>
      <c r="I28"/>
      <c r="J28"/>
      <c r="K28"/>
      <c r="L28" s="82" t="s">
        <v>255</v>
      </c>
      <c r="M28" s="83">
        <f>MAX(M5:M21,M23)</f>
        <v>1.9399999999999977</v>
      </c>
    </row>
    <row r="29" spans="1:13">
      <c r="B29"/>
      <c r="D29" s="46"/>
      <c r="E29" s="46"/>
      <c r="G29" s="15"/>
      <c r="H29" s="15"/>
      <c r="I29" s="44"/>
      <c r="J29" s="44"/>
      <c r="K29" s="21"/>
      <c r="L29" s="2"/>
    </row>
    <row r="30" spans="1:13">
      <c r="B30"/>
      <c r="D30" s="5" t="s">
        <v>279</v>
      </c>
      <c r="E30" s="65"/>
      <c r="F30" s="65"/>
      <c r="G30" s="82" t="s">
        <v>256</v>
      </c>
      <c r="H30" s="83">
        <f>AVERAGE(H6:H10,H20)</f>
        <v>1.8243233333333311</v>
      </c>
      <c r="I30" s="44"/>
      <c r="J30" s="44"/>
      <c r="K30" s="21"/>
      <c r="L30" s="82" t="s">
        <v>256</v>
      </c>
      <c r="M30" s="83">
        <f>AVERAGE(M5:M10,M20)</f>
        <v>0.9984899999999991</v>
      </c>
    </row>
    <row r="31" spans="1:13">
      <c r="B31"/>
      <c r="D31" s="65"/>
      <c r="E31" s="65"/>
      <c r="F31" s="65"/>
      <c r="G31" s="82" t="s">
        <v>255</v>
      </c>
      <c r="H31" s="83">
        <f>MAX(H6:H10,H20)</f>
        <v>2.5829999999999984</v>
      </c>
      <c r="I31" s="44"/>
      <c r="J31" s="44"/>
      <c r="K31" s="21"/>
      <c r="L31" s="82" t="s">
        <v>255</v>
      </c>
      <c r="M31" s="83">
        <f>MAX(M5:M10,M20)</f>
        <v>1.9399999999999977</v>
      </c>
    </row>
    <row r="32" spans="1:13">
      <c r="B32"/>
      <c r="D32" s="46"/>
      <c r="E32" s="46"/>
      <c r="G32" s="124" t="s">
        <v>278</v>
      </c>
      <c r="H32" s="6">
        <f>COUNT(H6:H10,H20)</f>
        <v>6</v>
      </c>
      <c r="I32" s="44"/>
      <c r="J32" s="44"/>
      <c r="K32" s="21"/>
      <c r="L32" s="124" t="s">
        <v>278</v>
      </c>
      <c r="M32" s="6">
        <f>COUNT(M5:M10,M20)</f>
        <v>6</v>
      </c>
    </row>
    <row r="33" spans="2:12">
      <c r="B33"/>
      <c r="D33" s="46"/>
      <c r="E33" s="46"/>
      <c r="G33" s="15"/>
      <c r="H33" s="15"/>
      <c r="I33" s="44"/>
      <c r="J33" s="44"/>
      <c r="K33" s="21"/>
      <c r="L33" s="2"/>
    </row>
    <row r="34" spans="2:12">
      <c r="B34"/>
      <c r="D34" s="46"/>
      <c r="E34" s="46"/>
      <c r="G34" s="15"/>
      <c r="H34" s="15"/>
      <c r="I34" s="44"/>
      <c r="J34" s="44"/>
      <c r="K34" s="21"/>
      <c r="L34" s="2"/>
    </row>
    <row r="35" spans="2:12">
      <c r="B35"/>
      <c r="D35" s="46"/>
      <c r="E35" s="46"/>
      <c r="G35" s="15"/>
      <c r="H35" s="15"/>
      <c r="I35" s="44"/>
      <c r="J35" s="44"/>
      <c r="K35" s="21"/>
      <c r="L35" s="2"/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897D-6C6E-47EF-87B7-C6C2F3CD10F1}">
  <dimension ref="A1:V24"/>
  <sheetViews>
    <sheetView workbookViewId="0"/>
  </sheetViews>
  <sheetFormatPr defaultRowHeight="15"/>
  <cols>
    <col min="1" max="1" width="10.42578125" style="39" customWidth="1"/>
    <col min="2" max="2" width="10.42578125" style="38" customWidth="1"/>
    <col min="3" max="3" width="15.42578125" customWidth="1"/>
    <col min="4" max="4" width="13.5703125" customWidth="1"/>
    <col min="5" max="5" width="15.28515625" style="9" customWidth="1"/>
    <col min="6" max="6" width="11.85546875" style="9" customWidth="1"/>
    <col min="7" max="7" width="12.85546875" style="9" customWidth="1"/>
    <col min="8" max="8" width="11.42578125" style="9" customWidth="1"/>
    <col min="9" max="9" width="14.5703125" style="26" customWidth="1"/>
    <col min="10" max="10" width="11.42578125" style="26" customWidth="1"/>
    <col min="11" max="11" width="11" style="27" customWidth="1"/>
    <col min="12" max="12" width="11" style="21" customWidth="1"/>
    <col min="13" max="13" width="11" customWidth="1"/>
    <col min="17" max="17" width="11.5703125" bestFit="1" customWidth="1"/>
    <col min="18" max="18" width="10.5703125" bestFit="1" customWidth="1"/>
  </cols>
  <sheetData>
    <row r="1" spans="1:22">
      <c r="A1" s="143" t="s">
        <v>428</v>
      </c>
    </row>
    <row r="3" spans="1:22">
      <c r="C3" s="10" t="s">
        <v>239</v>
      </c>
      <c r="D3" s="66" t="s">
        <v>228</v>
      </c>
      <c r="E3" s="65"/>
      <c r="F3" s="66"/>
      <c r="G3" s="66"/>
      <c r="H3" s="67"/>
      <c r="I3" s="24" t="s">
        <v>227</v>
      </c>
      <c r="J3" s="25"/>
    </row>
    <row r="4" spans="1:22">
      <c r="A4" s="12" t="s">
        <v>0</v>
      </c>
      <c r="B4" s="13" t="s">
        <v>1</v>
      </c>
      <c r="C4" s="64" t="s">
        <v>240</v>
      </c>
      <c r="D4" s="29" t="s">
        <v>270</v>
      </c>
      <c r="E4" s="29" t="s">
        <v>274</v>
      </c>
      <c r="F4" s="17" t="s">
        <v>229</v>
      </c>
      <c r="G4" s="35" t="s">
        <v>230</v>
      </c>
      <c r="H4" s="18" t="s">
        <v>254</v>
      </c>
      <c r="I4" s="36" t="s">
        <v>238</v>
      </c>
      <c r="J4" s="34" t="s">
        <v>273</v>
      </c>
      <c r="K4" s="23" t="s">
        <v>231</v>
      </c>
      <c r="L4" s="22" t="s">
        <v>232</v>
      </c>
      <c r="M4" s="22" t="s">
        <v>257</v>
      </c>
      <c r="N4" s="5"/>
      <c r="Q4" s="6"/>
    </row>
    <row r="5" spans="1:22">
      <c r="A5" s="1">
        <v>17</v>
      </c>
      <c r="B5" t="s">
        <v>40</v>
      </c>
      <c r="C5" s="14">
        <v>114.2013</v>
      </c>
      <c r="D5" s="76">
        <v>-450.37633</v>
      </c>
      <c r="E5" s="76">
        <v>-446.19739600000003</v>
      </c>
      <c r="F5" s="65">
        <v>113.715</v>
      </c>
      <c r="G5" s="108">
        <f t="shared" ref="G5:G12" si="0">F5-C5</f>
        <v>-0.48629999999999995</v>
      </c>
      <c r="H5" s="109" cm="1">
        <f t="array" ref="H5:H12">ABS(G5:G12)</f>
        <v>0.48629999999999995</v>
      </c>
      <c r="I5" s="43">
        <v>-12250</v>
      </c>
      <c r="J5" s="44">
        <v>-12137</v>
      </c>
      <c r="K5" s="21">
        <v>113</v>
      </c>
      <c r="L5" s="27">
        <f t="shared" ref="L5:L12" si="1">K5-C5</f>
        <v>-1.2013000000000034</v>
      </c>
      <c r="M5" s="27">
        <f>ABS(L5)</f>
        <v>1.2013000000000034</v>
      </c>
      <c r="N5" s="7"/>
      <c r="R5" s="4"/>
      <c r="S5" s="4"/>
      <c r="T5" s="4"/>
      <c r="U5" s="8"/>
    </row>
    <row r="6" spans="1:22">
      <c r="A6" s="1">
        <v>25</v>
      </c>
      <c r="B6" t="s">
        <v>64</v>
      </c>
      <c r="C6" s="14">
        <v>119.203</v>
      </c>
      <c r="D6" s="76">
        <v>-1147.651192</v>
      </c>
      <c r="E6" s="76">
        <v>-1143.311547</v>
      </c>
      <c r="F6" s="65">
        <v>118.08799999999999</v>
      </c>
      <c r="G6" s="108">
        <f t="shared" si="0"/>
        <v>-1.1150000000000091</v>
      </c>
      <c r="H6" s="109">
        <v>1.1150000000000091</v>
      </c>
      <c r="I6" s="43">
        <v>-31210</v>
      </c>
      <c r="J6" s="44">
        <v>-31092</v>
      </c>
      <c r="K6" s="21">
        <v>118</v>
      </c>
      <c r="L6" s="27">
        <f t="shared" si="1"/>
        <v>-1.203000000000003</v>
      </c>
      <c r="M6" s="27">
        <f t="shared" ref="M6:M12" si="2">ABS(L6)</f>
        <v>1.203000000000003</v>
      </c>
    </row>
    <row r="7" spans="1:22">
      <c r="A7" s="95">
        <v>43</v>
      </c>
      <c r="B7" s="96" t="s">
        <v>116</v>
      </c>
      <c r="C7" s="42">
        <v>88</v>
      </c>
      <c r="D7" s="97">
        <v>-4276.2528739999998</v>
      </c>
      <c r="E7" s="97">
        <v>-4273.0315769999997</v>
      </c>
      <c r="F7" s="98">
        <v>87.656000000000006</v>
      </c>
      <c r="G7" s="110">
        <f t="shared" si="0"/>
        <v>-0.34399999999999409</v>
      </c>
      <c r="H7" s="111">
        <v>0.34399999999999409</v>
      </c>
      <c r="I7" s="101">
        <v>-116244</v>
      </c>
      <c r="J7" s="102">
        <v>-116156</v>
      </c>
      <c r="K7" s="103">
        <v>88</v>
      </c>
      <c r="L7" s="112">
        <f t="shared" si="1"/>
        <v>0</v>
      </c>
      <c r="M7" s="112">
        <f t="shared" si="2"/>
        <v>0</v>
      </c>
      <c r="N7" s="5"/>
      <c r="V7" s="5"/>
    </row>
    <row r="8" spans="1:22" ht="15.75" thickBot="1">
      <c r="A8" s="95">
        <v>44</v>
      </c>
      <c r="B8" s="96" t="s">
        <v>123</v>
      </c>
      <c r="C8" s="42">
        <v>93</v>
      </c>
      <c r="D8" s="97">
        <v>-4520.9392029999999</v>
      </c>
      <c r="E8" s="97">
        <v>-4517.5701790000003</v>
      </c>
      <c r="F8" s="98">
        <v>91.676000000000002</v>
      </c>
      <c r="G8" s="110">
        <f t="shared" si="0"/>
        <v>-1.3239999999999981</v>
      </c>
      <c r="H8" s="111">
        <v>1.3239999999999981</v>
      </c>
      <c r="I8" s="101">
        <v>-122894</v>
      </c>
      <c r="J8" s="102">
        <v>-122801</v>
      </c>
      <c r="K8" s="103">
        <v>93</v>
      </c>
      <c r="L8" s="112">
        <f t="shared" si="1"/>
        <v>0</v>
      </c>
      <c r="M8" s="112">
        <f t="shared" si="2"/>
        <v>0</v>
      </c>
      <c r="N8" s="5"/>
    </row>
    <row r="9" spans="1:22" ht="15.75" thickBot="1">
      <c r="A9" s="1">
        <v>75</v>
      </c>
      <c r="B9" t="s">
        <v>174</v>
      </c>
      <c r="C9" s="40">
        <v>82.71</v>
      </c>
      <c r="D9" s="76">
        <v>-16700.142387</v>
      </c>
      <c r="E9" s="76">
        <v>-16697.173763999999</v>
      </c>
      <c r="F9" s="65">
        <v>80.78</v>
      </c>
      <c r="G9" s="116">
        <f t="shared" si="0"/>
        <v>-1.9299999999999926</v>
      </c>
      <c r="H9" s="117">
        <v>1.9299999999999926</v>
      </c>
      <c r="I9" s="44">
        <v>-453630</v>
      </c>
      <c r="J9" s="44">
        <v>-453548</v>
      </c>
      <c r="K9" s="21">
        <v>82</v>
      </c>
      <c r="L9" s="27">
        <f t="shared" si="1"/>
        <v>-0.70999999999999375</v>
      </c>
      <c r="M9" s="27">
        <f t="shared" si="2"/>
        <v>0.70999999999999375</v>
      </c>
    </row>
    <row r="10" spans="1:22">
      <c r="A10" s="95">
        <v>76</v>
      </c>
      <c r="B10" s="96" t="s">
        <v>181</v>
      </c>
      <c r="C10" s="42">
        <v>85.1</v>
      </c>
      <c r="D10" s="97">
        <v>-17263.237623000001</v>
      </c>
      <c r="E10" s="97">
        <v>-17260.154573</v>
      </c>
      <c r="F10" s="98">
        <v>83.894000000000005</v>
      </c>
      <c r="G10" s="110">
        <f t="shared" si="0"/>
        <v>-1.2059999999999889</v>
      </c>
      <c r="H10" s="111">
        <v>1.2059999999999889</v>
      </c>
      <c r="I10" s="101">
        <v>-468915</v>
      </c>
      <c r="J10" s="102">
        <v>-468830</v>
      </c>
      <c r="K10" s="103">
        <v>85</v>
      </c>
      <c r="L10" s="112">
        <f t="shared" si="1"/>
        <v>-9.9999999999994316E-2</v>
      </c>
      <c r="M10" s="112">
        <f t="shared" si="2"/>
        <v>9.9999999999994316E-2</v>
      </c>
    </row>
    <row r="11" spans="1:22">
      <c r="A11" s="1">
        <v>93</v>
      </c>
      <c r="B11" t="s">
        <v>209</v>
      </c>
      <c r="C11" s="55">
        <v>92</v>
      </c>
      <c r="D11" s="76">
        <v>-28840.417845</v>
      </c>
      <c r="E11" s="76">
        <v>-28837.473741999998</v>
      </c>
      <c r="F11" s="65">
        <v>80.113</v>
      </c>
      <c r="G11" s="108">
        <f t="shared" si="0"/>
        <v>-11.887</v>
      </c>
      <c r="H11" s="109">
        <v>11.887</v>
      </c>
      <c r="I11" s="43">
        <v>-783015</v>
      </c>
      <c r="J11" s="44">
        <v>-782934</v>
      </c>
      <c r="K11" s="21">
        <v>81</v>
      </c>
      <c r="L11" s="27">
        <f t="shared" si="1"/>
        <v>-11</v>
      </c>
      <c r="M11" s="27">
        <f t="shared" si="2"/>
        <v>11</v>
      </c>
    </row>
    <row r="12" spans="1:22">
      <c r="A12" s="1">
        <v>94</v>
      </c>
      <c r="B12" t="s">
        <v>213</v>
      </c>
      <c r="C12" s="55">
        <v>95</v>
      </c>
      <c r="D12" s="76">
        <v>-29649.468538000001</v>
      </c>
      <c r="E12" s="76">
        <v>-29646.437711999999</v>
      </c>
      <c r="F12" s="65">
        <v>82.472999999999999</v>
      </c>
      <c r="G12" s="108">
        <f t="shared" si="0"/>
        <v>-12.527000000000001</v>
      </c>
      <c r="H12" s="109">
        <v>12.527000000000001</v>
      </c>
      <c r="I12" s="43">
        <v>-804973</v>
      </c>
      <c r="J12" s="44">
        <v>-804889</v>
      </c>
      <c r="K12" s="21">
        <v>84</v>
      </c>
      <c r="L12" s="27">
        <f t="shared" si="1"/>
        <v>-11</v>
      </c>
      <c r="M12" s="27">
        <f t="shared" si="2"/>
        <v>11</v>
      </c>
    </row>
    <row r="13" spans="1:22">
      <c r="B13"/>
      <c r="D13" s="46"/>
      <c r="E13" s="46"/>
      <c r="G13" s="82" t="s">
        <v>256</v>
      </c>
      <c r="H13" s="4">
        <f>AVERAGE(H5:H12)</f>
        <v>3.852412499999998</v>
      </c>
      <c r="I13" s="44"/>
      <c r="J13" s="44"/>
      <c r="K13" s="21"/>
      <c r="L13" s="82" t="s">
        <v>256</v>
      </c>
      <c r="M13" s="4">
        <f>AVERAGE(M5:M12)</f>
        <v>3.1517874999999993</v>
      </c>
    </row>
    <row r="14" spans="1:22">
      <c r="B14"/>
      <c r="C14" s="56"/>
      <c r="D14" s="46"/>
      <c r="E14" s="46"/>
      <c r="G14" s="82" t="s">
        <v>255</v>
      </c>
      <c r="H14" s="4">
        <f>MAX(H5:H12)</f>
        <v>12.527000000000001</v>
      </c>
      <c r="I14" s="44"/>
      <c r="J14" s="44"/>
      <c r="K14" s="21"/>
      <c r="L14" s="82" t="s">
        <v>255</v>
      </c>
      <c r="M14" s="4">
        <f>MAX(M5:M12)</f>
        <v>11</v>
      </c>
    </row>
    <row r="15" spans="1:22">
      <c r="B15"/>
      <c r="D15" s="46"/>
      <c r="E15" s="46"/>
      <c r="G15" s="15"/>
      <c r="H15" s="15"/>
      <c r="I15" s="44"/>
      <c r="J15" s="44"/>
      <c r="K15" s="21"/>
      <c r="L15" s="2"/>
    </row>
    <row r="16" spans="1:22">
      <c r="B16"/>
      <c r="D16" s="5" t="s">
        <v>276</v>
      </c>
      <c r="E16"/>
      <c r="F16"/>
      <c r="G16" s="82" t="s">
        <v>256</v>
      </c>
      <c r="H16" s="4">
        <f>AVERAGE(H5:H10)</f>
        <v>1.0675499999999971</v>
      </c>
      <c r="I16" s="4"/>
      <c r="J16" s="4"/>
      <c r="K16" s="4"/>
      <c r="L16" s="113" t="s">
        <v>256</v>
      </c>
      <c r="M16" s="4">
        <f>AVERAGE(M5:M10)</f>
        <v>0.53571666666666573</v>
      </c>
    </row>
    <row r="17" spans="2:13">
      <c r="B17"/>
      <c r="E17"/>
      <c r="F17"/>
      <c r="G17" s="82" t="s">
        <v>255</v>
      </c>
      <c r="H17" s="4">
        <f>MAX(H5:H10)</f>
        <v>1.9299999999999926</v>
      </c>
      <c r="I17" s="4"/>
      <c r="J17" s="4"/>
      <c r="K17" s="4"/>
      <c r="L17" s="113" t="s">
        <v>255</v>
      </c>
      <c r="M17" s="4">
        <f>MAX(M5:M10)</f>
        <v>1.203000000000003</v>
      </c>
    </row>
    <row r="18" spans="2:13">
      <c r="B18"/>
      <c r="D18" s="46"/>
      <c r="E18" s="46"/>
      <c r="G18" s="15"/>
      <c r="H18" s="114"/>
      <c r="I18" s="115"/>
      <c r="J18" s="115"/>
      <c r="L18" s="27"/>
      <c r="M18" s="4"/>
    </row>
    <row r="19" spans="2:13">
      <c r="B19"/>
      <c r="D19" s="5" t="s">
        <v>277</v>
      </c>
      <c r="E19" s="65"/>
      <c r="F19" s="65"/>
      <c r="G19" s="82" t="s">
        <v>256</v>
      </c>
      <c r="H19" s="4">
        <f>AVERAGE(H5:H6,H9)</f>
        <v>1.1771000000000005</v>
      </c>
      <c r="I19" s="115"/>
      <c r="J19" s="115"/>
      <c r="L19" s="113" t="s">
        <v>256</v>
      </c>
      <c r="M19" s="4">
        <f>AVERAGE(M5:M6,M9)</f>
        <v>1.0381</v>
      </c>
    </row>
    <row r="20" spans="2:13">
      <c r="B20"/>
      <c r="D20" s="65"/>
      <c r="E20" s="65"/>
      <c r="F20" s="65"/>
      <c r="G20" s="82" t="s">
        <v>255</v>
      </c>
      <c r="H20" s="4">
        <f>MAX(H5:H6,H9)</f>
        <v>1.9299999999999926</v>
      </c>
      <c r="I20" s="115"/>
      <c r="J20" s="115"/>
      <c r="L20" s="113" t="s">
        <v>255</v>
      </c>
      <c r="M20" s="4">
        <f>MAX(M5:M6,M9)</f>
        <v>1.203000000000003</v>
      </c>
    </row>
    <row r="21" spans="2:13">
      <c r="B21"/>
      <c r="D21" s="46"/>
      <c r="E21" s="46"/>
      <c r="G21" s="124" t="s">
        <v>278</v>
      </c>
      <c r="H21" s="6">
        <f>COUNT(H5:H6,H9)</f>
        <v>3</v>
      </c>
      <c r="I21" s="44"/>
      <c r="J21" s="44"/>
      <c r="K21" s="21"/>
      <c r="L21" s="124" t="s">
        <v>278</v>
      </c>
      <c r="M21" s="6">
        <f>COUNT(M5:M6,M9)</f>
        <v>3</v>
      </c>
    </row>
    <row r="22" spans="2:13">
      <c r="B22"/>
      <c r="D22" s="46"/>
      <c r="E22" s="46"/>
      <c r="G22" s="15"/>
      <c r="H22" s="15"/>
      <c r="I22" s="44"/>
      <c r="J22" s="44"/>
      <c r="K22" s="21"/>
      <c r="L22" s="2"/>
    </row>
    <row r="23" spans="2:13">
      <c r="B23"/>
      <c r="D23" s="46"/>
      <c r="E23" s="46"/>
      <c r="G23" s="15"/>
      <c r="H23" s="15"/>
      <c r="I23" s="44"/>
      <c r="J23" s="44"/>
      <c r="K23" s="21"/>
      <c r="L23" s="2"/>
    </row>
    <row r="24" spans="2:13">
      <c r="B24"/>
      <c r="D24" s="46"/>
      <c r="E24" s="46"/>
      <c r="G24" s="15"/>
      <c r="H24" s="15"/>
      <c r="I24" s="44"/>
      <c r="J24" s="44"/>
      <c r="K24" s="21"/>
      <c r="L24" s="2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D922-A2FA-4426-990E-6CE0FF11163F}">
  <dimension ref="A1:V35"/>
  <sheetViews>
    <sheetView workbookViewId="0">
      <selection activeCell="N19" sqref="N19"/>
    </sheetView>
  </sheetViews>
  <sheetFormatPr defaultRowHeight="15"/>
  <cols>
    <col min="1" max="1" width="10.42578125" style="39" customWidth="1"/>
    <col min="2" max="2" width="10.42578125" style="38" customWidth="1"/>
    <col min="3" max="3" width="14.140625" customWidth="1"/>
    <col min="4" max="4" width="13.5703125" customWidth="1"/>
    <col min="5" max="5" width="15.28515625" style="9" customWidth="1"/>
    <col min="6" max="6" width="11.85546875" style="9" customWidth="1"/>
    <col min="7" max="7" width="10.140625" style="9" customWidth="1"/>
    <col min="8" max="8" width="12.5703125" style="9" customWidth="1"/>
    <col min="9" max="9" width="14.5703125" style="26" customWidth="1"/>
    <col min="10" max="10" width="11.42578125" style="26" customWidth="1"/>
    <col min="11" max="11" width="11" style="27" customWidth="1"/>
    <col min="12" max="12" width="11" style="21" customWidth="1"/>
    <col min="13" max="13" width="11.85546875" customWidth="1"/>
    <col min="17" max="17" width="11.5703125" bestFit="1" customWidth="1"/>
    <col min="18" max="18" width="10.5703125" bestFit="1" customWidth="1"/>
  </cols>
  <sheetData>
    <row r="1" spans="1:22">
      <c r="A1" s="143" t="s">
        <v>429</v>
      </c>
    </row>
    <row r="3" spans="1:22">
      <c r="C3" s="10" t="s">
        <v>239</v>
      </c>
      <c r="D3" s="66" t="s">
        <v>228</v>
      </c>
      <c r="E3" s="65"/>
      <c r="F3" s="66"/>
      <c r="G3" s="66"/>
      <c r="H3" s="67"/>
      <c r="I3" s="24" t="s">
        <v>227</v>
      </c>
      <c r="J3" s="25"/>
    </row>
    <row r="4" spans="1:22">
      <c r="A4" s="12" t="s">
        <v>0</v>
      </c>
      <c r="B4" s="13" t="s">
        <v>1</v>
      </c>
      <c r="C4" s="64" t="s">
        <v>240</v>
      </c>
      <c r="D4" s="17" t="s">
        <v>272</v>
      </c>
      <c r="E4" s="17" t="s">
        <v>275</v>
      </c>
      <c r="F4" s="17" t="s">
        <v>229</v>
      </c>
      <c r="G4" s="35" t="s">
        <v>230</v>
      </c>
      <c r="H4" s="18" t="s">
        <v>254</v>
      </c>
      <c r="I4" s="36" t="s">
        <v>237</v>
      </c>
      <c r="J4" s="34" t="s">
        <v>238</v>
      </c>
      <c r="K4" s="23" t="s">
        <v>231</v>
      </c>
      <c r="L4" s="22" t="s">
        <v>232</v>
      </c>
      <c r="M4" s="22" t="s">
        <v>257</v>
      </c>
      <c r="N4" s="5"/>
      <c r="Q4" s="6"/>
    </row>
    <row r="5" spans="1:22">
      <c r="A5" s="1">
        <v>44</v>
      </c>
      <c r="B5" t="s">
        <v>124</v>
      </c>
      <c r="C5" s="42">
        <v>110</v>
      </c>
      <c r="D5" s="65">
        <v>-4517.5701790000003</v>
      </c>
      <c r="E5" s="65">
        <v>-4513.5365359999996</v>
      </c>
      <c r="F5" s="65">
        <v>109.761</v>
      </c>
      <c r="G5" s="108">
        <f t="shared" ref="G5:G6" si="0">F5-C5</f>
        <v>-0.23900000000000432</v>
      </c>
      <c r="H5" s="109">
        <f>ABS(G5)</f>
        <v>0.23900000000000432</v>
      </c>
      <c r="I5" s="60">
        <v>-122801</v>
      </c>
      <c r="J5" s="61">
        <v>-122691</v>
      </c>
      <c r="K5" s="21">
        <v>110</v>
      </c>
      <c r="L5" s="27">
        <f>K5-C5</f>
        <v>0</v>
      </c>
      <c r="M5" s="27">
        <f>ABS(L5)</f>
        <v>0</v>
      </c>
      <c r="N5" s="7"/>
      <c r="R5" s="4"/>
      <c r="S5" s="4"/>
      <c r="T5" s="4"/>
      <c r="U5" s="8"/>
    </row>
    <row r="6" spans="1:22">
      <c r="A6" s="1">
        <v>76</v>
      </c>
      <c r="B6" t="s">
        <v>182</v>
      </c>
      <c r="C6" s="41">
        <v>102.02</v>
      </c>
      <c r="D6" s="65">
        <v>-17260.154573</v>
      </c>
      <c r="E6" s="65">
        <v>-17256.479916</v>
      </c>
      <c r="F6" s="65">
        <v>99.992999999999995</v>
      </c>
      <c r="G6" s="108">
        <f t="shared" si="0"/>
        <v>-2.027000000000001</v>
      </c>
      <c r="H6" s="109">
        <f>ABS(G6)</f>
        <v>2.027000000000001</v>
      </c>
      <c r="I6" s="43">
        <v>-468830</v>
      </c>
      <c r="J6" s="44">
        <v>-468729</v>
      </c>
      <c r="K6" s="21">
        <v>101</v>
      </c>
      <c r="L6" s="27">
        <f>K6-C6</f>
        <v>-1.019999999999996</v>
      </c>
      <c r="M6" s="27">
        <f>ABS(L6)</f>
        <v>1.019999999999996</v>
      </c>
    </row>
    <row r="7" spans="1:22">
      <c r="B7"/>
      <c r="C7" s="57"/>
      <c r="D7" s="46"/>
      <c r="E7" s="46"/>
      <c r="G7" s="15"/>
      <c r="H7" s="15"/>
      <c r="I7" s="44"/>
      <c r="J7" s="44"/>
      <c r="K7" s="21"/>
      <c r="L7" s="2"/>
      <c r="N7" s="5"/>
      <c r="V7" s="5"/>
    </row>
    <row r="8" spans="1:22">
      <c r="B8"/>
      <c r="C8" s="56"/>
      <c r="D8" s="46"/>
      <c r="E8" s="46"/>
      <c r="G8" s="15"/>
      <c r="H8" s="15"/>
      <c r="I8" s="44"/>
      <c r="J8" s="44"/>
      <c r="K8" s="21"/>
      <c r="L8" s="2"/>
      <c r="N8" s="5"/>
    </row>
    <row r="9" spans="1:22">
      <c r="B9"/>
      <c r="C9" s="57"/>
      <c r="D9" s="46"/>
      <c r="E9" s="46"/>
      <c r="G9" s="15"/>
      <c r="H9" s="15"/>
      <c r="I9" s="44"/>
      <c r="J9" s="44"/>
      <c r="K9" s="21"/>
      <c r="L9" s="2"/>
    </row>
    <row r="10" spans="1:22">
      <c r="B10"/>
      <c r="C10" s="57"/>
      <c r="D10" s="46"/>
      <c r="E10" s="46"/>
      <c r="G10" s="15"/>
      <c r="H10" s="15"/>
      <c r="I10" s="44"/>
      <c r="J10" s="44"/>
      <c r="K10" s="21"/>
      <c r="L10" s="2"/>
    </row>
    <row r="11" spans="1:22">
      <c r="B11"/>
      <c r="C11" s="56"/>
      <c r="D11" s="46"/>
      <c r="E11" s="46"/>
      <c r="G11" s="15"/>
      <c r="H11" s="15"/>
      <c r="I11" s="44"/>
      <c r="J11" s="44"/>
      <c r="K11" s="21"/>
      <c r="L11" s="2"/>
    </row>
    <row r="12" spans="1:22">
      <c r="B12"/>
      <c r="C12" s="56"/>
      <c r="D12" s="46"/>
      <c r="E12" s="46"/>
      <c r="G12" s="15"/>
      <c r="H12" s="15"/>
      <c r="I12" s="44"/>
      <c r="J12" s="44"/>
      <c r="K12" s="21"/>
      <c r="L12" s="2"/>
    </row>
    <row r="13" spans="1:22">
      <c r="B13"/>
      <c r="C13" s="56"/>
      <c r="D13" s="46"/>
      <c r="E13" s="46"/>
      <c r="G13" s="15"/>
      <c r="H13" s="15"/>
      <c r="I13" s="44"/>
      <c r="J13" s="44"/>
      <c r="K13" s="21"/>
      <c r="L13" s="2"/>
    </row>
    <row r="14" spans="1:22">
      <c r="B14"/>
      <c r="C14" s="58"/>
      <c r="D14" s="46"/>
      <c r="E14" s="46"/>
      <c r="G14" s="15"/>
      <c r="H14" s="15"/>
      <c r="I14" s="44"/>
      <c r="J14" s="44"/>
      <c r="K14" s="21"/>
      <c r="L14" s="2"/>
    </row>
    <row r="15" spans="1:22">
      <c r="B15"/>
      <c r="C15" s="58"/>
      <c r="D15" s="46"/>
      <c r="E15" s="46"/>
      <c r="G15" s="15"/>
      <c r="H15" s="15"/>
      <c r="I15" s="44"/>
      <c r="J15" s="44"/>
      <c r="K15" s="21"/>
      <c r="L15" s="2"/>
    </row>
    <row r="16" spans="1:22">
      <c r="B16"/>
      <c r="C16" s="56"/>
      <c r="D16" s="46"/>
      <c r="E16" s="46"/>
      <c r="G16" s="15"/>
      <c r="H16" s="15"/>
      <c r="I16" s="44"/>
      <c r="J16" s="44"/>
      <c r="K16" s="21"/>
      <c r="L16" s="2"/>
    </row>
    <row r="17" spans="2:12">
      <c r="B17"/>
      <c r="C17" s="56"/>
      <c r="D17" s="46"/>
      <c r="E17" s="46"/>
      <c r="G17" s="15"/>
      <c r="H17" s="15"/>
      <c r="I17" s="44"/>
      <c r="J17" s="44"/>
      <c r="K17" s="21"/>
      <c r="L17" s="2"/>
    </row>
    <row r="18" spans="2:12">
      <c r="B18"/>
      <c r="C18" s="56"/>
      <c r="D18" s="46"/>
      <c r="E18" s="46"/>
      <c r="G18" s="15"/>
      <c r="H18" s="15"/>
      <c r="I18" s="44"/>
      <c r="J18" s="44"/>
      <c r="K18" s="21"/>
      <c r="L18" s="2"/>
    </row>
    <row r="19" spans="2:12">
      <c r="B19"/>
      <c r="C19" s="56"/>
      <c r="D19" s="46"/>
      <c r="E19" s="46"/>
      <c r="G19" s="15"/>
      <c r="H19" s="15"/>
      <c r="I19" s="44"/>
      <c r="J19" s="44"/>
      <c r="K19" s="21"/>
      <c r="L19" s="2"/>
    </row>
    <row r="20" spans="2:12">
      <c r="B20"/>
      <c r="C20" s="56"/>
      <c r="D20" s="46"/>
      <c r="E20" s="46"/>
      <c r="G20" s="15"/>
      <c r="H20" s="15"/>
      <c r="I20" s="44"/>
      <c r="J20" s="44"/>
      <c r="K20" s="21"/>
      <c r="L20" s="2"/>
    </row>
    <row r="21" spans="2:12">
      <c r="B21"/>
      <c r="C21" s="56"/>
      <c r="D21" s="46"/>
      <c r="E21" s="46"/>
      <c r="G21" s="15"/>
      <c r="H21" s="15"/>
      <c r="I21" s="44"/>
      <c r="J21" s="44"/>
      <c r="K21" s="21"/>
      <c r="L21" s="2"/>
    </row>
    <row r="22" spans="2:12">
      <c r="B22"/>
      <c r="C22" s="59"/>
      <c r="D22" s="46"/>
      <c r="E22" s="46"/>
      <c r="G22" s="15"/>
      <c r="H22" s="15"/>
      <c r="I22" s="44"/>
      <c r="J22" s="44"/>
      <c r="K22" s="21"/>
      <c r="L22" s="2"/>
    </row>
    <row r="23" spans="2:12">
      <c r="B23"/>
      <c r="C23" s="56"/>
      <c r="D23" s="46"/>
      <c r="E23" s="46"/>
      <c r="G23" s="15"/>
      <c r="H23" s="15"/>
      <c r="I23" s="44"/>
      <c r="J23" s="44"/>
      <c r="K23" s="21"/>
      <c r="L23" s="2"/>
    </row>
    <row r="24" spans="2:12">
      <c r="B24"/>
      <c r="D24" s="46"/>
      <c r="E24" s="46"/>
      <c r="G24" s="15"/>
      <c r="H24" s="15"/>
      <c r="I24" s="44"/>
      <c r="J24" s="44"/>
      <c r="K24" s="21"/>
      <c r="L24" s="2"/>
    </row>
    <row r="25" spans="2:12">
      <c r="B25"/>
      <c r="D25" s="46"/>
      <c r="E25" s="46"/>
      <c r="G25" s="15"/>
      <c r="H25" s="15"/>
      <c r="I25" s="44"/>
      <c r="J25" s="44"/>
      <c r="K25" s="21"/>
      <c r="L25" s="2"/>
    </row>
    <row r="26" spans="2:12">
      <c r="B26"/>
      <c r="D26" s="46"/>
      <c r="E26" s="46"/>
      <c r="G26" s="15"/>
      <c r="H26" s="15"/>
      <c r="I26" s="44"/>
      <c r="J26" s="44"/>
      <c r="K26" s="21"/>
      <c r="L26" s="2"/>
    </row>
    <row r="27" spans="2:12">
      <c r="B27"/>
      <c r="D27" s="46"/>
      <c r="E27" s="46"/>
      <c r="G27" s="15"/>
      <c r="H27" s="15"/>
      <c r="I27" s="44"/>
      <c r="J27" s="44"/>
      <c r="K27" s="21"/>
      <c r="L27" s="2"/>
    </row>
    <row r="28" spans="2:12">
      <c r="B28"/>
      <c r="D28" s="46"/>
      <c r="E28" s="46"/>
      <c r="G28" s="15"/>
      <c r="H28" s="15"/>
      <c r="I28" s="44"/>
      <c r="J28" s="44"/>
      <c r="K28" s="21"/>
      <c r="L28" s="2"/>
    </row>
    <row r="29" spans="2:12">
      <c r="B29"/>
      <c r="D29" s="46"/>
      <c r="E29" s="46"/>
      <c r="G29" s="15"/>
      <c r="H29" s="15"/>
      <c r="I29" s="44"/>
      <c r="J29" s="44"/>
      <c r="K29" s="21"/>
      <c r="L29" s="2"/>
    </row>
    <row r="30" spans="2:12">
      <c r="B30"/>
      <c r="D30" s="46"/>
      <c r="E30" s="46"/>
      <c r="G30" s="15"/>
      <c r="H30" s="15"/>
      <c r="I30" s="44"/>
      <c r="J30" s="44"/>
      <c r="K30" s="21"/>
      <c r="L30" s="2"/>
    </row>
    <row r="31" spans="2:12">
      <c r="B31"/>
      <c r="D31" s="46"/>
      <c r="E31" s="46"/>
      <c r="G31" s="15"/>
      <c r="H31" s="15"/>
      <c r="I31" s="44"/>
      <c r="J31" s="44"/>
      <c r="K31" s="21"/>
      <c r="L31" s="2"/>
    </row>
    <row r="32" spans="2:12">
      <c r="B32"/>
      <c r="D32" s="46"/>
      <c r="E32" s="46"/>
      <c r="G32" s="15"/>
      <c r="H32" s="15"/>
      <c r="I32" s="44"/>
      <c r="J32" s="44"/>
      <c r="K32" s="21"/>
      <c r="L32" s="2"/>
    </row>
    <row r="33" spans="2:12">
      <c r="B33"/>
      <c r="D33" s="46"/>
      <c r="E33" s="46"/>
      <c r="G33" s="15"/>
      <c r="H33" s="15"/>
      <c r="I33" s="44"/>
      <c r="J33" s="44"/>
      <c r="K33" s="21"/>
      <c r="L33" s="2"/>
    </row>
    <row r="34" spans="2:12">
      <c r="B34"/>
      <c r="D34" s="46"/>
      <c r="E34" s="46"/>
      <c r="G34" s="15"/>
      <c r="H34" s="15"/>
      <c r="I34" s="44"/>
      <c r="J34" s="44"/>
      <c r="K34" s="21"/>
      <c r="L34" s="2"/>
    </row>
    <row r="35" spans="2:12">
      <c r="B35"/>
      <c r="D35" s="46"/>
      <c r="E35" s="46"/>
      <c r="G35" s="15"/>
      <c r="H35" s="15"/>
      <c r="I35" s="44"/>
      <c r="J35" s="44"/>
      <c r="K35" s="21"/>
      <c r="L35" s="2"/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20B5-7F54-4CBD-AB1E-F353BEE1D2F7}">
  <dimension ref="A1:AA943"/>
  <sheetViews>
    <sheetView workbookViewId="0">
      <selection activeCell="A4" sqref="A4:AA4"/>
    </sheetView>
  </sheetViews>
  <sheetFormatPr defaultRowHeight="15"/>
  <cols>
    <col min="1" max="1" width="9.140625" style="264"/>
    <col min="2" max="2" width="9.140625" style="39"/>
    <col min="4" max="4" width="10" style="264" customWidth="1"/>
    <col min="5" max="15" width="9.140625" style="264"/>
  </cols>
  <sheetData>
    <row r="1" spans="1:27">
      <c r="A1" s="143" t="s">
        <v>431</v>
      </c>
    </row>
    <row r="2" spans="1:27">
      <c r="A2" s="265"/>
      <c r="B2" s="266" t="s">
        <v>432</v>
      </c>
      <c r="C2" s="267"/>
      <c r="D2" s="265"/>
      <c r="E2" s="265"/>
    </row>
    <row r="3" spans="1:27">
      <c r="A3" s="265"/>
      <c r="B3" s="268"/>
      <c r="C3" s="267"/>
      <c r="D3" s="265"/>
      <c r="E3" s="265"/>
    </row>
    <row r="4" spans="1:27">
      <c r="A4" s="269" t="s">
        <v>286</v>
      </c>
      <c r="B4" s="270" t="s">
        <v>0</v>
      </c>
      <c r="C4" s="271" t="s">
        <v>421</v>
      </c>
      <c r="D4" s="272" t="s">
        <v>433</v>
      </c>
      <c r="E4" s="272" t="s">
        <v>433</v>
      </c>
      <c r="F4" s="272" t="s">
        <v>433</v>
      </c>
      <c r="G4" s="272" t="s">
        <v>433</v>
      </c>
      <c r="H4" s="272" t="s">
        <v>433</v>
      </c>
      <c r="I4" s="272" t="s">
        <v>433</v>
      </c>
      <c r="J4" s="272" t="s">
        <v>433</v>
      </c>
      <c r="K4" s="272" t="s">
        <v>433</v>
      </c>
      <c r="L4" s="272" t="s">
        <v>433</v>
      </c>
      <c r="M4" s="272" t="s">
        <v>433</v>
      </c>
      <c r="N4" s="272" t="s">
        <v>433</v>
      </c>
      <c r="O4" s="272" t="s">
        <v>433</v>
      </c>
      <c r="P4" s="272" t="s">
        <v>433</v>
      </c>
      <c r="Q4" s="272" t="s">
        <v>433</v>
      </c>
      <c r="R4" s="272" t="s">
        <v>433</v>
      </c>
      <c r="S4" s="272" t="s">
        <v>433</v>
      </c>
      <c r="T4" s="272" t="s">
        <v>433</v>
      </c>
      <c r="U4" s="272" t="s">
        <v>433</v>
      </c>
      <c r="V4" s="272" t="s">
        <v>433</v>
      </c>
      <c r="W4" s="272" t="s">
        <v>433</v>
      </c>
      <c r="X4" s="272" t="s">
        <v>433</v>
      </c>
      <c r="Y4" s="272" t="s">
        <v>433</v>
      </c>
      <c r="Z4" s="272" t="s">
        <v>433</v>
      </c>
      <c r="AA4" s="272" t="s">
        <v>433</v>
      </c>
    </row>
    <row r="5" spans="1:27">
      <c r="A5" s="273"/>
      <c r="B5" s="274"/>
      <c r="C5" s="207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</row>
    <row r="6" spans="1:27">
      <c r="A6" s="273">
        <v>3</v>
      </c>
      <c r="B6" s="274">
        <v>5</v>
      </c>
      <c r="C6" s="207" t="s">
        <v>3</v>
      </c>
      <c r="D6" s="275" t="s">
        <v>434</v>
      </c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</row>
    <row r="7" spans="1:27">
      <c r="A7" s="273"/>
      <c r="B7" s="274"/>
      <c r="C7" s="207"/>
      <c r="D7" s="275">
        <v>-8.1875999999999998</v>
      </c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</row>
    <row r="8" spans="1:27">
      <c r="A8" s="273"/>
      <c r="B8" s="274"/>
      <c r="C8" s="207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</row>
    <row r="9" spans="1:27">
      <c r="A9" s="273">
        <v>4</v>
      </c>
      <c r="B9" s="274">
        <v>5</v>
      </c>
      <c r="C9" s="207" t="s">
        <v>4</v>
      </c>
      <c r="D9" s="275" t="s">
        <v>434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</row>
    <row r="10" spans="1:27">
      <c r="A10" s="273"/>
      <c r="B10" s="274"/>
      <c r="C10" s="207"/>
      <c r="D10" s="275">
        <v>-8.8093299999999992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</row>
    <row r="11" spans="1:27">
      <c r="A11" s="273"/>
      <c r="B11" s="274"/>
      <c r="C11" s="207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</row>
    <row r="12" spans="1:27">
      <c r="A12" s="273">
        <v>6</v>
      </c>
      <c r="B12" s="274">
        <v>6</v>
      </c>
      <c r="C12" s="207" t="s">
        <v>6</v>
      </c>
      <c r="D12" s="275" t="s">
        <v>434</v>
      </c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</row>
    <row r="13" spans="1:27">
      <c r="A13" s="273"/>
      <c r="B13" s="274"/>
      <c r="C13" s="207"/>
      <c r="D13" s="275">
        <v>-11.90227</v>
      </c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</row>
    <row r="14" spans="1:27">
      <c r="A14" s="273"/>
      <c r="B14" s="274"/>
      <c r="C14" s="207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</row>
    <row r="15" spans="1:27">
      <c r="A15" s="273">
        <v>7</v>
      </c>
      <c r="B15" s="274">
        <v>6</v>
      </c>
      <c r="C15" s="207" t="s">
        <v>7</v>
      </c>
      <c r="D15" s="275" t="s">
        <v>434</v>
      </c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</row>
    <row r="16" spans="1:27">
      <c r="A16" s="273"/>
      <c r="B16" s="274"/>
      <c r="C16" s="207"/>
      <c r="D16" s="275">
        <v>-12.65469</v>
      </c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</row>
    <row r="17" spans="1:27">
      <c r="A17" s="273"/>
      <c r="B17" s="274"/>
      <c r="C17" s="207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</row>
    <row r="18" spans="1:27">
      <c r="A18" s="273">
        <v>8</v>
      </c>
      <c r="B18" s="274">
        <v>6</v>
      </c>
      <c r="C18" s="207" t="s">
        <v>8</v>
      </c>
      <c r="D18" s="275" t="s">
        <v>434</v>
      </c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</row>
    <row r="19" spans="1:27">
      <c r="A19" s="273"/>
      <c r="B19" s="274"/>
      <c r="C19" s="207"/>
      <c r="D19" s="275">
        <v>-13.484209999999999</v>
      </c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</row>
    <row r="20" spans="1:27">
      <c r="A20" s="273"/>
      <c r="B20" s="274"/>
      <c r="C20" s="207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</row>
    <row r="21" spans="1:27">
      <c r="A21" s="273">
        <v>10</v>
      </c>
      <c r="B21" s="274">
        <v>6</v>
      </c>
      <c r="C21" s="207" t="s">
        <v>306</v>
      </c>
      <c r="D21" s="275" t="s">
        <v>434</v>
      </c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</row>
    <row r="22" spans="1:27">
      <c r="A22" s="273"/>
      <c r="B22" s="274"/>
      <c r="C22" s="207"/>
      <c r="D22" s="275">
        <v>-11.372780000000001</v>
      </c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</row>
    <row r="23" spans="1:27">
      <c r="A23" s="273"/>
      <c r="B23" s="274"/>
      <c r="C23" s="207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</row>
    <row r="24" spans="1:27">
      <c r="A24" s="273">
        <v>11</v>
      </c>
      <c r="B24" s="274">
        <v>7</v>
      </c>
      <c r="C24" s="207" t="s">
        <v>10</v>
      </c>
      <c r="D24" s="275" t="s">
        <v>434</v>
      </c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</row>
    <row r="25" spans="1:27">
      <c r="A25" s="273"/>
      <c r="B25" s="274"/>
      <c r="C25" s="207"/>
      <c r="D25" s="275">
        <v>-16.304359999999999</v>
      </c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</row>
    <row r="26" spans="1:27">
      <c r="A26" s="273"/>
      <c r="B26" s="274"/>
      <c r="C26" s="207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</row>
    <row r="27" spans="1:27">
      <c r="A27" s="273">
        <v>12</v>
      </c>
      <c r="B27" s="274">
        <v>7</v>
      </c>
      <c r="C27" s="207" t="s">
        <v>11</v>
      </c>
      <c r="D27" s="275" t="s">
        <v>434</v>
      </c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</row>
    <row r="28" spans="1:27">
      <c r="A28" s="273"/>
      <c r="B28" s="274"/>
      <c r="C28" s="207"/>
      <c r="D28" s="275">
        <v>-17.12595</v>
      </c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</row>
    <row r="29" spans="1:27">
      <c r="A29" s="273"/>
      <c r="B29" s="274"/>
      <c r="C29" s="207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</row>
    <row r="30" spans="1:27">
      <c r="A30" s="273">
        <v>13</v>
      </c>
      <c r="B30" s="274">
        <v>7</v>
      </c>
      <c r="C30" s="207" t="s">
        <v>12</v>
      </c>
      <c r="D30" s="275" t="s">
        <v>434</v>
      </c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</row>
    <row r="31" spans="1:27">
      <c r="A31" s="273"/>
      <c r="B31" s="274"/>
      <c r="C31" s="207"/>
      <c r="D31" s="275">
        <v>-18.128540000000001</v>
      </c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</row>
    <row r="32" spans="1:27">
      <c r="A32" s="273"/>
      <c r="B32" s="274"/>
      <c r="C32" s="207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</row>
    <row r="33" spans="1:27">
      <c r="A33" s="273">
        <v>14</v>
      </c>
      <c r="B33" s="274">
        <v>7</v>
      </c>
      <c r="C33" s="207" t="s">
        <v>13</v>
      </c>
      <c r="D33" s="275" t="s">
        <v>434</v>
      </c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</row>
    <row r="34" spans="1:27">
      <c r="A34" s="273"/>
      <c r="B34" s="274"/>
      <c r="C34" s="207"/>
      <c r="D34" s="275">
        <v>-19.162559999999999</v>
      </c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</row>
    <row r="35" spans="1:27">
      <c r="A35" s="273"/>
      <c r="B35" s="274"/>
      <c r="C35" s="207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</row>
    <row r="36" spans="1:27">
      <c r="A36" s="273">
        <v>16</v>
      </c>
      <c r="B36" s="274">
        <v>8</v>
      </c>
      <c r="C36" s="207" t="s">
        <v>15</v>
      </c>
      <c r="D36" s="275" t="s">
        <v>434</v>
      </c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</row>
    <row r="37" spans="1:27">
      <c r="A37" s="273"/>
      <c r="B37" s="274"/>
      <c r="C37" s="207"/>
      <c r="D37" s="275">
        <v>-21.395679999999999</v>
      </c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</row>
    <row r="38" spans="1:27">
      <c r="A38" s="273"/>
      <c r="B38" s="274"/>
      <c r="C38" s="207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</row>
    <row r="39" spans="1:27">
      <c r="A39" s="273">
        <v>17</v>
      </c>
      <c r="B39" s="274">
        <v>8</v>
      </c>
      <c r="C39" s="207" t="s">
        <v>16</v>
      </c>
      <c r="D39" s="275" t="s">
        <v>434</v>
      </c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</row>
    <row r="40" spans="1:27">
      <c r="A40" s="273"/>
      <c r="B40" s="274"/>
      <c r="C40" s="207"/>
      <c r="D40" s="275">
        <v>-22.287330000000001</v>
      </c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</row>
    <row r="41" spans="1:27">
      <c r="A41" s="273"/>
      <c r="B41" s="274"/>
      <c r="C41" s="207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</row>
    <row r="42" spans="1:27">
      <c r="A42" s="273">
        <v>18</v>
      </c>
      <c r="B42" s="274">
        <v>8</v>
      </c>
      <c r="C42" s="207" t="s">
        <v>326</v>
      </c>
      <c r="D42" s="275" t="s">
        <v>434</v>
      </c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</row>
    <row r="43" spans="1:27">
      <c r="A43" s="273"/>
      <c r="B43" s="274"/>
      <c r="C43" s="207"/>
      <c r="D43" s="275">
        <v>-20.214169999999999</v>
      </c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</row>
    <row r="44" spans="1:27">
      <c r="A44" s="273"/>
      <c r="B44" s="274"/>
      <c r="C44" s="207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</row>
    <row r="45" spans="1:27">
      <c r="A45" s="273">
        <v>19</v>
      </c>
      <c r="B45" s="274">
        <v>9</v>
      </c>
      <c r="C45" s="207" t="s">
        <v>328</v>
      </c>
      <c r="D45" s="275" t="s">
        <v>434</v>
      </c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</row>
    <row r="46" spans="1:27">
      <c r="A46" s="273"/>
      <c r="B46" s="274"/>
      <c r="C46" s="207"/>
      <c r="D46" s="275">
        <v>-25.855049999999999</v>
      </c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</row>
    <row r="47" spans="1:27">
      <c r="A47" s="273"/>
      <c r="B47" s="274"/>
      <c r="C47" s="207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</row>
    <row r="48" spans="1:27">
      <c r="A48" s="273">
        <v>20</v>
      </c>
      <c r="B48" s="274">
        <v>11</v>
      </c>
      <c r="C48" s="207" t="s">
        <v>17</v>
      </c>
      <c r="D48" s="275" t="s">
        <v>434</v>
      </c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</row>
    <row r="49" spans="1:27">
      <c r="A49" s="273"/>
      <c r="B49" s="274"/>
      <c r="C49" s="207"/>
      <c r="D49" s="275">
        <v>-40.819189999999999</v>
      </c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</row>
    <row r="50" spans="1:27">
      <c r="A50" s="273"/>
      <c r="B50" s="274"/>
      <c r="C50" s="207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</row>
    <row r="51" spans="1:27">
      <c r="A51" s="273">
        <v>21</v>
      </c>
      <c r="B51" s="274">
        <v>12</v>
      </c>
      <c r="C51" s="207" t="s">
        <v>329</v>
      </c>
      <c r="D51" s="275" t="s">
        <v>434</v>
      </c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</row>
    <row r="52" spans="1:27">
      <c r="A52" s="273"/>
      <c r="B52" s="274"/>
      <c r="C52" s="207"/>
      <c r="D52" s="275">
        <v>-49.855119999999999</v>
      </c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</row>
    <row r="53" spans="1:27">
      <c r="A53" s="273"/>
      <c r="B53" s="274"/>
      <c r="C53" s="207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</row>
    <row r="54" spans="1:27">
      <c r="A54" s="273">
        <v>22</v>
      </c>
      <c r="B54" s="274">
        <v>13</v>
      </c>
      <c r="C54" s="207" t="s">
        <v>18</v>
      </c>
      <c r="D54" s="275" t="s">
        <v>434</v>
      </c>
      <c r="E54" s="275" t="s">
        <v>435</v>
      </c>
      <c r="F54" s="275" t="s">
        <v>436</v>
      </c>
      <c r="G54" s="275" t="s">
        <v>437</v>
      </c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</row>
    <row r="55" spans="1:27">
      <c r="A55" s="273"/>
      <c r="B55" s="274"/>
      <c r="C55" s="207"/>
      <c r="D55" s="275">
        <v>-58.932380000000002</v>
      </c>
      <c r="E55" s="275">
        <v>-5.2362000000000002</v>
      </c>
      <c r="F55" s="275">
        <v>-3.5325500000000001</v>
      </c>
      <c r="G55" s="275">
        <v>-3.5149499999999998</v>
      </c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</row>
    <row r="56" spans="1:27">
      <c r="A56" s="273"/>
      <c r="B56" s="274"/>
      <c r="C56" s="207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</row>
    <row r="57" spans="1:27">
      <c r="A57" s="273">
        <v>23</v>
      </c>
      <c r="B57" s="274">
        <v>13</v>
      </c>
      <c r="C57" s="207" t="s">
        <v>330</v>
      </c>
      <c r="D57" s="275" t="s">
        <v>434</v>
      </c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</row>
    <row r="58" spans="1:27">
      <c r="A58" s="273"/>
      <c r="B58" s="274"/>
      <c r="C58" s="207"/>
      <c r="D58" s="275">
        <v>-59.913080000000001</v>
      </c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</row>
    <row r="59" spans="1:27">
      <c r="A59" s="273"/>
      <c r="B59" s="274"/>
      <c r="C59" s="207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</row>
    <row r="60" spans="1:27">
      <c r="A60" s="273">
        <v>24</v>
      </c>
      <c r="B60" s="274">
        <v>14</v>
      </c>
      <c r="C60" s="207" t="s">
        <v>19</v>
      </c>
      <c r="D60" s="275" t="s">
        <v>434</v>
      </c>
      <c r="E60" s="275" t="s">
        <v>435</v>
      </c>
      <c r="F60" s="275" t="s">
        <v>436</v>
      </c>
      <c r="G60" s="275" t="s">
        <v>437</v>
      </c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</row>
    <row r="61" spans="1:27">
      <c r="A61" s="273"/>
      <c r="B61" s="274"/>
      <c r="C61" s="207"/>
      <c r="D61" s="275">
        <v>-69.338489999999993</v>
      </c>
      <c r="E61" s="275">
        <v>-6.5389900000000001</v>
      </c>
      <c r="F61" s="275">
        <v>-4.6244899999999998</v>
      </c>
      <c r="G61" s="275">
        <v>-4.5990399999999996</v>
      </c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</row>
    <row r="62" spans="1:27">
      <c r="A62" s="273"/>
      <c r="B62" s="274"/>
      <c r="C62" s="207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</row>
    <row r="63" spans="1:27">
      <c r="A63" s="273">
        <v>25</v>
      </c>
      <c r="B63" s="274">
        <v>14</v>
      </c>
      <c r="C63" s="207" t="s">
        <v>20</v>
      </c>
      <c r="D63" s="275" t="s">
        <v>434</v>
      </c>
      <c r="E63" s="275" t="s">
        <v>435</v>
      </c>
      <c r="F63" s="275" t="s">
        <v>436</v>
      </c>
      <c r="G63" s="275" t="s">
        <v>437</v>
      </c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</row>
    <row r="64" spans="1:27">
      <c r="A64" s="273"/>
      <c r="B64" s="274"/>
      <c r="C64" s="207"/>
      <c r="D64" s="275">
        <v>-69.78725</v>
      </c>
      <c r="E64" s="275">
        <v>-6.9733000000000001</v>
      </c>
      <c r="F64" s="275">
        <v>-5.0559000000000003</v>
      </c>
      <c r="G64" s="275">
        <v>-5.0304000000000002</v>
      </c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</row>
    <row r="65" spans="1:27">
      <c r="A65" s="273"/>
      <c r="B65" s="274"/>
      <c r="C65" s="207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</row>
    <row r="66" spans="1:27">
      <c r="A66" s="273">
        <v>26</v>
      </c>
      <c r="B66" s="274">
        <v>14</v>
      </c>
      <c r="C66" s="207" t="s">
        <v>21</v>
      </c>
      <c r="D66" s="275" t="s">
        <v>434</v>
      </c>
      <c r="E66" s="275" t="s">
        <v>435</v>
      </c>
      <c r="F66" s="275" t="s">
        <v>436</v>
      </c>
      <c r="G66" s="275" t="s">
        <v>437</v>
      </c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</row>
    <row r="67" spans="1:27">
      <c r="A67" s="273"/>
      <c r="B67" s="274"/>
      <c r="C67" s="207"/>
      <c r="D67" s="275">
        <v>-70.354579999999999</v>
      </c>
      <c r="E67" s="275">
        <v>-7.5106999999999999</v>
      </c>
      <c r="F67" s="275">
        <v>-5.6033999999999997</v>
      </c>
      <c r="G67" s="275">
        <v>-5.5777999999999999</v>
      </c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</row>
    <row r="68" spans="1:27">
      <c r="A68" s="273"/>
      <c r="B68" s="274"/>
      <c r="C68" s="207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</row>
    <row r="69" spans="1:27">
      <c r="A69" s="273">
        <v>27</v>
      </c>
      <c r="B69" s="274">
        <v>14</v>
      </c>
      <c r="C69" s="207" t="s">
        <v>22</v>
      </c>
      <c r="D69" s="275" t="s">
        <v>434</v>
      </c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</row>
    <row r="70" spans="1:27">
      <c r="A70" s="273"/>
      <c r="B70" s="274"/>
      <c r="C70" s="207"/>
      <c r="D70" s="275">
        <v>-70.990579999999994</v>
      </c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</row>
    <row r="71" spans="1:27">
      <c r="A71" s="273"/>
      <c r="B71" s="274"/>
      <c r="C71" s="207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</row>
    <row r="72" spans="1:27">
      <c r="A72" s="273">
        <v>28</v>
      </c>
      <c r="B72" s="274">
        <v>14</v>
      </c>
      <c r="C72" s="207" t="s">
        <v>331</v>
      </c>
      <c r="D72" s="275" t="s">
        <v>434</v>
      </c>
      <c r="E72" s="275" t="s">
        <v>435</v>
      </c>
      <c r="F72" s="275" t="s">
        <v>436</v>
      </c>
      <c r="G72" s="275" t="s">
        <v>437</v>
      </c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</row>
    <row r="73" spans="1:27">
      <c r="A73" s="273"/>
      <c r="B73" s="274"/>
      <c r="C73" s="207"/>
      <c r="D73" s="275">
        <v>-69.052369999999996</v>
      </c>
      <c r="E73" s="275">
        <v>-6.2504900000000001</v>
      </c>
      <c r="F73" s="275">
        <v>-4.3476499999999998</v>
      </c>
      <c r="G73" s="275">
        <v>-4.3222100000000001</v>
      </c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</row>
    <row r="74" spans="1:27">
      <c r="A74" s="273"/>
      <c r="B74" s="274"/>
      <c r="C74" s="207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</row>
    <row r="75" spans="1:27">
      <c r="A75" s="273">
        <v>29</v>
      </c>
      <c r="B75" s="274">
        <v>15</v>
      </c>
      <c r="C75" s="207" t="s">
        <v>23</v>
      </c>
      <c r="D75" s="275" t="s">
        <v>434</v>
      </c>
      <c r="E75" s="275" t="s">
        <v>435</v>
      </c>
      <c r="F75" s="275" t="s">
        <v>436</v>
      </c>
      <c r="G75" s="275" t="s">
        <v>437</v>
      </c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</row>
    <row r="76" spans="1:27">
      <c r="A76" s="273"/>
      <c r="B76" s="274"/>
      <c r="C76" s="207"/>
      <c r="D76" s="275">
        <v>-80.606970000000004</v>
      </c>
      <c r="E76" s="275">
        <v>-7.95709</v>
      </c>
      <c r="F76" s="275">
        <v>-5.82958</v>
      </c>
      <c r="G76" s="275">
        <v>-5.7938700000000001</v>
      </c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</row>
    <row r="77" spans="1:27">
      <c r="A77" s="273"/>
      <c r="B77" s="274"/>
      <c r="C77" s="207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</row>
    <row r="78" spans="1:27">
      <c r="A78" s="273">
        <v>30</v>
      </c>
      <c r="B78" s="274">
        <v>15</v>
      </c>
      <c r="C78" s="207" t="s">
        <v>24</v>
      </c>
      <c r="D78" s="275" t="s">
        <v>434</v>
      </c>
      <c r="E78" s="275" t="s">
        <v>435</v>
      </c>
      <c r="F78" s="275" t="s">
        <v>436</v>
      </c>
      <c r="G78" s="275" t="s">
        <v>437</v>
      </c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</row>
    <row r="79" spans="1:27">
      <c r="A79" s="273"/>
      <c r="B79" s="274"/>
      <c r="C79" s="207"/>
      <c r="D79" s="275">
        <v>-81.096119999999999</v>
      </c>
      <c r="E79" s="275">
        <v>-8.4307400000000001</v>
      </c>
      <c r="F79" s="275">
        <v>-6.3007400000000002</v>
      </c>
      <c r="G79" s="275">
        <v>-6.2649600000000003</v>
      </c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</row>
    <row r="80" spans="1:27">
      <c r="A80" s="273"/>
      <c r="B80" s="274"/>
      <c r="C80" s="207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</row>
    <row r="81" spans="1:27">
      <c r="A81" s="273">
        <v>31</v>
      </c>
      <c r="B81" s="274">
        <v>15</v>
      </c>
      <c r="C81" s="207" t="s">
        <v>25</v>
      </c>
      <c r="D81" s="275" t="s">
        <v>434</v>
      </c>
      <c r="E81" s="275" t="s">
        <v>435</v>
      </c>
      <c r="F81" s="275" t="s">
        <v>436</v>
      </c>
      <c r="G81" s="275" t="s">
        <v>437</v>
      </c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</row>
    <row r="82" spans="1:27">
      <c r="A82" s="273"/>
      <c r="B82" s="274"/>
      <c r="C82" s="207"/>
      <c r="D82" s="275">
        <v>-81.67004</v>
      </c>
      <c r="E82" s="275">
        <v>-8.9778800000000007</v>
      </c>
      <c r="F82" s="275">
        <v>-6.8452999999999999</v>
      </c>
      <c r="G82" s="275">
        <v>-6.8094000000000001</v>
      </c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</row>
    <row r="83" spans="1:27">
      <c r="A83" s="273"/>
      <c r="B83" s="274"/>
      <c r="C83" s="207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</row>
    <row r="84" spans="1:27">
      <c r="A84" s="273">
        <v>32</v>
      </c>
      <c r="B84" s="274">
        <v>15</v>
      </c>
      <c r="C84" s="207" t="s">
        <v>26</v>
      </c>
      <c r="D84" s="275" t="s">
        <v>434</v>
      </c>
      <c r="E84" s="275" t="s">
        <v>435</v>
      </c>
      <c r="F84" s="275" t="s">
        <v>436</v>
      </c>
      <c r="G84" s="275" t="s">
        <v>437</v>
      </c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</row>
    <row r="85" spans="1:27">
      <c r="A85" s="273"/>
      <c r="B85" s="274"/>
      <c r="C85" s="207"/>
      <c r="D85" s="275">
        <v>-82.3459</v>
      </c>
      <c r="E85" s="275">
        <v>-9.6099700000000006</v>
      </c>
      <c r="F85" s="275">
        <v>-7.4915399999999996</v>
      </c>
      <c r="G85" s="275">
        <v>-7.4554900000000002</v>
      </c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</row>
    <row r="86" spans="1:27">
      <c r="A86" s="273"/>
      <c r="B86" s="274"/>
      <c r="C86" s="207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</row>
    <row r="87" spans="1:27">
      <c r="A87" s="273">
        <v>33</v>
      </c>
      <c r="B87" s="274">
        <v>15</v>
      </c>
      <c r="C87" s="207" t="s">
        <v>27</v>
      </c>
      <c r="D87" s="275" t="s">
        <v>434</v>
      </c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</row>
    <row r="88" spans="1:27">
      <c r="A88" s="273"/>
      <c r="B88" s="274"/>
      <c r="C88" s="207"/>
      <c r="D88" s="275">
        <v>-83.087069999999997</v>
      </c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</row>
    <row r="89" spans="1:27">
      <c r="A89" s="273"/>
      <c r="B89" s="274"/>
      <c r="C89" s="207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</row>
    <row r="90" spans="1:27">
      <c r="A90" s="273">
        <v>34</v>
      </c>
      <c r="B90" s="274">
        <v>16</v>
      </c>
      <c r="C90" s="207" t="s">
        <v>28</v>
      </c>
      <c r="D90" s="275" t="s">
        <v>434</v>
      </c>
      <c r="E90" s="275" t="s">
        <v>435</v>
      </c>
      <c r="F90" s="275" t="s">
        <v>436</v>
      </c>
      <c r="G90" s="275" t="s">
        <v>437</v>
      </c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</row>
    <row r="91" spans="1:27">
      <c r="A91" s="273"/>
      <c r="B91" s="274"/>
      <c r="C91" s="207"/>
      <c r="D91" s="275">
        <v>-92.740700000000004</v>
      </c>
      <c r="E91" s="275">
        <v>-9.4930199999999996</v>
      </c>
      <c r="F91" s="275">
        <v>-7.1501000000000001</v>
      </c>
      <c r="G91" s="275">
        <v>-7.1012700000000004</v>
      </c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</row>
    <row r="92" spans="1:27">
      <c r="A92" s="273"/>
      <c r="B92" s="274"/>
      <c r="C92" s="207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</row>
    <row r="93" spans="1:27">
      <c r="A93" s="273">
        <v>35</v>
      </c>
      <c r="B93" s="274">
        <v>16</v>
      </c>
      <c r="C93" s="207" t="s">
        <v>29</v>
      </c>
      <c r="D93" s="275" t="s">
        <v>434</v>
      </c>
      <c r="E93" s="275" t="s">
        <v>435</v>
      </c>
      <c r="F93" s="275" t="s">
        <v>436</v>
      </c>
      <c r="G93" s="275" t="s">
        <v>437</v>
      </c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</row>
    <row r="94" spans="1:27">
      <c r="A94" s="273"/>
      <c r="B94" s="274"/>
      <c r="C94" s="207"/>
      <c r="D94" s="275">
        <v>-93.270290000000003</v>
      </c>
      <c r="E94" s="275">
        <v>-10.006159999999999</v>
      </c>
      <c r="F94" s="275">
        <v>-7.6610800000000001</v>
      </c>
      <c r="G94" s="275">
        <v>-7.6121800000000004</v>
      </c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</row>
    <row r="95" spans="1:27">
      <c r="A95" s="273"/>
      <c r="B95" s="274"/>
      <c r="C95" s="207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</row>
    <row r="96" spans="1:27">
      <c r="A96" s="273">
        <v>36</v>
      </c>
      <c r="B96" s="274">
        <v>16</v>
      </c>
      <c r="C96" s="207" t="s">
        <v>30</v>
      </c>
      <c r="D96" s="275" t="s">
        <v>434</v>
      </c>
      <c r="E96" s="275" t="s">
        <v>435</v>
      </c>
      <c r="F96" s="275" t="s">
        <v>436</v>
      </c>
      <c r="G96" s="275" t="s">
        <v>437</v>
      </c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</row>
    <row r="97" spans="1:27">
      <c r="A97" s="273"/>
      <c r="B97" s="274"/>
      <c r="C97" s="207"/>
      <c r="D97" s="275">
        <v>-93.883579999999995</v>
      </c>
      <c r="E97" s="275">
        <v>-10.59173</v>
      </c>
      <c r="F97" s="275">
        <v>-8.2445900000000005</v>
      </c>
      <c r="G97" s="275">
        <v>-8.1955500000000008</v>
      </c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</row>
    <row r="98" spans="1:27">
      <c r="A98" s="273"/>
      <c r="B98" s="274"/>
      <c r="C98" s="207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</row>
    <row r="99" spans="1:27">
      <c r="A99" s="273">
        <v>37</v>
      </c>
      <c r="B99" s="274">
        <v>16</v>
      </c>
      <c r="C99" s="207" t="s">
        <v>31</v>
      </c>
      <c r="D99" s="275" t="s">
        <v>434</v>
      </c>
      <c r="E99" s="275" t="s">
        <v>435</v>
      </c>
      <c r="F99" s="275" t="s">
        <v>436</v>
      </c>
      <c r="G99" s="275" t="s">
        <v>437</v>
      </c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</row>
    <row r="100" spans="1:27">
      <c r="A100" s="273"/>
      <c r="B100" s="274"/>
      <c r="C100" s="207"/>
      <c r="D100" s="275">
        <v>-94.577119999999994</v>
      </c>
      <c r="E100" s="275">
        <v>-11.244669999999999</v>
      </c>
      <c r="F100" s="275">
        <v>-8.8957300000000004</v>
      </c>
      <c r="G100" s="275">
        <v>-8.8464899999999993</v>
      </c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</row>
    <row r="101" spans="1:27">
      <c r="A101" s="273"/>
      <c r="B101" s="274"/>
      <c r="C101" s="207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</row>
    <row r="102" spans="1:27">
      <c r="A102" s="273">
        <v>38</v>
      </c>
      <c r="B102" s="274">
        <v>16</v>
      </c>
      <c r="C102" s="207" t="s">
        <v>32</v>
      </c>
      <c r="D102" s="275" t="s">
        <v>434</v>
      </c>
      <c r="E102" s="275" t="s">
        <v>435</v>
      </c>
      <c r="F102" s="275" t="s">
        <v>436</v>
      </c>
      <c r="G102" s="275" t="s">
        <v>437</v>
      </c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</row>
    <row r="103" spans="1:27">
      <c r="A103" s="273"/>
      <c r="B103" s="274"/>
      <c r="C103" s="207"/>
      <c r="D103" s="275">
        <v>-95.358379999999997</v>
      </c>
      <c r="E103" s="275">
        <v>-11.96767</v>
      </c>
      <c r="F103" s="275">
        <v>-9.6371000000000002</v>
      </c>
      <c r="G103" s="275">
        <v>-9.5876300000000008</v>
      </c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</row>
    <row r="104" spans="1:27">
      <c r="A104" s="273"/>
      <c r="B104" s="274"/>
      <c r="C104" s="207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</row>
    <row r="105" spans="1:27">
      <c r="A105" s="273">
        <v>39</v>
      </c>
      <c r="B105" s="274">
        <v>16</v>
      </c>
      <c r="C105" s="207" t="s">
        <v>33</v>
      </c>
      <c r="D105" s="275" t="s">
        <v>434</v>
      </c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</row>
    <row r="106" spans="1:27">
      <c r="A106" s="273"/>
      <c r="B106" s="274"/>
      <c r="C106" s="207"/>
      <c r="D106" s="275">
        <v>-96.203000000000003</v>
      </c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</row>
    <row r="107" spans="1:27">
      <c r="A107" s="273"/>
      <c r="B107" s="274"/>
      <c r="C107" s="207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</row>
    <row r="108" spans="1:27">
      <c r="A108" s="273">
        <v>40</v>
      </c>
      <c r="B108" s="274">
        <v>17</v>
      </c>
      <c r="C108" s="207" t="s">
        <v>34</v>
      </c>
      <c r="D108" s="275" t="s">
        <v>434</v>
      </c>
      <c r="E108" s="275" t="s">
        <v>435</v>
      </c>
      <c r="F108" s="275" t="s">
        <v>436</v>
      </c>
      <c r="G108" s="275" t="s">
        <v>437</v>
      </c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</row>
    <row r="109" spans="1:27">
      <c r="A109" s="273"/>
      <c r="B109" s="274"/>
      <c r="C109" s="207"/>
      <c r="D109" s="275">
        <v>-105.74226</v>
      </c>
      <c r="E109" s="275">
        <v>-11.14851</v>
      </c>
      <c r="F109" s="275">
        <v>-8.5875800000000009</v>
      </c>
      <c r="G109" s="275">
        <v>-8.5222800000000003</v>
      </c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</row>
    <row r="110" spans="1:27">
      <c r="A110" s="273"/>
      <c r="B110" s="274"/>
      <c r="C110" s="207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</row>
    <row r="111" spans="1:27">
      <c r="A111" s="273">
        <v>41</v>
      </c>
      <c r="B111" s="274">
        <v>17</v>
      </c>
      <c r="C111" s="207" t="s">
        <v>35</v>
      </c>
      <c r="D111" s="275" t="s">
        <v>434</v>
      </c>
      <c r="E111" s="275" t="s">
        <v>435</v>
      </c>
      <c r="F111" s="275" t="s">
        <v>436</v>
      </c>
      <c r="G111" s="275" t="s">
        <v>437</v>
      </c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</row>
    <row r="112" spans="1:27">
      <c r="A112" s="273"/>
      <c r="B112" s="274"/>
      <c r="C112" s="207"/>
      <c r="D112" s="275">
        <v>-106.31224</v>
      </c>
      <c r="E112" s="275">
        <v>-11.701169999999999</v>
      </c>
      <c r="F112" s="275">
        <v>-9.1383600000000005</v>
      </c>
      <c r="G112" s="275">
        <v>-9.0729900000000008</v>
      </c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</row>
    <row r="113" spans="1:27">
      <c r="A113" s="273"/>
      <c r="B113" s="274"/>
      <c r="C113" s="207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</row>
    <row r="114" spans="1:27">
      <c r="A114" s="273">
        <v>42</v>
      </c>
      <c r="B114" s="274">
        <v>17</v>
      </c>
      <c r="C114" s="207" t="s">
        <v>36</v>
      </c>
      <c r="D114" s="275" t="s">
        <v>434</v>
      </c>
      <c r="E114" s="275" t="s">
        <v>435</v>
      </c>
      <c r="F114" s="275" t="s">
        <v>436</v>
      </c>
      <c r="G114" s="275" t="s">
        <v>437</v>
      </c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</row>
    <row r="115" spans="1:27">
      <c r="A115" s="273"/>
      <c r="B115" s="274"/>
      <c r="C115" s="207"/>
      <c r="D115" s="275">
        <v>-106.96518</v>
      </c>
      <c r="E115" s="275">
        <v>-12.325530000000001</v>
      </c>
      <c r="F115" s="275">
        <v>-9.7610899999999994</v>
      </c>
      <c r="G115" s="275">
        <v>-9.6955799999999996</v>
      </c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</row>
    <row r="116" spans="1:27">
      <c r="A116" s="273"/>
      <c r="B116" s="274"/>
      <c r="C116" s="207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</row>
    <row r="117" spans="1:27">
      <c r="A117" s="273">
        <v>43</v>
      </c>
      <c r="B117" s="274">
        <v>17</v>
      </c>
      <c r="C117" s="207" t="s">
        <v>37</v>
      </c>
      <c r="D117" s="275" t="s">
        <v>434</v>
      </c>
      <c r="E117" s="275" t="s">
        <v>435</v>
      </c>
      <c r="F117" s="275" t="s">
        <v>436</v>
      </c>
      <c r="G117" s="275" t="s">
        <v>437</v>
      </c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</row>
    <row r="118" spans="1:27">
      <c r="A118" s="273"/>
      <c r="B118" s="274"/>
      <c r="C118" s="207"/>
      <c r="D118" s="275">
        <v>-107.69767</v>
      </c>
      <c r="E118" s="275">
        <v>-13.016690000000001</v>
      </c>
      <c r="F118" s="275">
        <v>-10.45102</v>
      </c>
      <c r="G118" s="275">
        <v>-10.38528</v>
      </c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</row>
    <row r="119" spans="1:27">
      <c r="A119" s="273"/>
      <c r="B119" s="274"/>
      <c r="C119" s="207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</row>
    <row r="120" spans="1:27">
      <c r="A120" s="273">
        <v>44</v>
      </c>
      <c r="B120" s="274">
        <v>17</v>
      </c>
      <c r="C120" s="207" t="s">
        <v>38</v>
      </c>
      <c r="D120" s="275" t="s">
        <v>434</v>
      </c>
      <c r="E120" s="275" t="s">
        <v>435</v>
      </c>
      <c r="F120" s="275" t="s">
        <v>436</v>
      </c>
      <c r="G120" s="275" t="s">
        <v>437</v>
      </c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</row>
    <row r="121" spans="1:27">
      <c r="A121" s="273"/>
      <c r="B121" s="274"/>
      <c r="C121" s="207"/>
      <c r="D121" s="275">
        <v>-108.50769</v>
      </c>
      <c r="E121" s="275">
        <v>-13.771319999999999</v>
      </c>
      <c r="F121" s="275">
        <v>-11.204980000000001</v>
      </c>
      <c r="G121" s="275">
        <v>-11.13894</v>
      </c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</row>
    <row r="122" spans="1:27">
      <c r="A122" s="273"/>
      <c r="B122" s="274"/>
      <c r="C122" s="207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</row>
    <row r="123" spans="1:27">
      <c r="A123" s="273">
        <v>45</v>
      </c>
      <c r="B123" s="274">
        <v>17</v>
      </c>
      <c r="C123" s="207" t="s">
        <v>39</v>
      </c>
      <c r="D123" s="275" t="s">
        <v>434</v>
      </c>
      <c r="E123" s="275" t="s">
        <v>435</v>
      </c>
      <c r="F123" s="275" t="s">
        <v>436</v>
      </c>
      <c r="G123" s="275" t="s">
        <v>437</v>
      </c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</row>
    <row r="124" spans="1:27">
      <c r="A124" s="273"/>
      <c r="B124" s="274"/>
      <c r="C124" s="207"/>
      <c r="D124" s="275">
        <v>-109.39259</v>
      </c>
      <c r="E124" s="275">
        <v>-14.58292</v>
      </c>
      <c r="F124" s="275">
        <v>-12.039300000000001</v>
      </c>
      <c r="G124" s="275">
        <v>-11.97293</v>
      </c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</row>
    <row r="125" spans="1:27">
      <c r="A125" s="273"/>
      <c r="B125" s="274"/>
      <c r="C125" s="207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</row>
    <row r="126" spans="1:27">
      <c r="A126" s="273">
        <v>46</v>
      </c>
      <c r="B126" s="274">
        <v>17</v>
      </c>
      <c r="C126" s="207" t="s">
        <v>40</v>
      </c>
      <c r="D126" s="275" t="s">
        <v>434</v>
      </c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</row>
    <row r="127" spans="1:27">
      <c r="A127" s="273"/>
      <c r="B127" s="274"/>
      <c r="C127" s="207"/>
      <c r="D127" s="275">
        <v>-110.33947999999999</v>
      </c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</row>
    <row r="128" spans="1:27">
      <c r="A128" s="273"/>
      <c r="B128" s="274"/>
      <c r="C128" s="207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</row>
    <row r="129" spans="1:27">
      <c r="A129" s="273">
        <v>47</v>
      </c>
      <c r="B129" s="274">
        <v>17</v>
      </c>
      <c r="C129" s="207" t="s">
        <v>332</v>
      </c>
      <c r="D129" s="275" t="s">
        <v>434</v>
      </c>
      <c r="E129" s="275" t="s">
        <v>435</v>
      </c>
      <c r="F129" s="275" t="s">
        <v>436</v>
      </c>
      <c r="G129" s="275" t="s">
        <v>437</v>
      </c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</row>
    <row r="130" spans="1:27">
      <c r="A130" s="273"/>
      <c r="B130" s="274"/>
      <c r="C130" s="207"/>
      <c r="D130" s="275">
        <v>-104.88394</v>
      </c>
      <c r="E130" s="275">
        <v>-10.298</v>
      </c>
      <c r="F130" s="275">
        <v>-7.7406899999999998</v>
      </c>
      <c r="G130" s="275">
        <v>-7.6752500000000001</v>
      </c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</row>
    <row r="131" spans="1:27">
      <c r="A131" s="273"/>
      <c r="B131" s="274"/>
      <c r="C131" s="207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</row>
    <row r="132" spans="1:27">
      <c r="A132" s="273">
        <v>48</v>
      </c>
      <c r="B132" s="274">
        <v>19</v>
      </c>
      <c r="C132" s="207" t="s">
        <v>41</v>
      </c>
      <c r="D132" s="275" t="s">
        <v>434</v>
      </c>
      <c r="E132" s="275" t="s">
        <v>435</v>
      </c>
      <c r="F132" s="275" t="s">
        <v>436</v>
      </c>
      <c r="G132" s="275" t="s">
        <v>437</v>
      </c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</row>
    <row r="133" spans="1:27">
      <c r="A133" s="273"/>
      <c r="B133" s="274"/>
      <c r="C133" s="207"/>
      <c r="D133" s="275">
        <v>-134.35887</v>
      </c>
      <c r="E133" s="275">
        <v>-14.82324</v>
      </c>
      <c r="F133" s="275">
        <v>-11.817780000000001</v>
      </c>
      <c r="G133" s="275">
        <v>-11.70734</v>
      </c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</row>
    <row r="134" spans="1:27">
      <c r="A134" s="273"/>
      <c r="B134" s="274"/>
      <c r="C134" s="207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</row>
    <row r="135" spans="1:27">
      <c r="A135" s="273">
        <v>49</v>
      </c>
      <c r="B135" s="274">
        <v>20</v>
      </c>
      <c r="C135" s="207" t="s">
        <v>333</v>
      </c>
      <c r="D135" s="275" t="s">
        <v>434</v>
      </c>
      <c r="E135" s="275" t="s">
        <v>435</v>
      </c>
      <c r="F135" s="275" t="s">
        <v>436</v>
      </c>
      <c r="G135" s="275" t="s">
        <v>437</v>
      </c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</row>
    <row r="136" spans="1:27">
      <c r="A136" s="273"/>
      <c r="B136" s="274"/>
      <c r="C136" s="207"/>
      <c r="D136" s="275">
        <v>-150.66985</v>
      </c>
      <c r="E136" s="275">
        <v>-17.515609999999999</v>
      </c>
      <c r="F136" s="275">
        <v>-14.28214</v>
      </c>
      <c r="G136" s="275">
        <v>-14.14181</v>
      </c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</row>
    <row r="137" spans="1:27">
      <c r="A137" s="273"/>
      <c r="B137" s="274"/>
      <c r="C137" s="207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</row>
    <row r="138" spans="1:27">
      <c r="A138" s="273">
        <v>50</v>
      </c>
      <c r="B138" s="274">
        <v>21</v>
      </c>
      <c r="C138" s="207" t="s">
        <v>42</v>
      </c>
      <c r="D138" s="275" t="s">
        <v>434</v>
      </c>
      <c r="E138" s="275" t="s">
        <v>435</v>
      </c>
      <c r="F138" s="275" t="s">
        <v>436</v>
      </c>
      <c r="G138" s="275" t="s">
        <v>437</v>
      </c>
      <c r="H138" s="275" t="s">
        <v>438</v>
      </c>
      <c r="I138" s="275" t="s">
        <v>439</v>
      </c>
      <c r="J138" s="275" t="s">
        <v>440</v>
      </c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</row>
    <row r="139" spans="1:27">
      <c r="A139" s="273"/>
      <c r="B139" s="274"/>
      <c r="C139" s="207"/>
      <c r="D139" s="275">
        <v>-167.08375000000001</v>
      </c>
      <c r="E139" s="275">
        <v>-19.516999999999999</v>
      </c>
      <c r="F139" s="275">
        <v>-16.05489</v>
      </c>
      <c r="G139" s="275">
        <v>-15.878690000000001</v>
      </c>
      <c r="H139" s="275">
        <v>-2.8408799999999998</v>
      </c>
      <c r="I139" s="275">
        <v>-1.8397699999999999</v>
      </c>
      <c r="J139" s="275">
        <v>-1.8194600000000001</v>
      </c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</row>
    <row r="140" spans="1:27">
      <c r="A140" s="273"/>
      <c r="B140" s="274"/>
      <c r="C140" s="207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</row>
    <row r="141" spans="1:27">
      <c r="A141" s="273">
        <v>51</v>
      </c>
      <c r="B141" s="274">
        <v>21</v>
      </c>
      <c r="C141" s="207" t="s">
        <v>43</v>
      </c>
      <c r="D141" s="275" t="s">
        <v>434</v>
      </c>
      <c r="E141" s="275" t="s">
        <v>435</v>
      </c>
      <c r="F141" s="275" t="s">
        <v>436</v>
      </c>
      <c r="G141" s="275" t="s">
        <v>437</v>
      </c>
      <c r="H141" s="275" t="s">
        <v>438</v>
      </c>
      <c r="I141" s="275" t="s">
        <v>439</v>
      </c>
      <c r="J141" s="275" t="s">
        <v>440</v>
      </c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</row>
    <row r="142" spans="1:27">
      <c r="A142" s="273"/>
      <c r="B142" s="274"/>
      <c r="C142" s="207"/>
      <c r="D142" s="275">
        <v>-167.39852999999999</v>
      </c>
      <c r="E142" s="275">
        <v>-19.825980000000001</v>
      </c>
      <c r="F142" s="275">
        <v>-16.36609</v>
      </c>
      <c r="G142" s="275">
        <v>-16.189889999999998</v>
      </c>
      <c r="H142" s="275">
        <v>-3.1429999999999998</v>
      </c>
      <c r="I142" s="275">
        <v>-2.1454</v>
      </c>
      <c r="J142" s="275">
        <v>-2.1250399999999998</v>
      </c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</row>
    <row r="143" spans="1:27">
      <c r="A143" s="273"/>
      <c r="B143" s="274"/>
      <c r="C143" s="207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</row>
    <row r="144" spans="1:27">
      <c r="A144" s="273">
        <v>52</v>
      </c>
      <c r="B144" s="274">
        <v>21</v>
      </c>
      <c r="C144" s="207" t="s">
        <v>44</v>
      </c>
      <c r="D144" s="275" t="s">
        <v>434</v>
      </c>
      <c r="E144" s="275" t="s">
        <v>435</v>
      </c>
      <c r="F144" s="275" t="s">
        <v>436</v>
      </c>
      <c r="G144" s="275" t="s">
        <v>437</v>
      </c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</row>
    <row r="145" spans="1:27">
      <c r="A145" s="273"/>
      <c r="B145" s="274"/>
      <c r="C145" s="207"/>
      <c r="D145" s="275">
        <v>-168.02091999999999</v>
      </c>
      <c r="E145" s="275">
        <v>-20.48115</v>
      </c>
      <c r="F145" s="275">
        <v>-17.01745</v>
      </c>
      <c r="G145" s="275">
        <v>-16.84141</v>
      </c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</row>
    <row r="146" spans="1:27">
      <c r="A146" s="273"/>
      <c r="B146" s="274"/>
      <c r="C146" s="207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</row>
    <row r="147" spans="1:27">
      <c r="A147" s="273">
        <v>53</v>
      </c>
      <c r="B147" s="274">
        <v>22</v>
      </c>
      <c r="C147" s="207" t="s">
        <v>334</v>
      </c>
      <c r="D147" s="275" t="s">
        <v>434</v>
      </c>
      <c r="E147" s="275" t="s">
        <v>435</v>
      </c>
      <c r="F147" s="275" t="s">
        <v>436</v>
      </c>
      <c r="G147" s="275" t="s">
        <v>437</v>
      </c>
      <c r="H147" s="275" t="s">
        <v>438</v>
      </c>
      <c r="I147" s="275" t="s">
        <v>439</v>
      </c>
      <c r="J147" s="275" t="s">
        <v>440</v>
      </c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</row>
    <row r="148" spans="1:27">
      <c r="A148" s="273"/>
      <c r="B148" s="274"/>
      <c r="C148" s="207"/>
      <c r="D148" s="275">
        <v>-185.00908000000001</v>
      </c>
      <c r="E148" s="275">
        <v>-22.246659999999999</v>
      </c>
      <c r="F148" s="275">
        <v>-18.558530000000001</v>
      </c>
      <c r="G148" s="275">
        <v>-18.339919999999999</v>
      </c>
      <c r="H148" s="275">
        <v>-3.4880900000000001</v>
      </c>
      <c r="I148" s="275">
        <v>-2.4026900000000002</v>
      </c>
      <c r="J148" s="275">
        <v>-2.3766099999999999</v>
      </c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</row>
    <row r="149" spans="1:27">
      <c r="A149" s="273"/>
      <c r="B149" s="274"/>
      <c r="C149" s="207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</row>
    <row r="150" spans="1:27">
      <c r="A150" s="273">
        <v>54</v>
      </c>
      <c r="B150" s="274">
        <v>22</v>
      </c>
      <c r="C150" s="207" t="s">
        <v>45</v>
      </c>
      <c r="D150" s="275" t="s">
        <v>434</v>
      </c>
      <c r="E150" s="275" t="s">
        <v>435</v>
      </c>
      <c r="F150" s="275" t="s">
        <v>436</v>
      </c>
      <c r="G150" s="275" t="s">
        <v>437</v>
      </c>
      <c r="H150" s="275" t="s">
        <v>438</v>
      </c>
      <c r="I150" s="275" t="s">
        <v>439</v>
      </c>
      <c r="J150" s="275" t="s">
        <v>440</v>
      </c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</row>
    <row r="151" spans="1:27">
      <c r="A151" s="273"/>
      <c r="B151" s="274"/>
      <c r="C151" s="207"/>
      <c r="D151" s="275">
        <v>-185.64999</v>
      </c>
      <c r="E151" s="275">
        <v>-22.917649999999998</v>
      </c>
      <c r="F151" s="275">
        <v>-19.225989999999999</v>
      </c>
      <c r="G151" s="275">
        <v>-19.007560000000002</v>
      </c>
      <c r="H151" s="275">
        <v>-4.1026100000000003</v>
      </c>
      <c r="I151" s="275">
        <v>-2.9967100000000002</v>
      </c>
      <c r="J151" s="275">
        <v>-2.9696500000000001</v>
      </c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</row>
    <row r="152" spans="1:27">
      <c r="A152" s="273"/>
      <c r="B152" s="274"/>
      <c r="C152" s="207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</row>
    <row r="153" spans="1:27">
      <c r="A153" s="273">
        <v>55</v>
      </c>
      <c r="B153" s="274">
        <v>22</v>
      </c>
      <c r="C153" s="207" t="s">
        <v>46</v>
      </c>
      <c r="D153" s="275" t="s">
        <v>434</v>
      </c>
      <c r="E153" s="275" t="s">
        <v>435</v>
      </c>
      <c r="F153" s="275" t="s">
        <v>436</v>
      </c>
      <c r="G153" s="275" t="s">
        <v>437</v>
      </c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</row>
    <row r="154" spans="1:27">
      <c r="A154" s="273"/>
      <c r="B154" s="274"/>
      <c r="C154" s="207"/>
      <c r="D154" s="275">
        <v>-186.41146000000001</v>
      </c>
      <c r="E154" s="275">
        <v>-23.716010000000001</v>
      </c>
      <c r="F154" s="275">
        <v>-20.02</v>
      </c>
      <c r="G154" s="275">
        <v>-19.801729999999999</v>
      </c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</row>
    <row r="155" spans="1:27">
      <c r="A155" s="273"/>
      <c r="B155" s="274"/>
      <c r="C155" s="207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</row>
    <row r="156" spans="1:27">
      <c r="A156" s="273">
        <v>56</v>
      </c>
      <c r="B156" s="274">
        <v>23</v>
      </c>
      <c r="C156" s="207" t="s">
        <v>47</v>
      </c>
      <c r="D156" s="275" t="s">
        <v>434</v>
      </c>
      <c r="E156" s="275" t="s">
        <v>435</v>
      </c>
      <c r="F156" s="275" t="s">
        <v>436</v>
      </c>
      <c r="G156" s="275" t="s">
        <v>437</v>
      </c>
      <c r="H156" s="275" t="s">
        <v>438</v>
      </c>
      <c r="I156" s="275" t="s">
        <v>439</v>
      </c>
      <c r="J156" s="275" t="s">
        <v>440</v>
      </c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</row>
    <row r="157" spans="1:27">
      <c r="A157" s="273"/>
      <c r="B157" s="274"/>
      <c r="C157" s="207"/>
      <c r="D157" s="275">
        <v>-202.99205000000001</v>
      </c>
      <c r="E157" s="275">
        <v>-24.249490000000002</v>
      </c>
      <c r="F157" s="275">
        <v>-20.333159999999999</v>
      </c>
      <c r="G157" s="275">
        <v>-20.06467</v>
      </c>
      <c r="H157" s="275">
        <v>-3.32037</v>
      </c>
      <c r="I157" s="275">
        <v>-2.1593800000000001</v>
      </c>
      <c r="J157" s="275">
        <v>-2.1270600000000002</v>
      </c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</row>
    <row r="158" spans="1:27">
      <c r="A158" s="273"/>
      <c r="B158" s="274"/>
      <c r="C158" s="207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</row>
    <row r="159" spans="1:27">
      <c r="A159" s="273">
        <v>57</v>
      </c>
      <c r="B159" s="274">
        <v>23</v>
      </c>
      <c r="C159" s="207" t="s">
        <v>48</v>
      </c>
      <c r="D159" s="275" t="s">
        <v>434</v>
      </c>
      <c r="E159" s="275" t="s">
        <v>435</v>
      </c>
      <c r="F159" s="275" t="s">
        <v>436</v>
      </c>
      <c r="G159" s="275" t="s">
        <v>437</v>
      </c>
      <c r="H159" s="275" t="s">
        <v>438</v>
      </c>
      <c r="I159" s="275" t="s">
        <v>439</v>
      </c>
      <c r="J159" s="275" t="s">
        <v>440</v>
      </c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</row>
    <row r="160" spans="1:27">
      <c r="A160" s="273"/>
      <c r="B160" s="274"/>
      <c r="C160" s="207"/>
      <c r="D160" s="275">
        <v>-203.50917000000001</v>
      </c>
      <c r="E160" s="275">
        <v>-24.78472</v>
      </c>
      <c r="F160" s="275">
        <v>-20.866240000000001</v>
      </c>
      <c r="G160" s="275">
        <v>-20.597940000000001</v>
      </c>
      <c r="H160" s="275">
        <v>-3.8374199999999998</v>
      </c>
      <c r="I160" s="275">
        <v>-2.6636899999999999</v>
      </c>
      <c r="J160" s="275">
        <v>-2.6308699999999998</v>
      </c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</row>
    <row r="161" spans="1:27">
      <c r="A161" s="273"/>
      <c r="B161" s="274"/>
      <c r="C161" s="207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</row>
    <row r="162" spans="1:27">
      <c r="A162" s="273">
        <v>58</v>
      </c>
      <c r="B162" s="274">
        <v>23</v>
      </c>
      <c r="C162" s="207" t="s">
        <v>49</v>
      </c>
      <c r="D162" s="275" t="s">
        <v>434</v>
      </c>
      <c r="E162" s="275" t="s">
        <v>435</v>
      </c>
      <c r="F162" s="275" t="s">
        <v>436</v>
      </c>
      <c r="G162" s="275" t="s">
        <v>437</v>
      </c>
      <c r="H162" s="275" t="s">
        <v>438</v>
      </c>
      <c r="I162" s="275" t="s">
        <v>439</v>
      </c>
      <c r="J162" s="275" t="s">
        <v>440</v>
      </c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</row>
    <row r="163" spans="1:27">
      <c r="A163" s="273"/>
      <c r="B163" s="274"/>
      <c r="C163" s="207"/>
      <c r="D163" s="275">
        <v>-204.1705</v>
      </c>
      <c r="E163" s="275">
        <v>-25.474070000000001</v>
      </c>
      <c r="F163" s="275">
        <v>-21.552250000000001</v>
      </c>
      <c r="G163" s="275">
        <v>-21.284140000000001</v>
      </c>
      <c r="H163" s="275">
        <v>-4.4719899999999999</v>
      </c>
      <c r="I163" s="275">
        <v>-3.2789000000000001</v>
      </c>
      <c r="J163" s="275">
        <v>-3.2450100000000002</v>
      </c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</row>
    <row r="164" spans="1:27">
      <c r="A164" s="273"/>
      <c r="B164" s="274"/>
      <c r="C164" s="207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</row>
    <row r="165" spans="1:27">
      <c r="A165" s="273">
        <v>59</v>
      </c>
      <c r="B165" s="274">
        <v>23</v>
      </c>
      <c r="C165" s="207" t="s">
        <v>50</v>
      </c>
      <c r="D165" s="275" t="s">
        <v>434</v>
      </c>
      <c r="E165" s="275" t="s">
        <v>435</v>
      </c>
      <c r="F165" s="275" t="s">
        <v>436</v>
      </c>
      <c r="G165" s="275" t="s">
        <v>437</v>
      </c>
      <c r="H165" s="275" t="s">
        <v>438</v>
      </c>
      <c r="I165" s="275" t="s">
        <v>439</v>
      </c>
      <c r="J165" s="275" t="s">
        <v>440</v>
      </c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</row>
    <row r="166" spans="1:27">
      <c r="A166" s="273"/>
      <c r="B166" s="274"/>
      <c r="C166" s="207"/>
      <c r="D166" s="275">
        <v>-204.95184</v>
      </c>
      <c r="E166" s="275">
        <v>-26.290030000000002</v>
      </c>
      <c r="F166" s="275">
        <v>-22.364159999999998</v>
      </c>
      <c r="G166" s="275">
        <v>-22.096229999999998</v>
      </c>
      <c r="H166" s="275">
        <v>-5.1930500000000004</v>
      </c>
      <c r="I166" s="275">
        <v>-3.9767899999999998</v>
      </c>
      <c r="J166" s="275">
        <v>-3.94143</v>
      </c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</row>
    <row r="167" spans="1:27">
      <c r="A167" s="273"/>
      <c r="B167" s="274"/>
      <c r="C167" s="207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</row>
    <row r="168" spans="1:27">
      <c r="A168" s="273">
        <v>60</v>
      </c>
      <c r="B168" s="274">
        <v>23</v>
      </c>
      <c r="C168" s="207" t="s">
        <v>51</v>
      </c>
      <c r="D168" s="275" t="s">
        <v>434</v>
      </c>
      <c r="E168" s="275" t="s">
        <v>435</v>
      </c>
      <c r="F168" s="275" t="s">
        <v>436</v>
      </c>
      <c r="G168" s="275" t="s">
        <v>437</v>
      </c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</row>
    <row r="169" spans="1:27">
      <c r="A169" s="273"/>
      <c r="B169" s="274"/>
      <c r="C169" s="207"/>
      <c r="D169" s="275">
        <v>-205.84164999999999</v>
      </c>
      <c r="E169" s="275">
        <v>-27.218070000000001</v>
      </c>
      <c r="F169" s="275">
        <v>-23.287839999999999</v>
      </c>
      <c r="G169" s="275">
        <v>-23.020009999999999</v>
      </c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</row>
    <row r="170" spans="1:27">
      <c r="A170" s="273"/>
      <c r="B170" s="274"/>
      <c r="C170" s="207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</row>
    <row r="171" spans="1:27">
      <c r="A171" s="273">
        <v>61</v>
      </c>
      <c r="B171" s="274">
        <v>24</v>
      </c>
      <c r="C171" s="207" t="s">
        <v>52</v>
      </c>
      <c r="D171" s="275" t="s">
        <v>434</v>
      </c>
      <c r="E171" s="275" t="s">
        <v>435</v>
      </c>
      <c r="F171" s="275" t="s">
        <v>436</v>
      </c>
      <c r="G171" s="275" t="s">
        <v>437</v>
      </c>
      <c r="H171" s="275" t="s">
        <v>438</v>
      </c>
      <c r="I171" s="275" t="s">
        <v>439</v>
      </c>
      <c r="J171" s="275" t="s">
        <v>440</v>
      </c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</row>
    <row r="172" spans="1:27">
      <c r="A172" s="273"/>
      <c r="B172" s="274"/>
      <c r="C172" s="207"/>
      <c r="D172" s="275">
        <v>-222.36318</v>
      </c>
      <c r="E172" s="275">
        <v>-26.885660000000001</v>
      </c>
      <c r="F172" s="275">
        <v>-22.736660000000001</v>
      </c>
      <c r="G172" s="275">
        <v>-22.410350000000001</v>
      </c>
      <c r="H172" s="275">
        <v>-3.65307</v>
      </c>
      <c r="I172" s="275">
        <v>-2.4024999999999999</v>
      </c>
      <c r="J172" s="275">
        <v>-2.3622899999999998</v>
      </c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</row>
    <row r="173" spans="1:27">
      <c r="A173" s="273"/>
      <c r="B173" s="274"/>
      <c r="C173" s="207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</row>
    <row r="174" spans="1:27">
      <c r="A174" s="273">
        <v>62</v>
      </c>
      <c r="B174" s="274">
        <v>24</v>
      </c>
      <c r="C174" s="207" t="s">
        <v>53</v>
      </c>
      <c r="D174" s="275" t="s">
        <v>434</v>
      </c>
      <c r="E174" s="275" t="s">
        <v>435</v>
      </c>
      <c r="F174" s="275" t="s">
        <v>436</v>
      </c>
      <c r="G174" s="275" t="s">
        <v>437</v>
      </c>
      <c r="H174" s="275" t="s">
        <v>438</v>
      </c>
      <c r="I174" s="275" t="s">
        <v>439</v>
      </c>
      <c r="J174" s="275" t="s">
        <v>440</v>
      </c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</row>
    <row r="175" spans="1:27">
      <c r="A175" s="273"/>
      <c r="B175" s="274"/>
      <c r="C175" s="207"/>
      <c r="D175" s="275">
        <v>-222.9049</v>
      </c>
      <c r="E175" s="275">
        <v>-27.444369999999999</v>
      </c>
      <c r="F175" s="275">
        <v>-23.293220000000002</v>
      </c>
      <c r="G175" s="275">
        <v>-22.967130000000001</v>
      </c>
      <c r="H175" s="275">
        <v>-4.1938199999999997</v>
      </c>
      <c r="I175" s="275">
        <v>-2.9307500000000002</v>
      </c>
      <c r="J175" s="275">
        <v>-2.8900100000000002</v>
      </c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</row>
    <row r="176" spans="1:27">
      <c r="A176" s="273"/>
      <c r="B176" s="274"/>
      <c r="C176" s="207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</row>
    <row r="177" spans="1:27">
      <c r="A177" s="273">
        <v>63</v>
      </c>
      <c r="B177" s="274">
        <v>24</v>
      </c>
      <c r="C177" s="207" t="s">
        <v>54</v>
      </c>
      <c r="D177" s="275" t="s">
        <v>434</v>
      </c>
      <c r="E177" s="275" t="s">
        <v>435</v>
      </c>
      <c r="F177" s="275" t="s">
        <v>436</v>
      </c>
      <c r="G177" s="275" t="s">
        <v>437</v>
      </c>
      <c r="H177" s="275" t="s">
        <v>438</v>
      </c>
      <c r="I177" s="275" t="s">
        <v>439</v>
      </c>
      <c r="J177" s="275" t="s">
        <v>440</v>
      </c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</row>
    <row r="178" spans="1:27">
      <c r="A178" s="273"/>
      <c r="B178" s="274"/>
      <c r="C178" s="207"/>
      <c r="D178" s="275">
        <v>-223.58713</v>
      </c>
      <c r="E178" s="275">
        <v>-28.153420000000001</v>
      </c>
      <c r="F178" s="275">
        <v>-23.99906</v>
      </c>
      <c r="G178" s="275">
        <v>-23.673200000000001</v>
      </c>
      <c r="H178" s="275">
        <v>-4.8495699999999999</v>
      </c>
      <c r="I178" s="275">
        <v>-3.5679599999999998</v>
      </c>
      <c r="J178" s="275">
        <v>-3.5260899999999999</v>
      </c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</row>
    <row r="179" spans="1:27">
      <c r="A179" s="273"/>
      <c r="B179" s="274"/>
      <c r="C179" s="207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</row>
    <row r="180" spans="1:27">
      <c r="A180" s="273">
        <v>64</v>
      </c>
      <c r="B180" s="274">
        <v>24</v>
      </c>
      <c r="C180" s="207" t="s">
        <v>55</v>
      </c>
      <c r="D180" s="275" t="s">
        <v>434</v>
      </c>
      <c r="E180" s="275" t="s">
        <v>435</v>
      </c>
      <c r="F180" s="275" t="s">
        <v>436</v>
      </c>
      <c r="G180" s="275" t="s">
        <v>437</v>
      </c>
      <c r="H180" s="275" t="s">
        <v>438</v>
      </c>
      <c r="I180" s="275" t="s">
        <v>439</v>
      </c>
      <c r="J180" s="275" t="s">
        <v>440</v>
      </c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</row>
    <row r="181" spans="1:27">
      <c r="A181" s="273"/>
      <c r="B181" s="274"/>
      <c r="C181" s="207"/>
      <c r="D181" s="275">
        <v>-224.38937999999999</v>
      </c>
      <c r="E181" s="275">
        <v>-28.988309999999998</v>
      </c>
      <c r="F181" s="275">
        <v>-24.830120000000001</v>
      </c>
      <c r="G181" s="275">
        <v>-24.504449999999999</v>
      </c>
      <c r="H181" s="275">
        <v>-5.5922900000000002</v>
      </c>
      <c r="I181" s="275">
        <v>-4.2885</v>
      </c>
      <c r="J181" s="275">
        <v>-4.2450299999999999</v>
      </c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</row>
    <row r="182" spans="1:27">
      <c r="A182" s="273"/>
      <c r="B182" s="274"/>
      <c r="C182" s="207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</row>
    <row r="183" spans="1:27">
      <c r="A183" s="273">
        <v>65</v>
      </c>
      <c r="B183" s="274">
        <v>24</v>
      </c>
      <c r="C183" s="207" t="s">
        <v>56</v>
      </c>
      <c r="D183" s="275" t="s">
        <v>434</v>
      </c>
      <c r="E183" s="275" t="s">
        <v>435</v>
      </c>
      <c r="F183" s="275" t="s">
        <v>436</v>
      </c>
      <c r="G183" s="275" t="s">
        <v>437</v>
      </c>
      <c r="H183" s="275" t="s">
        <v>438</v>
      </c>
      <c r="I183" s="275" t="s">
        <v>439</v>
      </c>
      <c r="J183" s="275" t="s">
        <v>440</v>
      </c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</row>
    <row r="184" spans="1:27">
      <c r="A184" s="273"/>
      <c r="B184" s="274"/>
      <c r="C184" s="207"/>
      <c r="D184" s="275">
        <v>-225.30034000000001</v>
      </c>
      <c r="E184" s="275">
        <v>-29.935390000000002</v>
      </c>
      <c r="F184" s="275">
        <v>-25.77309</v>
      </c>
      <c r="G184" s="275">
        <v>-25.44755</v>
      </c>
      <c r="H184" s="275">
        <v>-6.4067499999999997</v>
      </c>
      <c r="I184" s="275">
        <v>-5.0789499999999999</v>
      </c>
      <c r="J184" s="275">
        <v>-5.0335200000000002</v>
      </c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</row>
    <row r="185" spans="1:27">
      <c r="A185" s="273"/>
      <c r="B185" s="274"/>
      <c r="C185" s="207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</row>
    <row r="186" spans="1:27">
      <c r="A186" s="273">
        <v>66</v>
      </c>
      <c r="B186" s="274">
        <v>24</v>
      </c>
      <c r="C186" s="207" t="s">
        <v>57</v>
      </c>
      <c r="D186" s="275" t="s">
        <v>434</v>
      </c>
      <c r="E186" s="275" t="s">
        <v>435</v>
      </c>
      <c r="F186" s="275" t="s">
        <v>436</v>
      </c>
      <c r="G186" s="275" t="s">
        <v>437</v>
      </c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</row>
    <row r="187" spans="1:27">
      <c r="A187" s="273"/>
      <c r="B187" s="274"/>
      <c r="C187" s="207"/>
      <c r="D187" s="275">
        <v>-226.31380999999999</v>
      </c>
      <c r="E187" s="275">
        <v>-30.986280000000001</v>
      </c>
      <c r="F187" s="275">
        <v>-26.819949999999999</v>
      </c>
      <c r="G187" s="275">
        <v>-26.494440000000001</v>
      </c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</row>
    <row r="188" spans="1:27">
      <c r="A188" s="273"/>
      <c r="B188" s="274"/>
      <c r="C188" s="207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</row>
    <row r="189" spans="1:27">
      <c r="A189" s="273">
        <v>67</v>
      </c>
      <c r="B189" s="274">
        <v>25</v>
      </c>
      <c r="C189" s="207" t="s">
        <v>58</v>
      </c>
      <c r="D189" s="275" t="s">
        <v>434</v>
      </c>
      <c r="E189" s="275" t="s">
        <v>435</v>
      </c>
      <c r="F189" s="275" t="s">
        <v>436</v>
      </c>
      <c r="G189" s="275" t="s">
        <v>437</v>
      </c>
      <c r="H189" s="275" t="s">
        <v>438</v>
      </c>
      <c r="I189" s="275" t="s">
        <v>439</v>
      </c>
      <c r="J189" s="275" t="s">
        <v>440</v>
      </c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</row>
    <row r="190" spans="1:27">
      <c r="A190" s="273"/>
      <c r="B190" s="274"/>
      <c r="C190" s="207"/>
      <c r="D190" s="275">
        <v>-242.84133</v>
      </c>
      <c r="E190" s="275">
        <v>-29.877590000000001</v>
      </c>
      <c r="F190" s="275">
        <v>-25.488589999999999</v>
      </c>
      <c r="G190" s="275">
        <v>-25.09581</v>
      </c>
      <c r="H190" s="275">
        <v>-4.2097199999999999</v>
      </c>
      <c r="I190" s="275">
        <v>-2.851</v>
      </c>
      <c r="J190" s="275">
        <v>-2.8010100000000002</v>
      </c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</row>
    <row r="191" spans="1:27">
      <c r="A191" s="273"/>
      <c r="B191" s="274"/>
      <c r="C191" s="207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</row>
    <row r="192" spans="1:27">
      <c r="A192" s="273">
        <v>68</v>
      </c>
      <c r="B192" s="274">
        <v>25</v>
      </c>
      <c r="C192" s="207" t="s">
        <v>59</v>
      </c>
      <c r="D192" s="275" t="s">
        <v>434</v>
      </c>
      <c r="E192" s="275" t="s">
        <v>435</v>
      </c>
      <c r="F192" s="275" t="s">
        <v>436</v>
      </c>
      <c r="G192" s="275" t="s">
        <v>437</v>
      </c>
      <c r="H192" s="275" t="s">
        <v>438</v>
      </c>
      <c r="I192" s="275" t="s">
        <v>439</v>
      </c>
      <c r="J192" s="275" t="s">
        <v>440</v>
      </c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</row>
    <row r="193" spans="1:27">
      <c r="A193" s="273"/>
      <c r="B193" s="274"/>
      <c r="C193" s="207"/>
      <c r="D193" s="275">
        <v>-243.20070999999999</v>
      </c>
      <c r="E193" s="275">
        <v>-30.228649999999998</v>
      </c>
      <c r="F193" s="275">
        <v>-25.842320000000001</v>
      </c>
      <c r="G193" s="275">
        <v>-25.44951</v>
      </c>
      <c r="H193" s="275">
        <v>-4.5590400000000004</v>
      </c>
      <c r="I193" s="275">
        <v>-3.2052700000000001</v>
      </c>
      <c r="J193" s="275">
        <v>-3.1553399999999998</v>
      </c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</row>
    <row r="194" spans="1:27">
      <c r="A194" s="273"/>
      <c r="B194" s="274"/>
      <c r="C194" s="207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</row>
    <row r="195" spans="1:27">
      <c r="A195" s="273">
        <v>69</v>
      </c>
      <c r="B195" s="274">
        <v>25</v>
      </c>
      <c r="C195" s="207" t="s">
        <v>60</v>
      </c>
      <c r="D195" s="275" t="s">
        <v>434</v>
      </c>
      <c r="E195" s="275" t="s">
        <v>435</v>
      </c>
      <c r="F195" s="275" t="s">
        <v>436</v>
      </c>
      <c r="G195" s="275" t="s">
        <v>437</v>
      </c>
      <c r="H195" s="275" t="s">
        <v>438</v>
      </c>
      <c r="I195" s="275" t="s">
        <v>439</v>
      </c>
      <c r="J195" s="275" t="s">
        <v>440</v>
      </c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</row>
    <row r="196" spans="1:27">
      <c r="A196" s="273"/>
      <c r="B196" s="274"/>
      <c r="C196" s="207"/>
      <c r="D196" s="275">
        <v>-243.90432000000001</v>
      </c>
      <c r="E196" s="275">
        <v>-30.958120000000001</v>
      </c>
      <c r="F196" s="275">
        <v>-26.568680000000001</v>
      </c>
      <c r="G196" s="275">
        <v>-26.176130000000001</v>
      </c>
      <c r="H196" s="275">
        <v>-5.2365599999999999</v>
      </c>
      <c r="I196" s="275">
        <v>-3.8648899999999999</v>
      </c>
      <c r="J196" s="275">
        <v>-3.8137400000000001</v>
      </c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</row>
    <row r="197" spans="1:27">
      <c r="A197" s="273"/>
      <c r="B197" s="274"/>
      <c r="C197" s="207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</row>
    <row r="198" spans="1:27">
      <c r="A198" s="273">
        <v>70</v>
      </c>
      <c r="B198" s="274">
        <v>25</v>
      </c>
      <c r="C198" s="207" t="s">
        <v>61</v>
      </c>
      <c r="D198" s="275" t="s">
        <v>434</v>
      </c>
      <c r="E198" s="275" t="s">
        <v>435</v>
      </c>
      <c r="F198" s="275" t="s">
        <v>436</v>
      </c>
      <c r="G198" s="275" t="s">
        <v>437</v>
      </c>
      <c r="H198" s="275" t="s">
        <v>438</v>
      </c>
      <c r="I198" s="275" t="s">
        <v>439</v>
      </c>
      <c r="J198" s="275" t="s">
        <v>440</v>
      </c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</row>
    <row r="199" spans="1:27">
      <c r="A199" s="273"/>
      <c r="B199" s="274"/>
      <c r="C199" s="207"/>
      <c r="D199" s="275">
        <v>-244.72802999999999</v>
      </c>
      <c r="E199" s="275">
        <v>-31.812799999999999</v>
      </c>
      <c r="F199" s="275">
        <v>-27.419689999999999</v>
      </c>
      <c r="G199" s="275">
        <v>-27.027360000000002</v>
      </c>
      <c r="H199" s="275">
        <v>-6.0014900000000004</v>
      </c>
      <c r="I199" s="275">
        <v>-4.6084399999999999</v>
      </c>
      <c r="J199" s="275">
        <v>-4.5555599999999998</v>
      </c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</row>
    <row r="200" spans="1:27">
      <c r="A200" s="273"/>
      <c r="B200" s="274"/>
      <c r="C200" s="207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</row>
    <row r="201" spans="1:27">
      <c r="A201" s="273">
        <v>71</v>
      </c>
      <c r="B201" s="274">
        <v>25</v>
      </c>
      <c r="C201" s="207" t="s">
        <v>62</v>
      </c>
      <c r="D201" s="275" t="s">
        <v>434</v>
      </c>
      <c r="E201" s="275" t="s">
        <v>435</v>
      </c>
      <c r="F201" s="275" t="s">
        <v>436</v>
      </c>
      <c r="G201" s="275" t="s">
        <v>437</v>
      </c>
      <c r="H201" s="275" t="s">
        <v>438</v>
      </c>
      <c r="I201" s="275" t="s">
        <v>439</v>
      </c>
      <c r="J201" s="275" t="s">
        <v>440</v>
      </c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</row>
    <row r="202" spans="1:27">
      <c r="A202" s="273"/>
      <c r="B202" s="274"/>
      <c r="C202" s="207"/>
      <c r="D202" s="275">
        <v>-245.66059999999999</v>
      </c>
      <c r="E202" s="275">
        <v>-32.779719999999998</v>
      </c>
      <c r="F202" s="275">
        <v>-28.382719999999999</v>
      </c>
      <c r="G202" s="275">
        <v>-27.99053</v>
      </c>
      <c r="H202" s="275">
        <v>-6.8391700000000002</v>
      </c>
      <c r="I202" s="275">
        <v>-5.4228699999999996</v>
      </c>
      <c r="J202" s="275">
        <v>-5.3678600000000003</v>
      </c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</row>
    <row r="203" spans="1:27">
      <c r="A203" s="273"/>
      <c r="B203" s="274"/>
      <c r="C203" s="207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</row>
    <row r="204" spans="1:27">
      <c r="A204" s="273">
        <v>72</v>
      </c>
      <c r="B204" s="274">
        <v>25</v>
      </c>
      <c r="C204" s="207" t="s">
        <v>63</v>
      </c>
      <c r="D204" s="275" t="s">
        <v>434</v>
      </c>
      <c r="E204" s="275" t="s">
        <v>435</v>
      </c>
      <c r="F204" s="275" t="s">
        <v>436</v>
      </c>
      <c r="G204" s="275" t="s">
        <v>437</v>
      </c>
      <c r="H204" s="275" t="s">
        <v>438</v>
      </c>
      <c r="I204" s="275" t="s">
        <v>439</v>
      </c>
      <c r="J204" s="275" t="s">
        <v>440</v>
      </c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</row>
    <row r="205" spans="1:27">
      <c r="A205" s="273"/>
      <c r="B205" s="274"/>
      <c r="C205" s="207"/>
      <c r="D205" s="275">
        <v>-246.69594000000001</v>
      </c>
      <c r="E205" s="275">
        <v>-33.850709999999999</v>
      </c>
      <c r="F205" s="275">
        <v>-29.449919999999999</v>
      </c>
      <c r="G205" s="275">
        <v>-29.057770000000001</v>
      </c>
      <c r="H205" s="275">
        <v>-7.7407300000000001</v>
      </c>
      <c r="I205" s="275">
        <v>-6.3005599999999999</v>
      </c>
      <c r="J205" s="275">
        <v>-6.24308</v>
      </c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</row>
    <row r="206" spans="1:27">
      <c r="A206" s="273"/>
      <c r="B206" s="274"/>
      <c r="C206" s="207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</row>
    <row r="207" spans="1:27">
      <c r="A207" s="273">
        <v>73</v>
      </c>
      <c r="B207" s="274">
        <v>25</v>
      </c>
      <c r="C207" s="207" t="s">
        <v>64</v>
      </c>
      <c r="D207" s="275" t="s">
        <v>434</v>
      </c>
      <c r="E207" s="275" t="s">
        <v>435</v>
      </c>
      <c r="F207" s="275" t="s">
        <v>436</v>
      </c>
      <c r="G207" s="275" t="s">
        <v>437</v>
      </c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</row>
    <row r="208" spans="1:27">
      <c r="A208" s="273"/>
      <c r="B208" s="274"/>
      <c r="C208" s="207"/>
      <c r="D208" s="275">
        <v>-247.83025000000001</v>
      </c>
      <c r="E208" s="275">
        <v>-35.020209999999999</v>
      </c>
      <c r="F208" s="275">
        <v>-30.61598</v>
      </c>
      <c r="G208" s="275">
        <v>-30.223769999999998</v>
      </c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</row>
    <row r="209" spans="1:27">
      <c r="A209" s="273"/>
      <c r="B209" s="274"/>
      <c r="C209" s="207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</row>
    <row r="210" spans="1:27">
      <c r="A210" s="273">
        <v>74</v>
      </c>
      <c r="B210" s="274">
        <v>26</v>
      </c>
      <c r="C210" s="207" t="s">
        <v>65</v>
      </c>
      <c r="D210" s="275" t="s">
        <v>434</v>
      </c>
      <c r="E210" s="275" t="s">
        <v>435</v>
      </c>
      <c r="F210" s="275" t="s">
        <v>436</v>
      </c>
      <c r="G210" s="275" t="s">
        <v>437</v>
      </c>
      <c r="H210" s="275" t="s">
        <v>438</v>
      </c>
      <c r="I210" s="275" t="s">
        <v>439</v>
      </c>
      <c r="J210" s="275" t="s">
        <v>440</v>
      </c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</row>
    <row r="211" spans="1:27">
      <c r="A211" s="273"/>
      <c r="B211" s="274"/>
      <c r="C211" s="207"/>
      <c r="D211" s="275">
        <v>-264.02999</v>
      </c>
      <c r="E211" s="275">
        <v>-32.777619999999999</v>
      </c>
      <c r="F211" s="275">
        <v>-28.150770000000001</v>
      </c>
      <c r="G211" s="275">
        <v>-27.681429999999999</v>
      </c>
      <c r="H211" s="275">
        <v>-4.57301</v>
      </c>
      <c r="I211" s="275">
        <v>-3.1218599999999999</v>
      </c>
      <c r="J211" s="275">
        <v>-3.0612300000000001</v>
      </c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</row>
    <row r="212" spans="1:27">
      <c r="A212" s="273"/>
      <c r="B212" s="274"/>
      <c r="C212" s="207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</row>
    <row r="213" spans="1:27">
      <c r="A213" s="273">
        <v>75</v>
      </c>
      <c r="B213" s="274">
        <v>26</v>
      </c>
      <c r="C213" s="207" t="s">
        <v>66</v>
      </c>
      <c r="D213" s="275" t="s">
        <v>434</v>
      </c>
      <c r="E213" s="275" t="s">
        <v>435</v>
      </c>
      <c r="F213" s="275" t="s">
        <v>436</v>
      </c>
      <c r="G213" s="275" t="s">
        <v>437</v>
      </c>
      <c r="H213" s="275" t="s">
        <v>438</v>
      </c>
      <c r="I213" s="275" t="s">
        <v>439</v>
      </c>
      <c r="J213" s="275" t="s">
        <v>440</v>
      </c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</row>
    <row r="214" spans="1:27">
      <c r="A214" s="273"/>
      <c r="B214" s="274"/>
      <c r="C214" s="207"/>
      <c r="D214" s="275">
        <v>-264.40096999999997</v>
      </c>
      <c r="E214" s="275">
        <v>-33.139919999999996</v>
      </c>
      <c r="F214" s="275">
        <v>-28.515779999999999</v>
      </c>
      <c r="G214" s="275">
        <v>-28.046410000000002</v>
      </c>
      <c r="H214" s="275">
        <v>-4.9342800000000002</v>
      </c>
      <c r="I214" s="275">
        <v>-3.4882499999999999</v>
      </c>
      <c r="J214" s="275">
        <v>-3.4276900000000001</v>
      </c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</row>
    <row r="215" spans="1:27">
      <c r="A215" s="273"/>
      <c r="B215" s="274"/>
      <c r="C215" s="207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</row>
    <row r="216" spans="1:27">
      <c r="A216" s="273">
        <v>76</v>
      </c>
      <c r="B216" s="274">
        <v>26</v>
      </c>
      <c r="C216" s="207" t="s">
        <v>67</v>
      </c>
      <c r="D216" s="275" t="s">
        <v>434</v>
      </c>
      <c r="E216" s="275" t="s">
        <v>435</v>
      </c>
      <c r="F216" s="275" t="s">
        <v>436</v>
      </c>
      <c r="G216" s="275" t="s">
        <v>437</v>
      </c>
      <c r="H216" s="275" t="s">
        <v>438</v>
      </c>
      <c r="I216" s="275" t="s">
        <v>439</v>
      </c>
      <c r="J216" s="275" t="s">
        <v>440</v>
      </c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</row>
    <row r="217" spans="1:27">
      <c r="A217" s="273"/>
      <c r="B217" s="274"/>
      <c r="C217" s="207"/>
      <c r="D217" s="275">
        <v>-265.12693999999999</v>
      </c>
      <c r="E217" s="275">
        <v>-33.8902</v>
      </c>
      <c r="F217" s="275">
        <v>-29.263020000000001</v>
      </c>
      <c r="G217" s="275">
        <v>-28.793939999999999</v>
      </c>
      <c r="H217" s="275">
        <v>-5.6338800000000004</v>
      </c>
      <c r="I217" s="275">
        <v>-4.1704299999999996</v>
      </c>
      <c r="J217" s="275">
        <v>-4.1085799999999999</v>
      </c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</row>
    <row r="218" spans="1:27">
      <c r="A218" s="273"/>
      <c r="B218" s="274"/>
      <c r="C218" s="207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</row>
    <row r="219" spans="1:27">
      <c r="A219" s="273">
        <v>77</v>
      </c>
      <c r="B219" s="274">
        <v>26</v>
      </c>
      <c r="C219" s="207" t="s">
        <v>68</v>
      </c>
      <c r="D219" s="275" t="s">
        <v>434</v>
      </c>
      <c r="E219" s="275" t="s">
        <v>435</v>
      </c>
      <c r="F219" s="275" t="s">
        <v>436</v>
      </c>
      <c r="G219" s="275" t="s">
        <v>437</v>
      </c>
      <c r="H219" s="275" t="s">
        <v>438</v>
      </c>
      <c r="I219" s="275" t="s">
        <v>439</v>
      </c>
      <c r="J219" s="275" t="s">
        <v>440</v>
      </c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</row>
    <row r="220" spans="1:27">
      <c r="A220" s="273"/>
      <c r="B220" s="274"/>
      <c r="C220" s="207"/>
      <c r="D220" s="275">
        <v>-265.97201000000001</v>
      </c>
      <c r="E220" s="275">
        <v>-34.765250000000002</v>
      </c>
      <c r="F220" s="275">
        <v>-30.134519999999998</v>
      </c>
      <c r="G220" s="275">
        <v>-29.665690000000001</v>
      </c>
      <c r="H220" s="275">
        <v>-6.4213699999999996</v>
      </c>
      <c r="I220" s="275">
        <v>-4.9371700000000001</v>
      </c>
      <c r="J220" s="275">
        <v>-4.8734500000000001</v>
      </c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</row>
    <row r="221" spans="1:27">
      <c r="A221" s="273"/>
      <c r="B221" s="274"/>
      <c r="C221" s="207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</row>
    <row r="222" spans="1:27">
      <c r="A222" s="273">
        <v>78</v>
      </c>
      <c r="B222" s="274">
        <v>26</v>
      </c>
      <c r="C222" s="207" t="s">
        <v>69</v>
      </c>
      <c r="D222" s="275" t="s">
        <v>434</v>
      </c>
      <c r="E222" s="275" t="s">
        <v>435</v>
      </c>
      <c r="F222" s="275" t="s">
        <v>436</v>
      </c>
      <c r="G222" s="275" t="s">
        <v>437</v>
      </c>
      <c r="H222" s="275" t="s">
        <v>438</v>
      </c>
      <c r="I222" s="275" t="s">
        <v>439</v>
      </c>
      <c r="J222" s="275" t="s">
        <v>440</v>
      </c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</row>
    <row r="223" spans="1:27">
      <c r="A223" s="273"/>
      <c r="B223" s="274"/>
      <c r="C223" s="207"/>
      <c r="D223" s="275">
        <v>-266.92648000000003</v>
      </c>
      <c r="E223" s="275">
        <v>-35.752600000000001</v>
      </c>
      <c r="F223" s="275">
        <v>-31.118130000000001</v>
      </c>
      <c r="G223" s="275">
        <v>-30.649480000000001</v>
      </c>
      <c r="H223" s="275">
        <v>-7.2825199999999999</v>
      </c>
      <c r="I223" s="275">
        <v>-5.7757199999999997</v>
      </c>
      <c r="J223" s="275">
        <v>-5.7096900000000002</v>
      </c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</row>
    <row r="224" spans="1:27">
      <c r="A224" s="273"/>
      <c r="B224" s="274"/>
      <c r="C224" s="207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</row>
    <row r="225" spans="1:27">
      <c r="A225" s="273">
        <v>79</v>
      </c>
      <c r="B225" s="274">
        <v>26</v>
      </c>
      <c r="C225" s="207" t="s">
        <v>70</v>
      </c>
      <c r="D225" s="275" t="s">
        <v>434</v>
      </c>
      <c r="E225" s="275" t="s">
        <v>435</v>
      </c>
      <c r="F225" s="275" t="s">
        <v>436</v>
      </c>
      <c r="G225" s="275" t="s">
        <v>437</v>
      </c>
      <c r="H225" s="275" t="s">
        <v>438</v>
      </c>
      <c r="I225" s="275" t="s">
        <v>439</v>
      </c>
      <c r="J225" s="275" t="s">
        <v>440</v>
      </c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</row>
    <row r="226" spans="1:27">
      <c r="A226" s="273"/>
      <c r="B226" s="274"/>
      <c r="C226" s="207"/>
      <c r="D226" s="275">
        <v>-267.98399999999998</v>
      </c>
      <c r="E226" s="275">
        <v>-36.844270000000002</v>
      </c>
      <c r="F226" s="275">
        <v>-32.206180000000003</v>
      </c>
      <c r="G226" s="275">
        <v>-31.7376</v>
      </c>
      <c r="H226" s="275">
        <v>-8.2085000000000008</v>
      </c>
      <c r="I226" s="275">
        <v>-6.6784100000000004</v>
      </c>
      <c r="J226" s="275">
        <v>-6.6096700000000004</v>
      </c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</row>
    <row r="227" spans="1:27">
      <c r="A227" s="273"/>
      <c r="B227" s="274"/>
      <c r="C227" s="207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</row>
    <row r="228" spans="1:27">
      <c r="A228" s="273">
        <v>80</v>
      </c>
      <c r="B228" s="274">
        <v>27</v>
      </c>
      <c r="C228" s="207" t="s">
        <v>71</v>
      </c>
      <c r="D228" s="275" t="s">
        <v>434</v>
      </c>
      <c r="E228" s="275" t="s">
        <v>435</v>
      </c>
      <c r="F228" s="275" t="s">
        <v>436</v>
      </c>
      <c r="G228" s="275" t="s">
        <v>437</v>
      </c>
      <c r="H228" s="275" t="s">
        <v>438</v>
      </c>
      <c r="I228" s="275" t="s">
        <v>439</v>
      </c>
      <c r="J228" s="275" t="s">
        <v>440</v>
      </c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</row>
    <row r="229" spans="1:27">
      <c r="A229" s="273"/>
      <c r="B229" s="274"/>
      <c r="C229" s="207"/>
      <c r="D229" s="275">
        <v>-285.9024</v>
      </c>
      <c r="E229" s="275">
        <v>-35.552950000000003</v>
      </c>
      <c r="F229" s="275">
        <v>-30.69051</v>
      </c>
      <c r="G229" s="275">
        <v>-30.133379999999999</v>
      </c>
      <c r="H229" s="275">
        <v>-4.7104100000000004</v>
      </c>
      <c r="I229" s="275">
        <v>-3.1825899999999998</v>
      </c>
      <c r="J229" s="275">
        <v>-3.1103299999999998</v>
      </c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</row>
    <row r="230" spans="1:27">
      <c r="A230" s="273"/>
      <c r="B230" s="274"/>
      <c r="C230" s="207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</row>
    <row r="231" spans="1:27">
      <c r="A231" s="273">
        <v>81</v>
      </c>
      <c r="B231" s="274">
        <v>27</v>
      </c>
      <c r="C231" s="207" t="s">
        <v>72</v>
      </c>
      <c r="D231" s="275" t="s">
        <v>434</v>
      </c>
      <c r="E231" s="275" t="s">
        <v>435</v>
      </c>
      <c r="F231" s="275" t="s">
        <v>436</v>
      </c>
      <c r="G231" s="275" t="s">
        <v>437</v>
      </c>
      <c r="H231" s="275" t="s">
        <v>438</v>
      </c>
      <c r="I231" s="275" t="s">
        <v>439</v>
      </c>
      <c r="J231" s="275" t="s">
        <v>440</v>
      </c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</row>
    <row r="232" spans="1:27">
      <c r="A232" s="273"/>
      <c r="B232" s="274"/>
      <c r="C232" s="207"/>
      <c r="D232" s="275">
        <v>-286.51119</v>
      </c>
      <c r="E232" s="275">
        <v>-36.180149999999998</v>
      </c>
      <c r="F232" s="275">
        <v>-31.315439999999999</v>
      </c>
      <c r="G232" s="275">
        <v>-30.75872</v>
      </c>
      <c r="H232" s="275">
        <v>-5.3204399999999996</v>
      </c>
      <c r="I232" s="275">
        <v>-3.7804199999999999</v>
      </c>
      <c r="J232" s="275">
        <v>-3.7076500000000001</v>
      </c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</row>
    <row r="233" spans="1:27">
      <c r="A233" s="273"/>
      <c r="B233" s="274"/>
      <c r="C233" s="207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</row>
    <row r="234" spans="1:27">
      <c r="A234" s="273">
        <v>82</v>
      </c>
      <c r="B234" s="274">
        <v>27</v>
      </c>
      <c r="C234" s="207" t="s">
        <v>73</v>
      </c>
      <c r="D234" s="275" t="s">
        <v>434</v>
      </c>
      <c r="E234" s="275" t="s">
        <v>435</v>
      </c>
      <c r="F234" s="275" t="s">
        <v>436</v>
      </c>
      <c r="G234" s="275" t="s">
        <v>437</v>
      </c>
      <c r="H234" s="275" t="s">
        <v>438</v>
      </c>
      <c r="I234" s="275" t="s">
        <v>439</v>
      </c>
      <c r="J234" s="275" t="s">
        <v>440</v>
      </c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</row>
    <row r="235" spans="1:27">
      <c r="A235" s="273"/>
      <c r="B235" s="274"/>
      <c r="C235" s="207"/>
      <c r="D235" s="275">
        <v>-287.25867</v>
      </c>
      <c r="E235" s="275">
        <v>-36.951520000000002</v>
      </c>
      <c r="F235" s="275">
        <v>-32.083820000000003</v>
      </c>
      <c r="G235" s="275">
        <v>-31.527439999999999</v>
      </c>
      <c r="H235" s="275">
        <v>-6.0422500000000001</v>
      </c>
      <c r="I235" s="275">
        <v>-4.4851999999999999</v>
      </c>
      <c r="J235" s="275">
        <v>-4.41106</v>
      </c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</row>
    <row r="236" spans="1:27">
      <c r="A236" s="273"/>
      <c r="B236" s="274"/>
      <c r="C236" s="207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</row>
    <row r="237" spans="1:27">
      <c r="A237" s="273">
        <v>83</v>
      </c>
      <c r="B237" s="274">
        <v>27</v>
      </c>
      <c r="C237" s="207" t="s">
        <v>74</v>
      </c>
      <c r="D237" s="275" t="s">
        <v>434</v>
      </c>
      <c r="E237" s="275" t="s">
        <v>435</v>
      </c>
      <c r="F237" s="275" t="s">
        <v>436</v>
      </c>
      <c r="G237" s="275" t="s">
        <v>437</v>
      </c>
      <c r="H237" s="275" t="s">
        <v>438</v>
      </c>
      <c r="I237" s="275" t="s">
        <v>439</v>
      </c>
      <c r="J237" s="275" t="s">
        <v>440</v>
      </c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</row>
    <row r="238" spans="1:27">
      <c r="A238" s="273"/>
      <c r="B238" s="274"/>
      <c r="C238" s="207"/>
      <c r="D238" s="275">
        <v>-288.12571000000003</v>
      </c>
      <c r="E238" s="275">
        <v>-37.847320000000003</v>
      </c>
      <c r="F238" s="275">
        <v>-32.976140000000001</v>
      </c>
      <c r="G238" s="275">
        <v>-32.420050000000003</v>
      </c>
      <c r="H238" s="275">
        <v>-6.8524900000000004</v>
      </c>
      <c r="I238" s="275">
        <v>-5.2751999999999999</v>
      </c>
      <c r="J238" s="275">
        <v>-5.1990699999999999</v>
      </c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</row>
    <row r="239" spans="1:27">
      <c r="A239" s="273"/>
      <c r="B239" s="274"/>
      <c r="C239" s="207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</row>
    <row r="240" spans="1:27">
      <c r="A240" s="273">
        <v>84</v>
      </c>
      <c r="B240" s="274">
        <v>27</v>
      </c>
      <c r="C240" s="207" t="s">
        <v>75</v>
      </c>
      <c r="D240" s="275" t="s">
        <v>434</v>
      </c>
      <c r="E240" s="275" t="s">
        <v>435</v>
      </c>
      <c r="F240" s="275" t="s">
        <v>436</v>
      </c>
      <c r="G240" s="275" t="s">
        <v>437</v>
      </c>
      <c r="H240" s="275" t="s">
        <v>438</v>
      </c>
      <c r="I240" s="275" t="s">
        <v>439</v>
      </c>
      <c r="J240" s="275" t="s">
        <v>440</v>
      </c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</row>
    <row r="241" spans="1:27">
      <c r="A241" s="273"/>
      <c r="B241" s="274"/>
      <c r="C241" s="207"/>
      <c r="D241" s="275">
        <v>-289.10214000000002</v>
      </c>
      <c r="E241" s="275">
        <v>-38.855510000000002</v>
      </c>
      <c r="F241" s="275">
        <v>-33.980719999999998</v>
      </c>
      <c r="G241" s="275">
        <v>-33.424840000000003</v>
      </c>
      <c r="H241" s="275">
        <v>-7.7372699999999996</v>
      </c>
      <c r="I241" s="275">
        <v>-6.1379200000000003</v>
      </c>
      <c r="J241" s="275">
        <v>-6.0592800000000002</v>
      </c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</row>
    <row r="242" spans="1:27">
      <c r="A242" s="273"/>
      <c r="B242" s="274"/>
      <c r="C242" s="207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</row>
    <row r="243" spans="1:27">
      <c r="A243" s="273">
        <v>85</v>
      </c>
      <c r="B243" s="274">
        <v>28</v>
      </c>
      <c r="C243" s="207" t="s">
        <v>76</v>
      </c>
      <c r="D243" s="275" t="s">
        <v>434</v>
      </c>
      <c r="E243" s="275" t="s">
        <v>435</v>
      </c>
      <c r="F243" s="275" t="s">
        <v>436</v>
      </c>
      <c r="G243" s="275" t="s">
        <v>437</v>
      </c>
      <c r="H243" s="275" t="s">
        <v>438</v>
      </c>
      <c r="I243" s="275" t="s">
        <v>439</v>
      </c>
      <c r="J243" s="275" t="s">
        <v>440</v>
      </c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</row>
    <row r="244" spans="1:27">
      <c r="A244" s="273"/>
      <c r="B244" s="274"/>
      <c r="C244" s="207"/>
      <c r="D244" s="275">
        <v>-308.90141</v>
      </c>
      <c r="E244" s="275">
        <v>-38.702019999999997</v>
      </c>
      <c r="F244" s="275">
        <v>-33.596080000000001</v>
      </c>
      <c r="G244" s="275">
        <v>-32.93974</v>
      </c>
      <c r="H244" s="275">
        <v>-5.0857099999999997</v>
      </c>
      <c r="I244" s="275">
        <v>-3.4620500000000001</v>
      </c>
      <c r="J244" s="275">
        <v>-3.3757999999999999</v>
      </c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</row>
    <row r="245" spans="1:27">
      <c r="A245" s="273"/>
      <c r="B245" s="274"/>
      <c r="C245" s="207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</row>
    <row r="246" spans="1:27">
      <c r="A246" s="273">
        <v>86</v>
      </c>
      <c r="B246" s="274">
        <v>28</v>
      </c>
      <c r="C246" s="207" t="s">
        <v>77</v>
      </c>
      <c r="D246" s="275" t="s">
        <v>434</v>
      </c>
      <c r="E246" s="275" t="s">
        <v>435</v>
      </c>
      <c r="F246" s="275" t="s">
        <v>436</v>
      </c>
      <c r="G246" s="275" t="s">
        <v>437</v>
      </c>
      <c r="H246" s="275" t="s">
        <v>438</v>
      </c>
      <c r="I246" s="275" t="s">
        <v>439</v>
      </c>
      <c r="J246" s="275" t="s">
        <v>440</v>
      </c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</row>
    <row r="247" spans="1:27">
      <c r="A247" s="273"/>
      <c r="B247" s="274"/>
      <c r="C247" s="207"/>
      <c r="D247" s="275">
        <v>-309.53543000000002</v>
      </c>
      <c r="E247" s="275">
        <v>-39.35125</v>
      </c>
      <c r="F247" s="275">
        <v>-34.243110000000001</v>
      </c>
      <c r="G247" s="275">
        <v>-33.587249999999997</v>
      </c>
      <c r="H247" s="275">
        <v>-5.7182300000000001</v>
      </c>
      <c r="I247" s="275">
        <v>-4.0823600000000004</v>
      </c>
      <c r="J247" s="275">
        <v>-3.9956399999999999</v>
      </c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</row>
    <row r="248" spans="1:27">
      <c r="A248" s="273"/>
      <c r="B248" s="274"/>
      <c r="C248" s="207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</row>
    <row r="249" spans="1:27">
      <c r="A249" s="273">
        <v>87</v>
      </c>
      <c r="B249" s="274">
        <v>28</v>
      </c>
      <c r="C249" s="207" t="s">
        <v>78</v>
      </c>
      <c r="D249" s="275" t="s">
        <v>434</v>
      </c>
      <c r="E249" s="275" t="s">
        <v>435</v>
      </c>
      <c r="F249" s="275" t="s">
        <v>436</v>
      </c>
      <c r="G249" s="275" t="s">
        <v>437</v>
      </c>
      <c r="H249" s="275" t="s">
        <v>438</v>
      </c>
      <c r="I249" s="275" t="s">
        <v>439</v>
      </c>
      <c r="J249" s="275" t="s">
        <v>440</v>
      </c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</row>
    <row r="250" spans="1:27">
      <c r="A250" s="273"/>
      <c r="B250" s="274"/>
      <c r="C250" s="207"/>
      <c r="D250" s="275">
        <v>-310.30432999999999</v>
      </c>
      <c r="E250" s="275">
        <v>-40.143810000000002</v>
      </c>
      <c r="F250" s="275">
        <v>-35.032679999999999</v>
      </c>
      <c r="G250" s="275">
        <v>-34.377220000000001</v>
      </c>
      <c r="H250" s="275">
        <v>-6.4622900000000003</v>
      </c>
      <c r="I250" s="275">
        <v>-4.8096800000000002</v>
      </c>
      <c r="J250" s="275">
        <v>-4.7215400000000001</v>
      </c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</row>
    <row r="251" spans="1:27">
      <c r="A251" s="273"/>
      <c r="B251" s="274"/>
      <c r="C251" s="207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</row>
    <row r="252" spans="1:27">
      <c r="A252" s="273">
        <v>88</v>
      </c>
      <c r="B252" s="274">
        <v>28</v>
      </c>
      <c r="C252" s="207" t="s">
        <v>79</v>
      </c>
      <c r="D252" s="275" t="s">
        <v>434</v>
      </c>
      <c r="E252" s="275" t="s">
        <v>435</v>
      </c>
      <c r="F252" s="275" t="s">
        <v>436</v>
      </c>
      <c r="G252" s="275" t="s">
        <v>437</v>
      </c>
      <c r="H252" s="275" t="s">
        <v>438</v>
      </c>
      <c r="I252" s="275" t="s">
        <v>439</v>
      </c>
      <c r="J252" s="275" t="s">
        <v>440</v>
      </c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</row>
    <row r="253" spans="1:27">
      <c r="A253" s="273"/>
      <c r="B253" s="274"/>
      <c r="C253" s="207"/>
      <c r="D253" s="275">
        <v>-311.19344999999998</v>
      </c>
      <c r="E253" s="275">
        <v>-41.060580000000002</v>
      </c>
      <c r="F253" s="275">
        <v>-35.946040000000004</v>
      </c>
      <c r="G253" s="275">
        <v>-35.29092</v>
      </c>
      <c r="H253" s="275">
        <v>-7.2953700000000001</v>
      </c>
      <c r="I253" s="275">
        <v>-5.6229699999999996</v>
      </c>
      <c r="J253" s="275">
        <v>-5.5326899999999997</v>
      </c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</row>
    <row r="254" spans="1:27">
      <c r="A254" s="273"/>
      <c r="B254" s="274"/>
      <c r="C254" s="207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</row>
    <row r="255" spans="1:27">
      <c r="A255" s="273">
        <v>89</v>
      </c>
      <c r="B255" s="274">
        <v>29</v>
      </c>
      <c r="C255" s="207" t="s">
        <v>80</v>
      </c>
      <c r="D255" s="275" t="s">
        <v>434</v>
      </c>
      <c r="E255" s="275" t="s">
        <v>435</v>
      </c>
      <c r="F255" s="275" t="s">
        <v>436</v>
      </c>
      <c r="G255" s="275" t="s">
        <v>437</v>
      </c>
      <c r="H255" s="275" t="s">
        <v>438</v>
      </c>
      <c r="I255" s="275" t="s">
        <v>439</v>
      </c>
      <c r="J255" s="275" t="s">
        <v>440</v>
      </c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</row>
    <row r="256" spans="1:27">
      <c r="A256" s="273"/>
      <c r="B256" s="274"/>
      <c r="C256" s="207"/>
      <c r="D256" s="275">
        <v>-332.82584000000003</v>
      </c>
      <c r="E256" s="275">
        <v>-41.983629999999998</v>
      </c>
      <c r="F256" s="275">
        <v>-36.631520000000002</v>
      </c>
      <c r="G256" s="275">
        <v>-35.863100000000003</v>
      </c>
      <c r="H256" s="275">
        <v>-5.4734999999999996</v>
      </c>
      <c r="I256" s="275">
        <v>-3.7520899999999999</v>
      </c>
      <c r="J256" s="275">
        <v>-3.64995</v>
      </c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</row>
    <row r="257" spans="1:27">
      <c r="A257" s="273"/>
      <c r="B257" s="274"/>
      <c r="C257" s="207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</row>
    <row r="258" spans="1:27">
      <c r="A258" s="273">
        <v>90</v>
      </c>
      <c r="B258" s="274">
        <v>29</v>
      </c>
      <c r="C258" s="207" t="s">
        <v>81</v>
      </c>
      <c r="D258" s="275" t="s">
        <v>434</v>
      </c>
      <c r="E258" s="275" t="s">
        <v>435</v>
      </c>
      <c r="F258" s="275" t="s">
        <v>436</v>
      </c>
      <c r="G258" s="275" t="s">
        <v>437</v>
      </c>
      <c r="H258" s="275" t="s">
        <v>438</v>
      </c>
      <c r="I258" s="275" t="s">
        <v>439</v>
      </c>
      <c r="J258" s="275" t="s">
        <v>440</v>
      </c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</row>
    <row r="259" spans="1:27">
      <c r="A259" s="273"/>
      <c r="B259" s="274"/>
      <c r="C259" s="207"/>
      <c r="D259" s="275">
        <v>-333.47886</v>
      </c>
      <c r="E259" s="275">
        <v>-42.654850000000003</v>
      </c>
      <c r="F259" s="275">
        <v>-37.300339999999998</v>
      </c>
      <c r="G259" s="275">
        <v>-36.532490000000003</v>
      </c>
      <c r="H259" s="275">
        <v>-6.1282199999999998</v>
      </c>
      <c r="I259" s="275">
        <v>-4.3945600000000002</v>
      </c>
      <c r="J259" s="275">
        <v>-4.2920100000000003</v>
      </c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</row>
    <row r="260" spans="1:27">
      <c r="A260" s="273"/>
      <c r="B260" s="274"/>
      <c r="C260" s="207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</row>
    <row r="261" spans="1:27">
      <c r="A261" s="273">
        <v>91</v>
      </c>
      <c r="B261" s="274">
        <v>29</v>
      </c>
      <c r="C261" s="207" t="s">
        <v>82</v>
      </c>
      <c r="D261" s="275" t="s">
        <v>434</v>
      </c>
      <c r="E261" s="275" t="s">
        <v>435</v>
      </c>
      <c r="F261" s="275" t="s">
        <v>436</v>
      </c>
      <c r="G261" s="275" t="s">
        <v>437</v>
      </c>
      <c r="H261" s="275" t="s">
        <v>438</v>
      </c>
      <c r="I261" s="275" t="s">
        <v>439</v>
      </c>
      <c r="J261" s="275" t="s">
        <v>440</v>
      </c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</row>
    <row r="262" spans="1:27">
      <c r="A262" s="273"/>
      <c r="B262" s="274"/>
      <c r="C262" s="207"/>
      <c r="D262" s="275">
        <v>-334.26843000000002</v>
      </c>
      <c r="E262" s="275">
        <v>-43.468629999999997</v>
      </c>
      <c r="F262" s="275">
        <v>-38.11112</v>
      </c>
      <c r="G262" s="275">
        <v>-37.343739999999997</v>
      </c>
      <c r="H262" s="275">
        <v>-6.8945100000000004</v>
      </c>
      <c r="I262" s="275">
        <v>-5.1443500000000002</v>
      </c>
      <c r="J262" s="275">
        <v>-5.0403000000000002</v>
      </c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</row>
    <row r="263" spans="1:27">
      <c r="A263" s="273"/>
      <c r="B263" s="274"/>
      <c r="C263" s="207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</row>
    <row r="264" spans="1:27">
      <c r="A264" s="273">
        <v>92</v>
      </c>
      <c r="B264" s="274">
        <v>29</v>
      </c>
      <c r="C264" s="207" t="s">
        <v>83</v>
      </c>
      <c r="D264" s="275" t="s">
        <v>434</v>
      </c>
      <c r="E264" s="275" t="s">
        <v>435</v>
      </c>
      <c r="F264" s="275" t="s">
        <v>436</v>
      </c>
      <c r="G264" s="275" t="s">
        <v>437</v>
      </c>
      <c r="H264" s="275" t="s">
        <v>438</v>
      </c>
      <c r="I264" s="275" t="s">
        <v>439</v>
      </c>
      <c r="J264" s="275" t="s">
        <v>440</v>
      </c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</row>
    <row r="265" spans="1:27">
      <c r="A265" s="273"/>
      <c r="B265" s="274"/>
      <c r="C265" s="207"/>
      <c r="D265" s="275">
        <v>-335.17984000000001</v>
      </c>
      <c r="E265" s="275">
        <v>-44.406559999999999</v>
      </c>
      <c r="F265" s="275">
        <v>-39.045679999999997</v>
      </c>
      <c r="G265" s="275">
        <v>-38.278689999999997</v>
      </c>
      <c r="H265" s="275">
        <v>-7.7504900000000001</v>
      </c>
      <c r="I265" s="275">
        <v>-5.9808700000000004</v>
      </c>
      <c r="J265" s="275">
        <v>-5.8745500000000002</v>
      </c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</row>
    <row r="266" spans="1:27">
      <c r="A266" s="273"/>
      <c r="B266" s="274"/>
      <c r="C266" s="207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</row>
    <row r="267" spans="1:27">
      <c r="A267" s="273">
        <v>93</v>
      </c>
      <c r="B267" s="274">
        <v>30</v>
      </c>
      <c r="C267" s="207" t="s">
        <v>335</v>
      </c>
      <c r="D267" s="275" t="s">
        <v>434</v>
      </c>
      <c r="E267" s="275" t="s">
        <v>435</v>
      </c>
      <c r="F267" s="275" t="s">
        <v>436</v>
      </c>
      <c r="G267" s="275" t="s">
        <v>437</v>
      </c>
      <c r="H267" s="275" t="s">
        <v>438</v>
      </c>
      <c r="I267" s="275" t="s">
        <v>439</v>
      </c>
      <c r="J267" s="275" t="s">
        <v>440</v>
      </c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</row>
    <row r="268" spans="1:27">
      <c r="A268" s="273"/>
      <c r="B268" s="274"/>
      <c r="C268" s="207"/>
      <c r="D268" s="275">
        <v>-358.34732000000002</v>
      </c>
      <c r="E268" s="275">
        <v>-46.092709999999997</v>
      </c>
      <c r="F268" s="275">
        <v>-40.48874</v>
      </c>
      <c r="G268" s="275">
        <v>-39.594970000000004</v>
      </c>
      <c r="H268" s="275">
        <v>-6.5509399999999998</v>
      </c>
      <c r="I268" s="275">
        <v>-4.7174500000000004</v>
      </c>
      <c r="J268" s="275">
        <v>-4.5969899999999999</v>
      </c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</row>
    <row r="269" spans="1:27">
      <c r="A269" s="273"/>
      <c r="B269" s="274"/>
      <c r="C269" s="207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</row>
    <row r="270" spans="1:27">
      <c r="A270" s="273">
        <v>94</v>
      </c>
      <c r="B270" s="274">
        <v>31</v>
      </c>
      <c r="C270" s="207" t="s">
        <v>84</v>
      </c>
      <c r="D270" s="275" t="s">
        <v>434</v>
      </c>
      <c r="E270" s="275" t="s">
        <v>435</v>
      </c>
      <c r="F270" s="275" t="s">
        <v>436</v>
      </c>
      <c r="G270" s="275" t="s">
        <v>437</v>
      </c>
      <c r="H270" s="275" t="s">
        <v>438</v>
      </c>
      <c r="I270" s="275" t="s">
        <v>439</v>
      </c>
      <c r="J270" s="275" t="s">
        <v>440</v>
      </c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</row>
    <row r="271" spans="1:27">
      <c r="A271" s="273"/>
      <c r="B271" s="274"/>
      <c r="C271" s="207"/>
      <c r="D271" s="275">
        <v>-384.0351</v>
      </c>
      <c r="E271" s="275">
        <v>-49.605550000000001</v>
      </c>
      <c r="F271" s="275">
        <v>-43.739330000000002</v>
      </c>
      <c r="G271" s="275">
        <v>-42.705289999999998</v>
      </c>
      <c r="H271" s="275">
        <v>-6.8851899999999997</v>
      </c>
      <c r="I271" s="275">
        <v>-4.9219499999999998</v>
      </c>
      <c r="J271" s="275">
        <v>-4.7795899999999998</v>
      </c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</row>
    <row r="272" spans="1:27">
      <c r="A272" s="273"/>
      <c r="B272" s="274"/>
      <c r="C272" s="207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</row>
    <row r="273" spans="1:27">
      <c r="A273" s="273">
        <v>95</v>
      </c>
      <c r="B273" s="274">
        <v>31</v>
      </c>
      <c r="C273" s="207" t="s">
        <v>85</v>
      </c>
      <c r="D273" s="275" t="s">
        <v>434</v>
      </c>
      <c r="E273" s="275" t="s">
        <v>435</v>
      </c>
      <c r="F273" s="275" t="s">
        <v>436</v>
      </c>
      <c r="G273" s="275" t="s">
        <v>437</v>
      </c>
      <c r="H273" s="275" t="s">
        <v>438</v>
      </c>
      <c r="I273" s="275" t="s">
        <v>439</v>
      </c>
      <c r="J273" s="275" t="s">
        <v>440</v>
      </c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</row>
    <row r="274" spans="1:27">
      <c r="A274" s="273"/>
      <c r="B274" s="274"/>
      <c r="C274" s="207"/>
      <c r="D274" s="275">
        <v>-384.47557</v>
      </c>
      <c r="E274" s="275">
        <v>-50.037930000000003</v>
      </c>
      <c r="F274" s="275">
        <v>-44.174379999999999</v>
      </c>
      <c r="G274" s="275">
        <v>-43.140259999999998</v>
      </c>
      <c r="H274" s="275">
        <v>-7.3164800000000003</v>
      </c>
      <c r="I274" s="275">
        <v>-5.3580300000000003</v>
      </c>
      <c r="J274" s="275">
        <v>-5.21577</v>
      </c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</row>
    <row r="275" spans="1:27">
      <c r="A275" s="273"/>
      <c r="B275" s="274"/>
      <c r="C275" s="207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</row>
    <row r="276" spans="1:27">
      <c r="A276" s="273">
        <v>96</v>
      </c>
      <c r="B276" s="274">
        <v>31</v>
      </c>
      <c r="C276" s="207" t="s">
        <v>86</v>
      </c>
      <c r="D276" s="275" t="s">
        <v>434</v>
      </c>
      <c r="E276" s="275" t="s">
        <v>435</v>
      </c>
      <c r="F276" s="275" t="s">
        <v>436</v>
      </c>
      <c r="G276" s="275" t="s">
        <v>437</v>
      </c>
      <c r="H276" s="275" t="s">
        <v>438</v>
      </c>
      <c r="I276" s="275" t="s">
        <v>439</v>
      </c>
      <c r="J276" s="275" t="s">
        <v>440</v>
      </c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</row>
    <row r="277" spans="1:27">
      <c r="A277" s="273"/>
      <c r="B277" s="274"/>
      <c r="C277" s="207"/>
      <c r="D277" s="275">
        <v>-384.97035</v>
      </c>
      <c r="E277" s="275">
        <v>-50.522449999999999</v>
      </c>
      <c r="F277" s="275">
        <v>-44.662889999999997</v>
      </c>
      <c r="G277" s="275">
        <v>-43.62876</v>
      </c>
      <c r="H277" s="275">
        <v>-7.7973800000000004</v>
      </c>
      <c r="I277" s="275">
        <v>-5.8457800000000004</v>
      </c>
      <c r="J277" s="275">
        <v>-5.70357</v>
      </c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</row>
    <row r="278" spans="1:27">
      <c r="A278" s="273"/>
      <c r="B278" s="274"/>
      <c r="C278" s="207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</row>
    <row r="279" spans="1:27">
      <c r="A279" s="273">
        <v>97</v>
      </c>
      <c r="B279" s="274">
        <v>32</v>
      </c>
      <c r="C279" s="207" t="s">
        <v>87</v>
      </c>
      <c r="D279" s="275" t="s">
        <v>434</v>
      </c>
      <c r="E279" s="275" t="s">
        <v>435</v>
      </c>
      <c r="F279" s="275" t="s">
        <v>436</v>
      </c>
      <c r="G279" s="275" t="s">
        <v>437</v>
      </c>
      <c r="H279" s="275" t="s">
        <v>438</v>
      </c>
      <c r="I279" s="275" t="s">
        <v>439</v>
      </c>
      <c r="J279" s="275" t="s">
        <v>440</v>
      </c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</row>
    <row r="280" spans="1:27">
      <c r="A280" s="273"/>
      <c r="B280" s="274"/>
      <c r="C280" s="207"/>
      <c r="D280" s="275">
        <v>-411.19675999999998</v>
      </c>
      <c r="E280" s="275">
        <v>-53.789870000000001</v>
      </c>
      <c r="F280" s="275">
        <v>-47.662329999999997</v>
      </c>
      <c r="G280" s="275">
        <v>-46.471690000000002</v>
      </c>
      <c r="H280" s="275">
        <v>-7.74397</v>
      </c>
      <c r="I280" s="275">
        <v>-5.6572800000000001</v>
      </c>
      <c r="J280" s="275">
        <v>-5.4898800000000003</v>
      </c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</row>
    <row r="281" spans="1:27">
      <c r="A281" s="273"/>
      <c r="B281" s="274"/>
      <c r="C281" s="207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</row>
    <row r="282" spans="1:27">
      <c r="A282" s="273">
        <v>98</v>
      </c>
      <c r="B282" s="274">
        <v>32</v>
      </c>
      <c r="C282" s="207" t="s">
        <v>88</v>
      </c>
      <c r="D282" s="275" t="s">
        <v>434</v>
      </c>
      <c r="E282" s="275" t="s">
        <v>435</v>
      </c>
      <c r="F282" s="275" t="s">
        <v>436</v>
      </c>
      <c r="G282" s="275" t="s">
        <v>437</v>
      </c>
      <c r="H282" s="275" t="s">
        <v>438</v>
      </c>
      <c r="I282" s="275" t="s">
        <v>439</v>
      </c>
      <c r="J282" s="275" t="s">
        <v>440</v>
      </c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</row>
    <row r="283" spans="1:27">
      <c r="A283" s="273"/>
      <c r="B283" s="274"/>
      <c r="C283" s="207"/>
      <c r="D283" s="275">
        <v>-411.60422</v>
      </c>
      <c r="E283" s="275">
        <v>-54.191859999999998</v>
      </c>
      <c r="F283" s="275">
        <v>-48.064050000000002</v>
      </c>
      <c r="G283" s="275">
        <v>-46.873489999999997</v>
      </c>
      <c r="H283" s="275">
        <v>-8.14419</v>
      </c>
      <c r="I283" s="275">
        <v>-6.0554300000000003</v>
      </c>
      <c r="J283" s="275">
        <v>-5.8880299999999997</v>
      </c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</row>
    <row r="284" spans="1:27">
      <c r="A284" s="273"/>
      <c r="B284" s="274"/>
      <c r="C284" s="207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</row>
    <row r="285" spans="1:27">
      <c r="A285" s="273">
        <v>99</v>
      </c>
      <c r="B285" s="274">
        <v>32</v>
      </c>
      <c r="C285" s="207" t="s">
        <v>89</v>
      </c>
      <c r="D285" s="275" t="s">
        <v>434</v>
      </c>
      <c r="E285" s="275" t="s">
        <v>435</v>
      </c>
      <c r="F285" s="275" t="s">
        <v>436</v>
      </c>
      <c r="G285" s="275" t="s">
        <v>437</v>
      </c>
      <c r="H285" s="275" t="s">
        <v>438</v>
      </c>
      <c r="I285" s="275" t="s">
        <v>439</v>
      </c>
      <c r="J285" s="275" t="s">
        <v>440</v>
      </c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</row>
    <row r="286" spans="1:27">
      <c r="A286" s="273"/>
      <c r="B286" s="274"/>
      <c r="C286" s="207"/>
      <c r="D286" s="275">
        <v>-412.12603999999999</v>
      </c>
      <c r="E286" s="275">
        <v>-54.701169999999998</v>
      </c>
      <c r="F286" s="275">
        <v>-48.577210000000001</v>
      </c>
      <c r="G286" s="275">
        <v>-47.386620000000001</v>
      </c>
      <c r="H286" s="275">
        <v>-8.6477699999999995</v>
      </c>
      <c r="I286" s="275">
        <v>-6.5652699999999999</v>
      </c>
      <c r="J286" s="275">
        <v>-6.3978299999999999</v>
      </c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</row>
    <row r="287" spans="1:27">
      <c r="A287" s="273"/>
      <c r="B287" s="274"/>
      <c r="C287" s="207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</row>
    <row r="288" spans="1:27">
      <c r="A288" s="273">
        <v>100</v>
      </c>
      <c r="B288" s="274">
        <v>32</v>
      </c>
      <c r="C288" s="207" t="s">
        <v>90</v>
      </c>
      <c r="D288" s="275" t="s">
        <v>434</v>
      </c>
      <c r="E288" s="275" t="s">
        <v>435</v>
      </c>
      <c r="F288" s="275" t="s">
        <v>436</v>
      </c>
      <c r="G288" s="275" t="s">
        <v>437</v>
      </c>
      <c r="H288" s="275" t="s">
        <v>438</v>
      </c>
      <c r="I288" s="275" t="s">
        <v>439</v>
      </c>
      <c r="J288" s="275" t="s">
        <v>440</v>
      </c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</row>
    <row r="289" spans="1:27">
      <c r="A289" s="273"/>
      <c r="B289" s="274"/>
      <c r="C289" s="207"/>
      <c r="D289" s="275">
        <v>-412.69774999999998</v>
      </c>
      <c r="E289" s="275">
        <v>-55.256340000000002</v>
      </c>
      <c r="F289" s="275">
        <v>-49.137590000000003</v>
      </c>
      <c r="G289" s="275">
        <v>-47.946849999999998</v>
      </c>
      <c r="H289" s="275">
        <v>-9.1933699999999998</v>
      </c>
      <c r="I289" s="275">
        <v>-7.1190600000000002</v>
      </c>
      <c r="J289" s="275">
        <v>-6.9515099999999999</v>
      </c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</row>
    <row r="290" spans="1:27">
      <c r="A290" s="273"/>
      <c r="B290" s="274"/>
      <c r="C290" s="207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</row>
    <row r="291" spans="1:27">
      <c r="A291" s="273">
        <v>101</v>
      </c>
      <c r="B291" s="274">
        <v>33</v>
      </c>
      <c r="C291" s="207" t="s">
        <v>336</v>
      </c>
      <c r="D291" s="275" t="s">
        <v>434</v>
      </c>
      <c r="E291" s="275" t="s">
        <v>435</v>
      </c>
      <c r="F291" s="275" t="s">
        <v>436</v>
      </c>
      <c r="G291" s="275" t="s">
        <v>437</v>
      </c>
      <c r="H291" s="275" t="s">
        <v>438</v>
      </c>
      <c r="I291" s="275" t="s">
        <v>439</v>
      </c>
      <c r="J291" s="275" t="s">
        <v>440</v>
      </c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</row>
    <row r="292" spans="1:27">
      <c r="A292" s="273"/>
      <c r="B292" s="274"/>
      <c r="C292" s="207"/>
      <c r="D292" s="275">
        <v>-439.78789999999998</v>
      </c>
      <c r="E292" s="275">
        <v>-58.60089</v>
      </c>
      <c r="F292" s="275">
        <v>-52.207999999999998</v>
      </c>
      <c r="G292" s="275">
        <v>-50.84355</v>
      </c>
      <c r="H292" s="275">
        <v>-9.0767699999999998</v>
      </c>
      <c r="I292" s="275">
        <v>-6.8614800000000002</v>
      </c>
      <c r="J292" s="275">
        <v>-6.66533</v>
      </c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</row>
    <row r="293" spans="1:27">
      <c r="A293" s="273"/>
      <c r="B293" s="274"/>
      <c r="C293" s="207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</row>
    <row r="294" spans="1:27">
      <c r="A294" s="273">
        <v>102</v>
      </c>
      <c r="B294" s="274">
        <v>33</v>
      </c>
      <c r="C294" s="207" t="s">
        <v>91</v>
      </c>
      <c r="D294" s="275" t="s">
        <v>434</v>
      </c>
      <c r="E294" s="275" t="s">
        <v>435</v>
      </c>
      <c r="F294" s="275" t="s">
        <v>436</v>
      </c>
      <c r="G294" s="275" t="s">
        <v>437</v>
      </c>
      <c r="H294" s="275" t="s">
        <v>438</v>
      </c>
      <c r="I294" s="275" t="s">
        <v>439</v>
      </c>
      <c r="J294" s="275" t="s">
        <v>440</v>
      </c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</row>
    <row r="295" spans="1:27">
      <c r="A295" s="273"/>
      <c r="B295" s="274"/>
      <c r="C295" s="207"/>
      <c r="D295" s="275">
        <v>-440.28086000000002</v>
      </c>
      <c r="E295" s="275">
        <v>-59.084989999999998</v>
      </c>
      <c r="F295" s="275">
        <v>-52.692079999999997</v>
      </c>
      <c r="G295" s="275">
        <v>-51.327500000000001</v>
      </c>
      <c r="H295" s="275">
        <v>-9.5551200000000005</v>
      </c>
      <c r="I295" s="275">
        <v>-7.3372299999999999</v>
      </c>
      <c r="J295" s="275">
        <v>-7.1409900000000004</v>
      </c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</row>
    <row r="296" spans="1:27">
      <c r="A296" s="273"/>
      <c r="B296" s="274"/>
      <c r="C296" s="207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</row>
    <row r="297" spans="1:27">
      <c r="A297" s="273">
        <v>103</v>
      </c>
      <c r="B297" s="274">
        <v>33</v>
      </c>
      <c r="C297" s="207" t="s">
        <v>337</v>
      </c>
      <c r="D297" s="275" t="s">
        <v>434</v>
      </c>
      <c r="E297" s="275" t="s">
        <v>435</v>
      </c>
      <c r="F297" s="275" t="s">
        <v>436</v>
      </c>
      <c r="G297" s="275" t="s">
        <v>437</v>
      </c>
      <c r="H297" s="275" t="s">
        <v>438</v>
      </c>
      <c r="I297" s="275" t="s">
        <v>439</v>
      </c>
      <c r="J297" s="275" t="s">
        <v>440</v>
      </c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</row>
    <row r="298" spans="1:27">
      <c r="A298" s="273"/>
      <c r="B298" s="274"/>
      <c r="C298" s="207"/>
      <c r="D298" s="275">
        <v>-441.51918000000001</v>
      </c>
      <c r="E298" s="275">
        <v>-60.28586</v>
      </c>
      <c r="F298" s="275">
        <v>-53.904530000000001</v>
      </c>
      <c r="G298" s="275">
        <v>-52.539650000000002</v>
      </c>
      <c r="H298" s="275">
        <v>-10.72851</v>
      </c>
      <c r="I298" s="275">
        <v>-8.5278799999999997</v>
      </c>
      <c r="J298" s="275">
        <v>-8.3311799999999998</v>
      </c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</row>
    <row r="299" spans="1:27">
      <c r="A299" s="273"/>
      <c r="B299" s="274"/>
      <c r="C299" s="207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</row>
    <row r="300" spans="1:27">
      <c r="A300" s="273">
        <v>104</v>
      </c>
      <c r="B300" s="274">
        <v>34</v>
      </c>
      <c r="C300" s="207" t="s">
        <v>338</v>
      </c>
      <c r="D300" s="275" t="s">
        <v>434</v>
      </c>
      <c r="E300" s="275" t="s">
        <v>435</v>
      </c>
      <c r="F300" s="275" t="s">
        <v>436</v>
      </c>
      <c r="G300" s="275" t="s">
        <v>437</v>
      </c>
      <c r="H300" s="275" t="s">
        <v>438</v>
      </c>
      <c r="I300" s="275" t="s">
        <v>439</v>
      </c>
      <c r="J300" s="275" t="s">
        <v>440</v>
      </c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</row>
    <row r="301" spans="1:27">
      <c r="A301" s="273"/>
      <c r="B301" s="274"/>
      <c r="C301" s="207"/>
      <c r="D301" s="275">
        <v>-468.96926000000002</v>
      </c>
      <c r="E301" s="275">
        <v>-63.20926</v>
      </c>
      <c r="F301" s="275">
        <v>-56.547600000000003</v>
      </c>
      <c r="G301" s="275">
        <v>-54.990479999999998</v>
      </c>
      <c r="H301" s="275">
        <v>-10.05796</v>
      </c>
      <c r="I301" s="275">
        <v>-7.7136699999999996</v>
      </c>
      <c r="J301" s="275">
        <v>-7.48482</v>
      </c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</row>
    <row r="302" spans="1:27">
      <c r="A302" s="273"/>
      <c r="B302" s="274"/>
      <c r="C302" s="207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</row>
    <row r="303" spans="1:27">
      <c r="A303" s="273">
        <v>105</v>
      </c>
      <c r="B303" s="274">
        <v>34</v>
      </c>
      <c r="C303" s="207" t="s">
        <v>339</v>
      </c>
      <c r="D303" s="275" t="s">
        <v>434</v>
      </c>
      <c r="E303" s="275" t="s">
        <v>435</v>
      </c>
      <c r="F303" s="275" t="s">
        <v>436</v>
      </c>
      <c r="G303" s="275" t="s">
        <v>437</v>
      </c>
      <c r="H303" s="275" t="s">
        <v>438</v>
      </c>
      <c r="I303" s="275" t="s">
        <v>439</v>
      </c>
      <c r="J303" s="275" t="s">
        <v>440</v>
      </c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</row>
    <row r="304" spans="1:27">
      <c r="A304" s="273"/>
      <c r="B304" s="274"/>
      <c r="C304" s="207"/>
      <c r="D304" s="275">
        <v>-470.05750999999998</v>
      </c>
      <c r="E304" s="275">
        <v>-64.275819999999996</v>
      </c>
      <c r="F304" s="275">
        <v>-57.61448</v>
      </c>
      <c r="G304" s="275">
        <v>-56.057110000000002</v>
      </c>
      <c r="H304" s="275">
        <v>-11.10698</v>
      </c>
      <c r="I304" s="275">
        <v>-8.7569900000000001</v>
      </c>
      <c r="J304" s="275">
        <v>-8.5278200000000002</v>
      </c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</row>
    <row r="305" spans="1:27">
      <c r="A305" s="273"/>
      <c r="B305" s="274"/>
      <c r="C305" s="207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</row>
    <row r="306" spans="1:27">
      <c r="A306" s="273">
        <v>106</v>
      </c>
      <c r="B306" s="274">
        <v>34</v>
      </c>
      <c r="C306" s="207" t="s">
        <v>340</v>
      </c>
      <c r="D306" s="275" t="s">
        <v>434</v>
      </c>
      <c r="E306" s="275" t="s">
        <v>435</v>
      </c>
      <c r="F306" s="275" t="s">
        <v>436</v>
      </c>
      <c r="G306" s="275" t="s">
        <v>437</v>
      </c>
      <c r="H306" s="275" t="s">
        <v>438</v>
      </c>
      <c r="I306" s="275" t="s">
        <v>439</v>
      </c>
      <c r="J306" s="275" t="s">
        <v>440</v>
      </c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</row>
    <row r="307" spans="1:27">
      <c r="A307" s="273"/>
      <c r="B307" s="274"/>
      <c r="C307" s="207"/>
      <c r="D307" s="275">
        <v>-471.43239</v>
      </c>
      <c r="E307" s="275">
        <v>-65.606319999999997</v>
      </c>
      <c r="F307" s="275">
        <v>-58.959150000000001</v>
      </c>
      <c r="G307" s="275">
        <v>-57.401260000000001</v>
      </c>
      <c r="H307" s="275">
        <v>-12.39678</v>
      </c>
      <c r="I307" s="275">
        <v>-10.066940000000001</v>
      </c>
      <c r="J307" s="275">
        <v>-9.8369499999999999</v>
      </c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</row>
    <row r="308" spans="1:27">
      <c r="A308" s="273"/>
      <c r="B308" s="274"/>
      <c r="C308" s="207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</row>
    <row r="309" spans="1:27">
      <c r="A309" s="273">
        <v>107</v>
      </c>
      <c r="B309" s="274">
        <v>35</v>
      </c>
      <c r="C309" s="207" t="s">
        <v>92</v>
      </c>
      <c r="D309" s="275" t="s">
        <v>434</v>
      </c>
      <c r="E309" s="275" t="s">
        <v>435</v>
      </c>
      <c r="F309" s="275" t="s">
        <v>436</v>
      </c>
      <c r="G309" s="275" t="s">
        <v>437</v>
      </c>
      <c r="H309" s="275" t="s">
        <v>438</v>
      </c>
      <c r="I309" s="275" t="s">
        <v>439</v>
      </c>
      <c r="J309" s="275" t="s">
        <v>440</v>
      </c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</row>
    <row r="310" spans="1:27">
      <c r="A310" s="273"/>
      <c r="B310" s="274"/>
      <c r="C310" s="207"/>
      <c r="D310" s="275">
        <v>-498.66971000000001</v>
      </c>
      <c r="E310" s="275">
        <v>-67.538809999999998</v>
      </c>
      <c r="F310" s="275">
        <v>-60.604869999999998</v>
      </c>
      <c r="G310" s="275">
        <v>-58.835009999999997</v>
      </c>
      <c r="H310" s="275">
        <v>-10.613580000000001</v>
      </c>
      <c r="I310" s="275">
        <v>-8.1402699999999992</v>
      </c>
      <c r="J310" s="275">
        <v>-7.8745000000000003</v>
      </c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</row>
    <row r="311" spans="1:27">
      <c r="A311" s="273"/>
      <c r="B311" s="274"/>
      <c r="C311" s="207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</row>
    <row r="312" spans="1:27">
      <c r="A312" s="273">
        <v>108</v>
      </c>
      <c r="B312" s="274">
        <v>35</v>
      </c>
      <c r="C312" s="207" t="s">
        <v>341</v>
      </c>
      <c r="D312" s="275" t="s">
        <v>434</v>
      </c>
      <c r="E312" s="275" t="s">
        <v>435</v>
      </c>
      <c r="F312" s="275" t="s">
        <v>436</v>
      </c>
      <c r="G312" s="275" t="s">
        <v>437</v>
      </c>
      <c r="H312" s="275" t="s">
        <v>438</v>
      </c>
      <c r="I312" s="275" t="s">
        <v>439</v>
      </c>
      <c r="J312" s="275" t="s">
        <v>440</v>
      </c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</row>
    <row r="313" spans="1:27">
      <c r="A313" s="273"/>
      <c r="B313" s="274"/>
      <c r="C313" s="207"/>
      <c r="D313" s="275">
        <v>-499.69495999999998</v>
      </c>
      <c r="E313" s="275">
        <v>-68.549279999999996</v>
      </c>
      <c r="F313" s="275">
        <v>-61.615209999999998</v>
      </c>
      <c r="G313" s="275">
        <v>-59.845170000000003</v>
      </c>
      <c r="H313" s="275">
        <v>-11.61116</v>
      </c>
      <c r="I313" s="275">
        <v>-9.1331199999999999</v>
      </c>
      <c r="J313" s="275">
        <v>-8.8672000000000004</v>
      </c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</row>
    <row r="314" spans="1:27">
      <c r="A314" s="273"/>
      <c r="B314" s="274"/>
      <c r="C314" s="207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</row>
    <row r="315" spans="1:27">
      <c r="A315" s="273">
        <v>109</v>
      </c>
      <c r="B315" s="274">
        <v>35</v>
      </c>
      <c r="C315" s="207" t="s">
        <v>93</v>
      </c>
      <c r="D315" s="275" t="s">
        <v>434</v>
      </c>
      <c r="E315" s="275" t="s">
        <v>435</v>
      </c>
      <c r="F315" s="275" t="s">
        <v>436</v>
      </c>
      <c r="G315" s="275" t="s">
        <v>437</v>
      </c>
      <c r="H315" s="275" t="s">
        <v>438</v>
      </c>
      <c r="I315" s="275" t="s">
        <v>439</v>
      </c>
      <c r="J315" s="275" t="s">
        <v>440</v>
      </c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</row>
    <row r="316" spans="1:27">
      <c r="A316" s="273"/>
      <c r="B316" s="274"/>
      <c r="C316" s="207"/>
      <c r="D316" s="275">
        <v>-500.28976999999998</v>
      </c>
      <c r="E316" s="275">
        <v>-69.131360000000001</v>
      </c>
      <c r="F316" s="275">
        <v>-62.19764</v>
      </c>
      <c r="G316" s="275">
        <v>-60.427390000000003</v>
      </c>
      <c r="H316" s="275">
        <v>-12.18136</v>
      </c>
      <c r="I316" s="275">
        <v>-9.7002799999999993</v>
      </c>
      <c r="J316" s="275">
        <v>-9.4341100000000004</v>
      </c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</row>
    <row r="317" spans="1:27">
      <c r="A317" s="273"/>
      <c r="B317" s="274"/>
      <c r="C317" s="207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</row>
    <row r="318" spans="1:27">
      <c r="A318" s="273">
        <v>110</v>
      </c>
      <c r="B318" s="274">
        <v>35</v>
      </c>
      <c r="C318" s="207" t="s">
        <v>94</v>
      </c>
      <c r="D318" s="275" t="s">
        <v>434</v>
      </c>
      <c r="E318" s="275" t="s">
        <v>435</v>
      </c>
      <c r="F318" s="275" t="s">
        <v>436</v>
      </c>
      <c r="G318" s="275" t="s">
        <v>437</v>
      </c>
      <c r="H318" s="275" t="s">
        <v>438</v>
      </c>
      <c r="I318" s="275" t="s">
        <v>439</v>
      </c>
      <c r="J318" s="275" t="s">
        <v>440</v>
      </c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</row>
    <row r="319" spans="1:27">
      <c r="A319" s="273"/>
      <c r="B319" s="274"/>
      <c r="C319" s="207"/>
      <c r="D319" s="275">
        <v>-500.93561999999997</v>
      </c>
      <c r="E319" s="275">
        <v>-69.759799999999998</v>
      </c>
      <c r="F319" s="275">
        <v>-62.826770000000003</v>
      </c>
      <c r="G319" s="275">
        <v>-61.056220000000003</v>
      </c>
      <c r="H319" s="275">
        <v>-12.793509999999999</v>
      </c>
      <c r="I319" s="275">
        <v>-10.30893</v>
      </c>
      <c r="J319" s="275">
        <v>-10.042400000000001</v>
      </c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</row>
    <row r="320" spans="1:27">
      <c r="A320" s="273"/>
      <c r="B320" s="274"/>
      <c r="C320" s="207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</row>
    <row r="321" spans="1:27">
      <c r="A321" s="273">
        <v>111</v>
      </c>
      <c r="B321" s="274">
        <v>35</v>
      </c>
      <c r="C321" s="207" t="s">
        <v>342</v>
      </c>
      <c r="D321" s="275" t="s">
        <v>434</v>
      </c>
      <c r="E321" s="275" t="s">
        <v>435</v>
      </c>
      <c r="F321" s="275" t="s">
        <v>436</v>
      </c>
      <c r="G321" s="275" t="s">
        <v>437</v>
      </c>
      <c r="H321" s="275" t="s">
        <v>438</v>
      </c>
      <c r="I321" s="275" t="s">
        <v>439</v>
      </c>
      <c r="J321" s="275" t="s">
        <v>440</v>
      </c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</row>
    <row r="322" spans="1:27">
      <c r="A322" s="273"/>
      <c r="B322" s="274"/>
      <c r="C322" s="207"/>
      <c r="D322" s="275">
        <v>-502.44292000000002</v>
      </c>
      <c r="E322" s="275">
        <v>-71.215220000000002</v>
      </c>
      <c r="F322" s="275">
        <v>-64.299040000000005</v>
      </c>
      <c r="G322" s="275">
        <v>-62.52787</v>
      </c>
      <c r="H322" s="275">
        <v>-14.194520000000001</v>
      </c>
      <c r="I322" s="275">
        <v>-11.73305</v>
      </c>
      <c r="J322" s="275">
        <v>-11.46533</v>
      </c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</row>
    <row r="323" spans="1:27">
      <c r="A323" s="273"/>
      <c r="B323" s="274"/>
      <c r="C323" s="207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</row>
    <row r="324" spans="1:27">
      <c r="A324" s="273">
        <v>112</v>
      </c>
      <c r="B324" s="274">
        <v>35</v>
      </c>
      <c r="C324" s="207" t="s">
        <v>343</v>
      </c>
      <c r="D324" s="275" t="s">
        <v>434</v>
      </c>
      <c r="E324" s="275" t="s">
        <v>435</v>
      </c>
      <c r="F324" s="275" t="s">
        <v>436</v>
      </c>
      <c r="G324" s="275" t="s">
        <v>437</v>
      </c>
      <c r="H324" s="275" t="s">
        <v>438</v>
      </c>
      <c r="I324" s="275" t="s">
        <v>439</v>
      </c>
      <c r="J324" s="275" t="s">
        <v>440</v>
      </c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</row>
    <row r="325" spans="1:27">
      <c r="A325" s="273"/>
      <c r="B325" s="274"/>
      <c r="C325" s="207"/>
      <c r="D325" s="275">
        <v>-497.90741000000003</v>
      </c>
      <c r="E325" s="275">
        <v>-66.784099999999995</v>
      </c>
      <c r="F325" s="275">
        <v>-59.851050000000001</v>
      </c>
      <c r="G325" s="275">
        <v>-58.081040000000002</v>
      </c>
      <c r="H325" s="275">
        <v>-9.8607600000000009</v>
      </c>
      <c r="I325" s="275">
        <v>-7.3903400000000001</v>
      </c>
      <c r="J325" s="275">
        <v>-7.12418</v>
      </c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</row>
    <row r="326" spans="1:27">
      <c r="A326" s="273"/>
      <c r="B326" s="274"/>
      <c r="C326" s="207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</row>
    <row r="327" spans="1:27">
      <c r="A327" s="273">
        <v>113</v>
      </c>
      <c r="B327" s="274">
        <v>36</v>
      </c>
      <c r="C327" s="207" t="s">
        <v>344</v>
      </c>
      <c r="D327" s="275" t="s">
        <v>434</v>
      </c>
      <c r="E327" s="275" t="s">
        <v>435</v>
      </c>
      <c r="F327" s="275" t="s">
        <v>436</v>
      </c>
      <c r="G327" s="275" t="s">
        <v>437</v>
      </c>
      <c r="H327" s="275" t="s">
        <v>438</v>
      </c>
      <c r="I327" s="275" t="s">
        <v>439</v>
      </c>
      <c r="J327" s="275" t="s">
        <v>440</v>
      </c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</row>
    <row r="328" spans="1:27">
      <c r="A328" s="273"/>
      <c r="B328" s="274"/>
      <c r="C328" s="207"/>
      <c r="D328" s="275">
        <v>-530.34550999999999</v>
      </c>
      <c r="E328" s="275">
        <v>-73.023970000000006</v>
      </c>
      <c r="F328" s="275">
        <v>-65.813720000000004</v>
      </c>
      <c r="G328" s="275">
        <v>-63.80941</v>
      </c>
      <c r="H328" s="275">
        <v>-12.16278</v>
      </c>
      <c r="I328" s="275">
        <v>-9.5542599999999993</v>
      </c>
      <c r="J328" s="275">
        <v>-9.24695</v>
      </c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</row>
    <row r="329" spans="1:27">
      <c r="A329" s="273"/>
      <c r="B329" s="274"/>
      <c r="C329" s="207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</row>
    <row r="330" spans="1:27">
      <c r="A330" s="273">
        <v>114</v>
      </c>
      <c r="B330" s="274">
        <v>37</v>
      </c>
      <c r="C330" s="207" t="s">
        <v>95</v>
      </c>
      <c r="D330" s="275" t="s">
        <v>434</v>
      </c>
      <c r="E330" s="275" t="s">
        <v>435</v>
      </c>
      <c r="F330" s="275" t="s">
        <v>436</v>
      </c>
      <c r="G330" s="275" t="s">
        <v>437</v>
      </c>
      <c r="H330" s="275" t="s">
        <v>438</v>
      </c>
      <c r="I330" s="275" t="s">
        <v>439</v>
      </c>
      <c r="J330" s="275" t="s">
        <v>440</v>
      </c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</row>
    <row r="331" spans="1:27">
      <c r="A331" s="273"/>
      <c r="B331" s="274"/>
      <c r="C331" s="207"/>
      <c r="D331" s="275">
        <v>-562.01660000000004</v>
      </c>
      <c r="E331" s="275">
        <v>-77.703159999999997</v>
      </c>
      <c r="F331" s="275">
        <v>-70.213239999999999</v>
      </c>
      <c r="G331" s="275">
        <v>-67.951480000000004</v>
      </c>
      <c r="H331" s="275">
        <v>-12.76362</v>
      </c>
      <c r="I331" s="275">
        <v>-10.02243</v>
      </c>
      <c r="J331" s="275">
        <v>-9.6686499999999995</v>
      </c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</row>
    <row r="332" spans="1:27">
      <c r="A332" s="273"/>
      <c r="B332" s="274"/>
      <c r="C332" s="207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</row>
    <row r="333" spans="1:27">
      <c r="A333" s="273">
        <v>115</v>
      </c>
      <c r="B333" s="274">
        <v>38</v>
      </c>
      <c r="C333" s="207" t="s">
        <v>345</v>
      </c>
      <c r="D333" s="275" t="s">
        <v>434</v>
      </c>
      <c r="E333" s="275" t="s">
        <v>435</v>
      </c>
      <c r="F333" s="275" t="s">
        <v>436</v>
      </c>
      <c r="G333" s="275" t="s">
        <v>437</v>
      </c>
      <c r="H333" s="275" t="s">
        <v>438</v>
      </c>
      <c r="I333" s="275" t="s">
        <v>439</v>
      </c>
      <c r="J333" s="275" t="s">
        <v>440</v>
      </c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</row>
    <row r="334" spans="1:27">
      <c r="A334" s="273"/>
      <c r="B334" s="274"/>
      <c r="C334" s="207"/>
      <c r="D334" s="275">
        <v>-595.77668000000006</v>
      </c>
      <c r="E334" s="275">
        <v>-83.640929999999997</v>
      </c>
      <c r="F334" s="275">
        <v>-75.867379999999997</v>
      </c>
      <c r="G334" s="275">
        <v>-73.323459999999997</v>
      </c>
      <c r="H334" s="275">
        <v>-14.45608</v>
      </c>
      <c r="I334" s="275">
        <v>-11.576230000000001</v>
      </c>
      <c r="J334" s="275">
        <v>-11.1707</v>
      </c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</row>
    <row r="335" spans="1:27">
      <c r="A335" s="273"/>
      <c r="B335" s="274"/>
      <c r="C335" s="207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</row>
    <row r="336" spans="1:27">
      <c r="A336" s="273">
        <v>116</v>
      </c>
      <c r="B336" s="274">
        <v>39</v>
      </c>
      <c r="C336" s="207" t="s">
        <v>346</v>
      </c>
      <c r="D336" s="275" t="s">
        <v>434</v>
      </c>
      <c r="E336" s="275" t="s">
        <v>435</v>
      </c>
      <c r="F336" s="275" t="s">
        <v>436</v>
      </c>
      <c r="G336" s="275" t="s">
        <v>437</v>
      </c>
      <c r="H336" s="275" t="s">
        <v>438</v>
      </c>
      <c r="I336" s="275" t="s">
        <v>439</v>
      </c>
      <c r="J336" s="275" t="s">
        <v>440</v>
      </c>
      <c r="K336" s="275" t="s">
        <v>441</v>
      </c>
      <c r="L336" s="275" t="s">
        <v>442</v>
      </c>
      <c r="M336" s="275" t="s">
        <v>443</v>
      </c>
      <c r="N336" s="275" t="s">
        <v>444</v>
      </c>
      <c r="O336" s="275" t="s">
        <v>445</v>
      </c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</row>
    <row r="337" spans="1:27">
      <c r="A337" s="273"/>
      <c r="B337" s="274"/>
      <c r="C337" s="207"/>
      <c r="D337" s="275">
        <v>-630.20135000000005</v>
      </c>
      <c r="E337" s="275">
        <v>-89.411140000000003</v>
      </c>
      <c r="F337" s="275">
        <v>-81.351389999999995</v>
      </c>
      <c r="G337" s="275">
        <v>-78.498689999999996</v>
      </c>
      <c r="H337" s="275">
        <v>-15.824199999999999</v>
      </c>
      <c r="I337" s="275">
        <v>-12.80395</v>
      </c>
      <c r="J337" s="275">
        <v>-12.34093</v>
      </c>
      <c r="K337" s="275">
        <v>-7.0416699999999999</v>
      </c>
      <c r="L337" s="275">
        <v>-6.9589800000000004</v>
      </c>
      <c r="M337" s="275">
        <v>-2.73732</v>
      </c>
      <c r="N337" s="275">
        <v>-1.84599</v>
      </c>
      <c r="O337" s="275">
        <v>-1.7881899999999999</v>
      </c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</row>
    <row r="338" spans="1:27">
      <c r="A338" s="273"/>
      <c r="B338" s="274"/>
      <c r="C338" s="207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</row>
    <row r="339" spans="1:27">
      <c r="A339" s="273">
        <v>117</v>
      </c>
      <c r="B339" s="274">
        <v>39</v>
      </c>
      <c r="C339" s="207" t="s">
        <v>96</v>
      </c>
      <c r="D339" s="275" t="s">
        <v>434</v>
      </c>
      <c r="E339" s="275" t="s">
        <v>435</v>
      </c>
      <c r="F339" s="275" t="s">
        <v>436</v>
      </c>
      <c r="G339" s="275" t="s">
        <v>437</v>
      </c>
      <c r="H339" s="275" t="s">
        <v>438</v>
      </c>
      <c r="I339" s="275" t="s">
        <v>439</v>
      </c>
      <c r="J339" s="275" t="s">
        <v>440</v>
      </c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</row>
    <row r="340" spans="1:27">
      <c r="A340" s="273"/>
      <c r="B340" s="274"/>
      <c r="C340" s="207"/>
      <c r="D340" s="275">
        <v>-630.66778999999997</v>
      </c>
      <c r="E340" s="275">
        <v>-89.883319999999998</v>
      </c>
      <c r="F340" s="275">
        <v>-81.822749999999999</v>
      </c>
      <c r="G340" s="275">
        <v>-78.970190000000002</v>
      </c>
      <c r="H340" s="275">
        <v>-16.292249999999999</v>
      </c>
      <c r="I340" s="275">
        <v>-13.271789999999999</v>
      </c>
      <c r="J340" s="275">
        <v>-12.808680000000001</v>
      </c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</row>
    <row r="341" spans="1:27">
      <c r="A341" s="273"/>
      <c r="B341" s="274"/>
      <c r="C341" s="207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</row>
    <row r="342" spans="1:27">
      <c r="A342" s="273">
        <v>118</v>
      </c>
      <c r="B342" s="274">
        <v>40</v>
      </c>
      <c r="C342" s="207" t="s">
        <v>97</v>
      </c>
      <c r="D342" s="275" t="s">
        <v>434</v>
      </c>
      <c r="E342" s="275" t="s">
        <v>435</v>
      </c>
      <c r="F342" s="275" t="s">
        <v>436</v>
      </c>
      <c r="G342" s="275" t="s">
        <v>437</v>
      </c>
      <c r="H342" s="275" t="s">
        <v>438</v>
      </c>
      <c r="I342" s="275" t="s">
        <v>439</v>
      </c>
      <c r="J342" s="275" t="s">
        <v>440</v>
      </c>
      <c r="K342" s="275" t="s">
        <v>441</v>
      </c>
      <c r="L342" s="275" t="s">
        <v>442</v>
      </c>
      <c r="M342" s="275" t="s">
        <v>443</v>
      </c>
      <c r="N342" s="275" t="s">
        <v>444</v>
      </c>
      <c r="O342" s="275" t="s">
        <v>445</v>
      </c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</row>
    <row r="343" spans="1:27">
      <c r="A343" s="273"/>
      <c r="B343" s="274"/>
      <c r="C343" s="207"/>
      <c r="D343" s="275">
        <v>-665.36202000000003</v>
      </c>
      <c r="E343" s="275">
        <v>-95.084689999999995</v>
      </c>
      <c r="F343" s="275">
        <v>-86.734440000000006</v>
      </c>
      <c r="G343" s="275">
        <v>-83.544870000000003</v>
      </c>
      <c r="H343" s="275">
        <v>-16.93891</v>
      </c>
      <c r="I343" s="275">
        <v>-13.775080000000001</v>
      </c>
      <c r="J343" s="275">
        <v>-13.24845</v>
      </c>
      <c r="K343" s="275">
        <v>-7.6934199999999997</v>
      </c>
      <c r="L343" s="275">
        <v>-7.5975799999999998</v>
      </c>
      <c r="M343" s="275">
        <v>-2.7499500000000001</v>
      </c>
      <c r="N343" s="275">
        <v>-1.78746</v>
      </c>
      <c r="O343" s="275">
        <v>-1.7177100000000001</v>
      </c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</row>
    <row r="344" spans="1:27">
      <c r="A344" s="273"/>
      <c r="B344" s="274"/>
      <c r="C344" s="207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</row>
    <row r="345" spans="1:27">
      <c r="A345" s="273">
        <v>119</v>
      </c>
      <c r="B345" s="274">
        <v>40</v>
      </c>
      <c r="C345" s="207" t="s">
        <v>98</v>
      </c>
      <c r="D345" s="275" t="s">
        <v>434</v>
      </c>
      <c r="E345" s="275" t="s">
        <v>435</v>
      </c>
      <c r="F345" s="275" t="s">
        <v>436</v>
      </c>
      <c r="G345" s="275" t="s">
        <v>437</v>
      </c>
      <c r="H345" s="275" t="s">
        <v>438</v>
      </c>
      <c r="I345" s="275" t="s">
        <v>439</v>
      </c>
      <c r="J345" s="275" t="s">
        <v>440</v>
      </c>
      <c r="K345" s="275" t="s">
        <v>441</v>
      </c>
      <c r="L345" s="275" t="s">
        <v>442</v>
      </c>
      <c r="M345" s="275" t="s">
        <v>443</v>
      </c>
      <c r="N345" s="275" t="s">
        <v>444</v>
      </c>
      <c r="O345" s="275" t="s">
        <v>445</v>
      </c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</row>
    <row r="346" spans="1:27">
      <c r="A346" s="273"/>
      <c r="B346" s="274"/>
      <c r="C346" s="207"/>
      <c r="D346" s="275">
        <v>-665.65220999999997</v>
      </c>
      <c r="E346" s="275">
        <v>-95.371989999999997</v>
      </c>
      <c r="F346" s="275">
        <v>-87.022779999999997</v>
      </c>
      <c r="G346" s="275">
        <v>-83.833190000000002</v>
      </c>
      <c r="H346" s="275">
        <v>-17.224869999999999</v>
      </c>
      <c r="I346" s="275">
        <v>-14.06244</v>
      </c>
      <c r="J346" s="275">
        <v>-13.535819999999999</v>
      </c>
      <c r="K346" s="275">
        <v>-7.9811899999999998</v>
      </c>
      <c r="L346" s="275">
        <v>-7.8853600000000004</v>
      </c>
      <c r="M346" s="275">
        <v>-3.03085</v>
      </c>
      <c r="N346" s="275">
        <v>-2.0718100000000002</v>
      </c>
      <c r="O346" s="275">
        <v>-2.0019499999999999</v>
      </c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</row>
    <row r="347" spans="1:27">
      <c r="A347" s="273"/>
      <c r="B347" s="274"/>
      <c r="C347" s="207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</row>
    <row r="348" spans="1:27">
      <c r="A348" s="273">
        <v>120</v>
      </c>
      <c r="B348" s="274">
        <v>40</v>
      </c>
      <c r="C348" s="207" t="s">
        <v>99</v>
      </c>
      <c r="D348" s="275" t="s">
        <v>434</v>
      </c>
      <c r="E348" s="275" t="s">
        <v>435</v>
      </c>
      <c r="F348" s="275" t="s">
        <v>436</v>
      </c>
      <c r="G348" s="275" t="s">
        <v>437</v>
      </c>
      <c r="H348" s="275" t="s">
        <v>438</v>
      </c>
      <c r="I348" s="275" t="s">
        <v>439</v>
      </c>
      <c r="J348" s="275" t="s">
        <v>440</v>
      </c>
      <c r="K348" s="275" t="s">
        <v>441</v>
      </c>
      <c r="L348" s="275" t="s">
        <v>442</v>
      </c>
      <c r="M348" s="275" t="s">
        <v>443</v>
      </c>
      <c r="N348" s="275" t="s">
        <v>444</v>
      </c>
      <c r="O348" s="275" t="s">
        <v>445</v>
      </c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</row>
    <row r="349" spans="1:27">
      <c r="A349" s="273"/>
      <c r="B349" s="274"/>
      <c r="C349" s="207"/>
      <c r="D349" s="275">
        <v>-666.13571999999999</v>
      </c>
      <c r="E349" s="275">
        <v>-95.862639999999999</v>
      </c>
      <c r="F349" s="275">
        <v>-87.512630000000001</v>
      </c>
      <c r="G349" s="275">
        <v>-84.3232</v>
      </c>
      <c r="H349" s="275">
        <v>-17.711259999999999</v>
      </c>
      <c r="I349" s="275">
        <v>-14.54865</v>
      </c>
      <c r="J349" s="275">
        <v>-14.021929999999999</v>
      </c>
      <c r="K349" s="275">
        <v>-8.4654299999999996</v>
      </c>
      <c r="L349" s="275">
        <v>-8.3695799999999991</v>
      </c>
      <c r="M349" s="275">
        <v>-3.4930599999999998</v>
      </c>
      <c r="N349" s="275">
        <v>-2.5180400000000001</v>
      </c>
      <c r="O349" s="275">
        <v>-2.4463400000000002</v>
      </c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</row>
    <row r="350" spans="1:27">
      <c r="A350" s="273"/>
      <c r="B350" s="274"/>
      <c r="C350" s="207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</row>
    <row r="351" spans="1:27">
      <c r="A351" s="273">
        <v>121</v>
      </c>
      <c r="B351" s="274">
        <v>40</v>
      </c>
      <c r="C351" s="207" t="s">
        <v>100</v>
      </c>
      <c r="D351" s="275" t="s">
        <v>434</v>
      </c>
      <c r="E351" s="275" t="s">
        <v>435</v>
      </c>
      <c r="F351" s="275" t="s">
        <v>436</v>
      </c>
      <c r="G351" s="275" t="s">
        <v>437</v>
      </c>
      <c r="H351" s="275" t="s">
        <v>438</v>
      </c>
      <c r="I351" s="275" t="s">
        <v>439</v>
      </c>
      <c r="J351" s="275" t="s">
        <v>440</v>
      </c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</row>
    <row r="352" spans="1:27">
      <c r="A352" s="273"/>
      <c r="B352" s="274"/>
      <c r="C352" s="207"/>
      <c r="D352" s="275">
        <v>-666.69059000000004</v>
      </c>
      <c r="E352" s="275">
        <v>-96.426360000000003</v>
      </c>
      <c r="F352" s="275">
        <v>-88.075429999999997</v>
      </c>
      <c r="G352" s="275">
        <v>-84.886139999999997</v>
      </c>
      <c r="H352" s="275">
        <v>-18.266459999999999</v>
      </c>
      <c r="I352" s="275">
        <v>-15.103569999999999</v>
      </c>
      <c r="J352" s="275">
        <v>-14.576599999999999</v>
      </c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</row>
    <row r="353" spans="1:27">
      <c r="A353" s="273"/>
      <c r="B353" s="274"/>
      <c r="C353" s="207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</row>
    <row r="354" spans="1:27">
      <c r="A354" s="273">
        <v>122</v>
      </c>
      <c r="B354" s="274">
        <v>41</v>
      </c>
      <c r="C354" s="207" t="s">
        <v>347</v>
      </c>
      <c r="D354" s="275" t="s">
        <v>434</v>
      </c>
      <c r="E354" s="275" t="s">
        <v>435</v>
      </c>
      <c r="F354" s="275" t="s">
        <v>436</v>
      </c>
      <c r="G354" s="275" t="s">
        <v>437</v>
      </c>
      <c r="H354" s="275" t="s">
        <v>438</v>
      </c>
      <c r="I354" s="275" t="s">
        <v>439</v>
      </c>
      <c r="J354" s="275" t="s">
        <v>440</v>
      </c>
      <c r="K354" s="275" t="s">
        <v>441</v>
      </c>
      <c r="L354" s="275" t="s">
        <v>442</v>
      </c>
      <c r="M354" s="275" t="s">
        <v>443</v>
      </c>
      <c r="N354" s="275" t="s">
        <v>444</v>
      </c>
      <c r="O354" s="275" t="s">
        <v>445</v>
      </c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</row>
    <row r="355" spans="1:27">
      <c r="A355" s="273"/>
      <c r="B355" s="274"/>
      <c r="C355" s="207"/>
      <c r="D355" s="275">
        <v>-702.13850000000002</v>
      </c>
      <c r="E355" s="275">
        <v>-101.53027</v>
      </c>
      <c r="F355" s="275">
        <v>-92.888239999999996</v>
      </c>
      <c r="G355" s="275">
        <v>-89.331829999999997</v>
      </c>
      <c r="H355" s="275">
        <v>-18.66377</v>
      </c>
      <c r="I355" s="275">
        <v>-15.357379999999999</v>
      </c>
      <c r="J355" s="275">
        <v>-14.760630000000001</v>
      </c>
      <c r="K355" s="275">
        <v>-8.9496099999999998</v>
      </c>
      <c r="L355" s="275">
        <v>-8.8391400000000004</v>
      </c>
      <c r="M355" s="275">
        <v>-3.3209499999999998</v>
      </c>
      <c r="N355" s="275">
        <v>-2.2960500000000001</v>
      </c>
      <c r="O355" s="275">
        <v>-2.2128199999999998</v>
      </c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</row>
    <row r="356" spans="1:27">
      <c r="A356" s="273"/>
      <c r="B356" s="274"/>
      <c r="C356" s="207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</row>
    <row r="357" spans="1:27">
      <c r="A357" s="273">
        <v>123</v>
      </c>
      <c r="B357" s="274">
        <v>41</v>
      </c>
      <c r="C357" s="207" t="s">
        <v>101</v>
      </c>
      <c r="D357" s="275" t="s">
        <v>434</v>
      </c>
      <c r="E357" s="275" t="s">
        <v>435</v>
      </c>
      <c r="F357" s="275" t="s">
        <v>436</v>
      </c>
      <c r="G357" s="275" t="s">
        <v>437</v>
      </c>
      <c r="H357" s="275" t="s">
        <v>438</v>
      </c>
      <c r="I357" s="275" t="s">
        <v>439</v>
      </c>
      <c r="J357" s="275" t="s">
        <v>440</v>
      </c>
      <c r="K357" s="275" t="s">
        <v>441</v>
      </c>
      <c r="L357" s="275" t="s">
        <v>442</v>
      </c>
      <c r="M357" s="275" t="s">
        <v>443</v>
      </c>
      <c r="N357" s="275" t="s">
        <v>444</v>
      </c>
      <c r="O357" s="275" t="s">
        <v>445</v>
      </c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</row>
    <row r="358" spans="1:27">
      <c r="A358" s="273"/>
      <c r="B358" s="274"/>
      <c r="C358" s="207"/>
      <c r="D358" s="275">
        <v>-702.64176999999995</v>
      </c>
      <c r="E358" s="275">
        <v>-102.04048</v>
      </c>
      <c r="F358" s="275">
        <v>-93.397679999999994</v>
      </c>
      <c r="G358" s="275">
        <v>-89.841440000000006</v>
      </c>
      <c r="H358" s="275">
        <v>-19.169650000000001</v>
      </c>
      <c r="I358" s="275">
        <v>-15.863110000000001</v>
      </c>
      <c r="J358" s="275">
        <v>-15.266249999999999</v>
      </c>
      <c r="K358" s="275">
        <v>-9.4534800000000008</v>
      </c>
      <c r="L358" s="275">
        <v>-9.3430099999999996</v>
      </c>
      <c r="M358" s="275">
        <v>-3.8014000000000001</v>
      </c>
      <c r="N358" s="275">
        <v>-2.7608700000000002</v>
      </c>
      <c r="O358" s="275">
        <v>-2.6757</v>
      </c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</row>
    <row r="359" spans="1:27">
      <c r="A359" s="273"/>
      <c r="B359" s="274"/>
      <c r="C359" s="207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</row>
    <row r="360" spans="1:27">
      <c r="A360" s="273">
        <v>124</v>
      </c>
      <c r="B360" s="274">
        <v>41</v>
      </c>
      <c r="C360" s="207" t="s">
        <v>102</v>
      </c>
      <c r="D360" s="275" t="s">
        <v>434</v>
      </c>
      <c r="E360" s="275" t="s">
        <v>435</v>
      </c>
      <c r="F360" s="275" t="s">
        <v>436</v>
      </c>
      <c r="G360" s="275" t="s">
        <v>437</v>
      </c>
      <c r="H360" s="275" t="s">
        <v>438</v>
      </c>
      <c r="I360" s="275" t="s">
        <v>439</v>
      </c>
      <c r="J360" s="275" t="s">
        <v>440</v>
      </c>
      <c r="K360" s="275" t="s">
        <v>441</v>
      </c>
      <c r="L360" s="275" t="s">
        <v>442</v>
      </c>
      <c r="M360" s="275" t="s">
        <v>443</v>
      </c>
      <c r="N360" s="275" t="s">
        <v>444</v>
      </c>
      <c r="O360" s="275" t="s">
        <v>445</v>
      </c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</row>
    <row r="361" spans="1:27">
      <c r="A361" s="273"/>
      <c r="B361" s="274"/>
      <c r="C361" s="207"/>
      <c r="D361" s="275">
        <v>-703.21519000000001</v>
      </c>
      <c r="E361" s="275">
        <v>-102.62239</v>
      </c>
      <c r="F361" s="275">
        <v>-93.978710000000007</v>
      </c>
      <c r="G361" s="275">
        <v>-90.422619999999995</v>
      </c>
      <c r="H361" s="275">
        <v>-19.74296</v>
      </c>
      <c r="I361" s="275">
        <v>-16.43619</v>
      </c>
      <c r="J361" s="275">
        <v>-15.83907</v>
      </c>
      <c r="K361" s="275">
        <v>-10.02417</v>
      </c>
      <c r="L361" s="275">
        <v>-9.9136299999999995</v>
      </c>
      <c r="M361" s="275">
        <v>-4.3332100000000002</v>
      </c>
      <c r="N361" s="275">
        <v>-3.27338</v>
      </c>
      <c r="O361" s="275">
        <v>-3.1856399999999998</v>
      </c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</row>
    <row r="362" spans="1:27">
      <c r="A362" s="273"/>
      <c r="B362" s="274"/>
      <c r="C362" s="207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</row>
    <row r="363" spans="1:27">
      <c r="A363" s="273">
        <v>125</v>
      </c>
      <c r="B363" s="274">
        <v>41</v>
      </c>
      <c r="C363" s="207" t="s">
        <v>103</v>
      </c>
      <c r="D363" s="275" t="s">
        <v>434</v>
      </c>
      <c r="E363" s="275" t="s">
        <v>435</v>
      </c>
      <c r="F363" s="275" t="s">
        <v>436</v>
      </c>
      <c r="G363" s="275" t="s">
        <v>437</v>
      </c>
      <c r="H363" s="275" t="s">
        <v>438</v>
      </c>
      <c r="I363" s="275" t="s">
        <v>439</v>
      </c>
      <c r="J363" s="275" t="s">
        <v>440</v>
      </c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</row>
    <row r="364" spans="1:27">
      <c r="A364" s="273"/>
      <c r="B364" s="274"/>
      <c r="C364" s="207"/>
      <c r="D364" s="275">
        <v>-703.85140000000001</v>
      </c>
      <c r="E364" s="275">
        <v>-103.26821</v>
      </c>
      <c r="F364" s="275">
        <v>-94.623609999999999</v>
      </c>
      <c r="G364" s="275">
        <v>-91.067660000000004</v>
      </c>
      <c r="H364" s="275">
        <v>-20.375160000000001</v>
      </c>
      <c r="I364" s="275">
        <v>-17.06813</v>
      </c>
      <c r="J364" s="275">
        <v>-16.470569999999999</v>
      </c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</row>
    <row r="365" spans="1:27">
      <c r="A365" s="273"/>
      <c r="B365" s="274"/>
      <c r="C365" s="207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</row>
    <row r="366" spans="1:27">
      <c r="A366" s="273">
        <v>126</v>
      </c>
      <c r="B366" s="274">
        <v>42</v>
      </c>
      <c r="C366" s="207" t="s">
        <v>104</v>
      </c>
      <c r="D366" s="275" t="s">
        <v>434</v>
      </c>
      <c r="E366" s="275" t="s">
        <v>435</v>
      </c>
      <c r="F366" s="275" t="s">
        <v>436</v>
      </c>
      <c r="G366" s="275" t="s">
        <v>437</v>
      </c>
      <c r="H366" s="275" t="s">
        <v>438</v>
      </c>
      <c r="I366" s="275" t="s">
        <v>439</v>
      </c>
      <c r="J366" s="275" t="s">
        <v>440</v>
      </c>
      <c r="K366" s="275" t="s">
        <v>441</v>
      </c>
      <c r="L366" s="275" t="s">
        <v>442</v>
      </c>
      <c r="M366" s="275" t="s">
        <v>443</v>
      </c>
      <c r="N366" s="275" t="s">
        <v>444</v>
      </c>
      <c r="O366" s="275" t="s">
        <v>445</v>
      </c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</row>
    <row r="367" spans="1:27">
      <c r="A367" s="273"/>
      <c r="B367" s="274"/>
      <c r="C367" s="207"/>
      <c r="D367" s="275">
        <v>-739.22817999999995</v>
      </c>
      <c r="E367" s="275">
        <v>-107.44333</v>
      </c>
      <c r="F367" s="275">
        <v>-98.505560000000003</v>
      </c>
      <c r="G367" s="275">
        <v>-94.550370000000001</v>
      </c>
      <c r="H367" s="275">
        <v>-19.697880000000001</v>
      </c>
      <c r="I367" s="275">
        <v>-16.245840000000001</v>
      </c>
      <c r="J367" s="275">
        <v>-15.57197</v>
      </c>
      <c r="K367" s="275">
        <v>-9.5046499999999998</v>
      </c>
      <c r="L367" s="275">
        <v>-9.3778400000000008</v>
      </c>
      <c r="M367" s="275">
        <v>-3.1764700000000001</v>
      </c>
      <c r="N367" s="275">
        <v>-2.0979299999999999</v>
      </c>
      <c r="O367" s="275">
        <v>-2.0010500000000002</v>
      </c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</row>
    <row r="368" spans="1:27">
      <c r="A368" s="273"/>
      <c r="B368" s="274"/>
      <c r="C368" s="207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</row>
    <row r="369" spans="1:27">
      <c r="A369" s="273">
        <v>127</v>
      </c>
      <c r="B369" s="274">
        <v>42</v>
      </c>
      <c r="C369" s="207" t="s">
        <v>105</v>
      </c>
      <c r="D369" s="275" t="s">
        <v>434</v>
      </c>
      <c r="E369" s="275" t="s">
        <v>435</v>
      </c>
      <c r="F369" s="275" t="s">
        <v>436</v>
      </c>
      <c r="G369" s="275" t="s">
        <v>437</v>
      </c>
      <c r="H369" s="275" t="s">
        <v>438</v>
      </c>
      <c r="I369" s="275" t="s">
        <v>439</v>
      </c>
      <c r="J369" s="275" t="s">
        <v>440</v>
      </c>
      <c r="K369" s="275" t="s">
        <v>441</v>
      </c>
      <c r="L369" s="275" t="s">
        <v>442</v>
      </c>
      <c r="M369" s="275" t="s">
        <v>443</v>
      </c>
      <c r="N369" s="275" t="s">
        <v>444</v>
      </c>
      <c r="O369" s="275" t="s">
        <v>445</v>
      </c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</row>
    <row r="370" spans="1:27">
      <c r="A370" s="273"/>
      <c r="B370" s="274"/>
      <c r="C370" s="207"/>
      <c r="D370" s="275">
        <v>-739.67083000000002</v>
      </c>
      <c r="E370" s="275">
        <v>-107.89055999999999</v>
      </c>
      <c r="F370" s="275">
        <v>-98.952200000000005</v>
      </c>
      <c r="G370" s="275">
        <v>-94.99718</v>
      </c>
      <c r="H370" s="275">
        <v>-20.14415</v>
      </c>
      <c r="I370" s="275">
        <v>-16.692019999999999</v>
      </c>
      <c r="J370" s="275">
        <v>-16.018170000000001</v>
      </c>
      <c r="K370" s="275">
        <v>-9.9496000000000002</v>
      </c>
      <c r="L370" s="275">
        <v>-9.8228899999999992</v>
      </c>
      <c r="M370" s="275">
        <v>-3.6107499999999999</v>
      </c>
      <c r="N370" s="275">
        <v>-2.5212300000000001</v>
      </c>
      <c r="O370" s="275">
        <v>-2.4231799999999999</v>
      </c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</row>
    <row r="371" spans="1:27">
      <c r="A371" s="273"/>
      <c r="B371" s="274"/>
      <c r="C371" s="207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</row>
    <row r="372" spans="1:27">
      <c r="A372" s="273">
        <v>128</v>
      </c>
      <c r="B372" s="274">
        <v>42</v>
      </c>
      <c r="C372" s="207" t="s">
        <v>106</v>
      </c>
      <c r="D372" s="275" t="s">
        <v>434</v>
      </c>
      <c r="E372" s="275" t="s">
        <v>435</v>
      </c>
      <c r="F372" s="275" t="s">
        <v>436</v>
      </c>
      <c r="G372" s="275" t="s">
        <v>437</v>
      </c>
      <c r="H372" s="275" t="s">
        <v>438</v>
      </c>
      <c r="I372" s="275" t="s">
        <v>439</v>
      </c>
      <c r="J372" s="275" t="s">
        <v>440</v>
      </c>
      <c r="K372" s="275" t="s">
        <v>441</v>
      </c>
      <c r="L372" s="275" t="s">
        <v>442</v>
      </c>
      <c r="M372" s="275" t="s">
        <v>443</v>
      </c>
      <c r="N372" s="275" t="s">
        <v>444</v>
      </c>
      <c r="O372" s="275" t="s">
        <v>445</v>
      </c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</row>
    <row r="373" spans="1:27">
      <c r="A373" s="273"/>
      <c r="B373" s="274"/>
      <c r="C373" s="207"/>
      <c r="D373" s="275">
        <v>-740.19425999999999</v>
      </c>
      <c r="E373" s="275">
        <v>-108.42077</v>
      </c>
      <c r="F373" s="275">
        <v>-99.481650000000002</v>
      </c>
      <c r="G373" s="275">
        <v>-95.526809999999998</v>
      </c>
      <c r="H373" s="275">
        <v>-20.670010000000001</v>
      </c>
      <c r="I373" s="275">
        <v>-17.217739999999999</v>
      </c>
      <c r="J373" s="275">
        <v>-16.543790000000001</v>
      </c>
      <c r="K373" s="275">
        <v>-10.47354</v>
      </c>
      <c r="L373" s="275">
        <v>-10.34686</v>
      </c>
      <c r="M373" s="275">
        <v>-4.1100500000000002</v>
      </c>
      <c r="N373" s="275">
        <v>-3.00508</v>
      </c>
      <c r="O373" s="275">
        <v>-2.9049900000000002</v>
      </c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</row>
    <row r="374" spans="1:27">
      <c r="A374" s="273"/>
      <c r="B374" s="274"/>
      <c r="C374" s="207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</row>
    <row r="375" spans="1:27">
      <c r="A375" s="273">
        <v>129</v>
      </c>
      <c r="B375" s="274">
        <v>42</v>
      </c>
      <c r="C375" s="207" t="s">
        <v>107</v>
      </c>
      <c r="D375" s="275" t="s">
        <v>434</v>
      </c>
      <c r="E375" s="275" t="s">
        <v>435</v>
      </c>
      <c r="F375" s="275" t="s">
        <v>436</v>
      </c>
      <c r="G375" s="275" t="s">
        <v>437</v>
      </c>
      <c r="H375" s="275" t="s">
        <v>438</v>
      </c>
      <c r="I375" s="275" t="s">
        <v>439</v>
      </c>
      <c r="J375" s="275" t="s">
        <v>440</v>
      </c>
      <c r="K375" s="275" t="s">
        <v>441</v>
      </c>
      <c r="L375" s="275" t="s">
        <v>442</v>
      </c>
      <c r="M375" s="275" t="s">
        <v>443</v>
      </c>
      <c r="N375" s="275" t="s">
        <v>444</v>
      </c>
      <c r="O375" s="275" t="s">
        <v>445</v>
      </c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</row>
    <row r="376" spans="1:27">
      <c r="A376" s="273"/>
      <c r="B376" s="274"/>
      <c r="C376" s="207"/>
      <c r="D376" s="275">
        <v>-740.78675999999996</v>
      </c>
      <c r="E376" s="275">
        <v>-109.02148</v>
      </c>
      <c r="F376" s="275">
        <v>-100.08150999999999</v>
      </c>
      <c r="G376" s="275">
        <v>-96.126829999999998</v>
      </c>
      <c r="H376" s="275">
        <v>-21.262070000000001</v>
      </c>
      <c r="I376" s="275">
        <v>-17.809629999999999</v>
      </c>
      <c r="J376" s="275">
        <v>-17.135400000000001</v>
      </c>
      <c r="K376" s="275">
        <v>-11.0632</v>
      </c>
      <c r="L376" s="275">
        <v>-10.93646</v>
      </c>
      <c r="M376" s="275">
        <v>-4.6597499999999998</v>
      </c>
      <c r="N376" s="275">
        <v>-3.53592</v>
      </c>
      <c r="O376" s="275">
        <v>-3.4331200000000002</v>
      </c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</row>
    <row r="377" spans="1:27">
      <c r="A377" s="273"/>
      <c r="B377" s="274"/>
      <c r="C377" s="207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</row>
    <row r="378" spans="1:27">
      <c r="A378" s="273">
        <v>130</v>
      </c>
      <c r="B378" s="274">
        <v>42</v>
      </c>
      <c r="C378" s="207" t="s">
        <v>108</v>
      </c>
      <c r="D378" s="275" t="s">
        <v>434</v>
      </c>
      <c r="E378" s="275" t="s">
        <v>435</v>
      </c>
      <c r="F378" s="275" t="s">
        <v>436</v>
      </c>
      <c r="G378" s="275" t="s">
        <v>437</v>
      </c>
      <c r="H378" s="275" t="s">
        <v>438</v>
      </c>
      <c r="I378" s="275" t="s">
        <v>439</v>
      </c>
      <c r="J378" s="275" t="s">
        <v>440</v>
      </c>
      <c r="K378" s="275" t="s">
        <v>441</v>
      </c>
      <c r="L378" s="275" t="s">
        <v>442</v>
      </c>
      <c r="M378" s="275" t="s">
        <v>443</v>
      </c>
      <c r="N378" s="275" t="s">
        <v>444</v>
      </c>
      <c r="O378" s="275" t="s">
        <v>445</v>
      </c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</row>
    <row r="379" spans="1:27">
      <c r="A379" s="273"/>
      <c r="B379" s="274"/>
      <c r="C379" s="207"/>
      <c r="D379" s="275">
        <v>-741.44154000000003</v>
      </c>
      <c r="E379" s="275">
        <v>-109.68548</v>
      </c>
      <c r="F379" s="275">
        <v>-100.74463</v>
      </c>
      <c r="G379" s="275">
        <v>-96.790099999999995</v>
      </c>
      <c r="H379" s="275">
        <v>-21.91245</v>
      </c>
      <c r="I379" s="275">
        <v>-18.459810000000001</v>
      </c>
      <c r="J379" s="275">
        <v>-17.785119999999999</v>
      </c>
      <c r="K379" s="275">
        <v>-11.710789999999999</v>
      </c>
      <c r="L379" s="275">
        <v>-11.583920000000001</v>
      </c>
      <c r="M379" s="275">
        <v>-5.2513300000000003</v>
      </c>
      <c r="N379" s="275">
        <v>-4.1060699999999999</v>
      </c>
      <c r="O379" s="275">
        <v>-4</v>
      </c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</row>
    <row r="380" spans="1:27">
      <c r="A380" s="273"/>
      <c r="B380" s="274"/>
      <c r="C380" s="207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</row>
    <row r="381" spans="1:27">
      <c r="A381" s="273">
        <v>131</v>
      </c>
      <c r="B381" s="274">
        <v>42</v>
      </c>
      <c r="C381" s="207" t="s">
        <v>109</v>
      </c>
      <c r="D381" s="275" t="s">
        <v>434</v>
      </c>
      <c r="E381" s="275" t="s">
        <v>435</v>
      </c>
      <c r="F381" s="275" t="s">
        <v>436</v>
      </c>
      <c r="G381" s="275" t="s">
        <v>437</v>
      </c>
      <c r="H381" s="275" t="s">
        <v>438</v>
      </c>
      <c r="I381" s="275" t="s">
        <v>439</v>
      </c>
      <c r="J381" s="275" t="s">
        <v>440</v>
      </c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</row>
    <row r="382" spans="1:27">
      <c r="A382" s="273"/>
      <c r="B382" s="274"/>
      <c r="C382" s="207"/>
      <c r="D382" s="275">
        <v>-742.15449999999998</v>
      </c>
      <c r="E382" s="275">
        <v>-110.40837999999999</v>
      </c>
      <c r="F382" s="275">
        <v>-101.4667</v>
      </c>
      <c r="G382" s="275">
        <v>-97.512259999999998</v>
      </c>
      <c r="H382" s="275">
        <v>-22.616129999999998</v>
      </c>
      <c r="I382" s="275">
        <v>-19.16329</v>
      </c>
      <c r="J382" s="275">
        <v>-18.487919999999999</v>
      </c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</row>
    <row r="383" spans="1:27">
      <c r="A383" s="273"/>
      <c r="B383" s="274"/>
      <c r="C383" s="207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</row>
    <row r="384" spans="1:27">
      <c r="A384" s="273">
        <v>132</v>
      </c>
      <c r="B384" s="274">
        <v>43</v>
      </c>
      <c r="C384" s="207" t="s">
        <v>110</v>
      </c>
      <c r="D384" s="275" t="s">
        <v>434</v>
      </c>
      <c r="E384" s="275" t="s">
        <v>435</v>
      </c>
      <c r="F384" s="275" t="s">
        <v>436</v>
      </c>
      <c r="G384" s="275" t="s">
        <v>437</v>
      </c>
      <c r="H384" s="275" t="s">
        <v>438</v>
      </c>
      <c r="I384" s="275" t="s">
        <v>439</v>
      </c>
      <c r="J384" s="275" t="s">
        <v>440</v>
      </c>
      <c r="K384" s="275" t="s">
        <v>441</v>
      </c>
      <c r="L384" s="275" t="s">
        <v>442</v>
      </c>
      <c r="M384" s="275" t="s">
        <v>443</v>
      </c>
      <c r="N384" s="275" t="s">
        <v>444</v>
      </c>
      <c r="O384" s="275" t="s">
        <v>445</v>
      </c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</row>
    <row r="385" spans="1:27">
      <c r="A385" s="273"/>
      <c r="B385" s="274"/>
      <c r="C385" s="207"/>
      <c r="D385" s="275">
        <v>-777.93637000000001</v>
      </c>
      <c r="E385" s="275">
        <v>-114.14013</v>
      </c>
      <c r="F385" s="275">
        <v>-104.90082</v>
      </c>
      <c r="G385" s="275">
        <v>-100.51349999999999</v>
      </c>
      <c r="H385" s="275">
        <v>-21.35322</v>
      </c>
      <c r="I385" s="275">
        <v>-17.751999999999999</v>
      </c>
      <c r="J385" s="275">
        <v>-16.993600000000001</v>
      </c>
      <c r="K385" s="275">
        <v>-10.66558</v>
      </c>
      <c r="L385" s="275">
        <v>-10.52089</v>
      </c>
      <c r="M385" s="275">
        <v>-3.5899100000000002</v>
      </c>
      <c r="N385" s="275">
        <v>-2.43208</v>
      </c>
      <c r="O385" s="275">
        <v>-2.3176299999999999</v>
      </c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</row>
    <row r="386" spans="1:27">
      <c r="A386" s="273"/>
      <c r="B386" s="274"/>
      <c r="C386" s="207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</row>
    <row r="387" spans="1:27">
      <c r="A387" s="273">
        <v>133</v>
      </c>
      <c r="B387" s="274">
        <v>43</v>
      </c>
      <c r="C387" s="207" t="s">
        <v>111</v>
      </c>
      <c r="D387" s="275" t="s">
        <v>434</v>
      </c>
      <c r="E387" s="275" t="s">
        <v>435</v>
      </c>
      <c r="F387" s="275" t="s">
        <v>436</v>
      </c>
      <c r="G387" s="275" t="s">
        <v>437</v>
      </c>
      <c r="H387" s="275" t="s">
        <v>438</v>
      </c>
      <c r="I387" s="275" t="s">
        <v>439</v>
      </c>
      <c r="J387" s="275" t="s">
        <v>440</v>
      </c>
      <c r="K387" s="275" t="s">
        <v>441</v>
      </c>
      <c r="L387" s="275" t="s">
        <v>442</v>
      </c>
      <c r="M387" s="275" t="s">
        <v>443</v>
      </c>
      <c r="N387" s="275" t="s">
        <v>444</v>
      </c>
      <c r="O387" s="275" t="s">
        <v>445</v>
      </c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</row>
    <row r="388" spans="1:27">
      <c r="A388" s="273"/>
      <c r="B388" s="274"/>
      <c r="C388" s="207"/>
      <c r="D388" s="275">
        <v>-778.25638000000004</v>
      </c>
      <c r="E388" s="275">
        <v>-114.45614999999999</v>
      </c>
      <c r="F388" s="275">
        <v>-105.21807</v>
      </c>
      <c r="G388" s="275">
        <v>-100.83072</v>
      </c>
      <c r="H388" s="275">
        <v>-21.668230000000001</v>
      </c>
      <c r="I388" s="275">
        <v>-18.068580000000001</v>
      </c>
      <c r="J388" s="275">
        <v>-17.310210000000001</v>
      </c>
      <c r="K388" s="275">
        <v>-10.98277</v>
      </c>
      <c r="L388" s="275">
        <v>-10.83812</v>
      </c>
      <c r="M388" s="275">
        <v>-3.90218</v>
      </c>
      <c r="N388" s="275">
        <v>-2.7488600000000001</v>
      </c>
      <c r="O388" s="275">
        <v>-2.6344400000000001</v>
      </c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</row>
    <row r="389" spans="1:27">
      <c r="A389" s="273"/>
      <c r="B389" s="274"/>
      <c r="C389" s="207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</row>
    <row r="390" spans="1:27">
      <c r="A390" s="273">
        <v>134</v>
      </c>
      <c r="B390" s="274">
        <v>43</v>
      </c>
      <c r="C390" s="207" t="s">
        <v>112</v>
      </c>
      <c r="D390" s="275" t="s">
        <v>434</v>
      </c>
      <c r="E390" s="275" t="s">
        <v>435</v>
      </c>
      <c r="F390" s="275" t="s">
        <v>436</v>
      </c>
      <c r="G390" s="275" t="s">
        <v>437</v>
      </c>
      <c r="H390" s="275" t="s">
        <v>438</v>
      </c>
      <c r="I390" s="275" t="s">
        <v>439</v>
      </c>
      <c r="J390" s="275" t="s">
        <v>440</v>
      </c>
      <c r="K390" s="275" t="s">
        <v>441</v>
      </c>
      <c r="L390" s="275" t="s">
        <v>442</v>
      </c>
      <c r="M390" s="275" t="s">
        <v>443</v>
      </c>
      <c r="N390" s="275" t="s">
        <v>444</v>
      </c>
      <c r="O390" s="275" t="s">
        <v>445</v>
      </c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</row>
    <row r="391" spans="1:27">
      <c r="A391" s="273"/>
      <c r="B391" s="274"/>
      <c r="C391" s="207"/>
      <c r="D391" s="275">
        <v>-778.80008999999995</v>
      </c>
      <c r="E391" s="275">
        <v>-115.00653</v>
      </c>
      <c r="F391" s="275">
        <v>-105.76769</v>
      </c>
      <c r="G391" s="275">
        <v>-101.38052999999999</v>
      </c>
      <c r="H391" s="275">
        <v>-22.21424</v>
      </c>
      <c r="I391" s="275">
        <v>-18.61448</v>
      </c>
      <c r="J391" s="275">
        <v>-17.856000000000002</v>
      </c>
      <c r="K391" s="275">
        <v>-11.526960000000001</v>
      </c>
      <c r="L391" s="275">
        <v>-11.382350000000001</v>
      </c>
      <c r="M391" s="275">
        <v>-4.4205899999999998</v>
      </c>
      <c r="N391" s="275">
        <v>-3.2519200000000001</v>
      </c>
      <c r="O391" s="275">
        <v>-3.1353399999999998</v>
      </c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</row>
    <row r="392" spans="1:27">
      <c r="A392" s="273"/>
      <c r="B392" s="274"/>
      <c r="C392" s="207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</row>
    <row r="393" spans="1:27">
      <c r="A393" s="273">
        <v>135</v>
      </c>
      <c r="B393" s="274">
        <v>43</v>
      </c>
      <c r="C393" s="207" t="s">
        <v>113</v>
      </c>
      <c r="D393" s="275" t="s">
        <v>434</v>
      </c>
      <c r="E393" s="275" t="s">
        <v>435</v>
      </c>
      <c r="F393" s="275" t="s">
        <v>436</v>
      </c>
      <c r="G393" s="275" t="s">
        <v>437</v>
      </c>
      <c r="H393" s="275" t="s">
        <v>438</v>
      </c>
      <c r="I393" s="275" t="s">
        <v>439</v>
      </c>
      <c r="J393" s="275" t="s">
        <v>440</v>
      </c>
      <c r="K393" s="275" t="s">
        <v>441</v>
      </c>
      <c r="L393" s="275" t="s">
        <v>442</v>
      </c>
      <c r="M393" s="275" t="s">
        <v>443</v>
      </c>
      <c r="N393" s="275" t="s">
        <v>444</v>
      </c>
      <c r="O393" s="275" t="s">
        <v>445</v>
      </c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</row>
    <row r="394" spans="1:27">
      <c r="A394" s="273"/>
      <c r="B394" s="274"/>
      <c r="C394" s="207"/>
      <c r="D394" s="275">
        <v>-779.41196000000002</v>
      </c>
      <c r="E394" s="275">
        <v>-115.62636999999999</v>
      </c>
      <c r="F394" s="275">
        <v>-106.38672</v>
      </c>
      <c r="G394" s="275">
        <v>-101.99973</v>
      </c>
      <c r="H394" s="275">
        <v>-22.825430000000001</v>
      </c>
      <c r="I394" s="275">
        <v>-19.225529999999999</v>
      </c>
      <c r="J394" s="275">
        <v>-18.46677</v>
      </c>
      <c r="K394" s="275">
        <v>-12.13592</v>
      </c>
      <c r="L394" s="275">
        <v>-11.99128</v>
      </c>
      <c r="M394" s="275">
        <v>-4.9885900000000003</v>
      </c>
      <c r="N394" s="275">
        <v>-3.80138</v>
      </c>
      <c r="O394" s="275">
        <v>-3.6819299999999999</v>
      </c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</row>
    <row r="395" spans="1:27">
      <c r="A395" s="273"/>
      <c r="B395" s="274"/>
      <c r="C395" s="207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</row>
    <row r="396" spans="1:27">
      <c r="A396" s="273">
        <v>136</v>
      </c>
      <c r="B396" s="274">
        <v>43</v>
      </c>
      <c r="C396" s="207" t="s">
        <v>114</v>
      </c>
      <c r="D396" s="275" t="s">
        <v>434</v>
      </c>
      <c r="E396" s="275" t="s">
        <v>435</v>
      </c>
      <c r="F396" s="275" t="s">
        <v>436</v>
      </c>
      <c r="G396" s="275" t="s">
        <v>437</v>
      </c>
      <c r="H396" s="275" t="s">
        <v>438</v>
      </c>
      <c r="I396" s="275" t="s">
        <v>439</v>
      </c>
      <c r="J396" s="275" t="s">
        <v>440</v>
      </c>
      <c r="K396" s="275" t="s">
        <v>441</v>
      </c>
      <c r="L396" s="275" t="s">
        <v>442</v>
      </c>
      <c r="M396" s="275" t="s">
        <v>443</v>
      </c>
      <c r="N396" s="275" t="s">
        <v>444</v>
      </c>
      <c r="O396" s="275" t="s">
        <v>445</v>
      </c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</row>
    <row r="397" spans="1:27">
      <c r="A397" s="273"/>
      <c r="B397" s="274"/>
      <c r="C397" s="207"/>
      <c r="D397" s="275">
        <v>-780.08564999999999</v>
      </c>
      <c r="E397" s="275">
        <v>-116.30897</v>
      </c>
      <c r="F397" s="275">
        <v>-107.06847999999999</v>
      </c>
      <c r="G397" s="275">
        <v>-102.68164</v>
      </c>
      <c r="H397" s="275">
        <v>-23.49438</v>
      </c>
      <c r="I397" s="275">
        <v>-19.894359999999999</v>
      </c>
      <c r="J397" s="275">
        <v>-19.135120000000001</v>
      </c>
      <c r="K397" s="275">
        <v>-12.80237</v>
      </c>
      <c r="L397" s="275">
        <v>-12.65761</v>
      </c>
      <c r="M397" s="275">
        <v>-5.59823</v>
      </c>
      <c r="N397" s="275">
        <v>-4.3899999999999997</v>
      </c>
      <c r="O397" s="275">
        <v>-4.2671000000000001</v>
      </c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</row>
    <row r="398" spans="1:27">
      <c r="A398" s="273"/>
      <c r="B398" s="274"/>
      <c r="C398" s="207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</row>
    <row r="399" spans="1:27">
      <c r="A399" s="273">
        <v>137</v>
      </c>
      <c r="B399" s="274">
        <v>43</v>
      </c>
      <c r="C399" s="207" t="s">
        <v>115</v>
      </c>
      <c r="D399" s="275" t="s">
        <v>434</v>
      </c>
      <c r="E399" s="275" t="s">
        <v>435</v>
      </c>
      <c r="F399" s="275" t="s">
        <v>436</v>
      </c>
      <c r="G399" s="275" t="s">
        <v>437</v>
      </c>
      <c r="H399" s="275" t="s">
        <v>438</v>
      </c>
      <c r="I399" s="275" t="s">
        <v>439</v>
      </c>
      <c r="J399" s="275" t="s">
        <v>440</v>
      </c>
      <c r="K399" s="275" t="s">
        <v>441</v>
      </c>
      <c r="L399" s="275" t="s">
        <v>442</v>
      </c>
      <c r="M399" s="275" t="s">
        <v>443</v>
      </c>
      <c r="N399" s="275" t="s">
        <v>444</v>
      </c>
      <c r="O399" s="275" t="s">
        <v>445</v>
      </c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</row>
    <row r="400" spans="1:27">
      <c r="A400" s="273"/>
      <c r="B400" s="274"/>
      <c r="C400" s="207"/>
      <c r="D400" s="275">
        <v>-780.81722000000002</v>
      </c>
      <c r="E400" s="275">
        <v>-117.05007000000001</v>
      </c>
      <c r="F400" s="275">
        <v>-107.80880000000001</v>
      </c>
      <c r="G400" s="275">
        <v>-103.42207000000001</v>
      </c>
      <c r="H400" s="275">
        <v>-24.21631</v>
      </c>
      <c r="I400" s="275">
        <v>-20.61617</v>
      </c>
      <c r="J400" s="275">
        <v>-19.85623</v>
      </c>
      <c r="K400" s="275">
        <v>-13.52155</v>
      </c>
      <c r="L400" s="275">
        <v>-13.37659</v>
      </c>
      <c r="M400" s="275">
        <v>-6.24437</v>
      </c>
      <c r="N400" s="275">
        <v>-5.0132399999999997</v>
      </c>
      <c r="O400" s="275">
        <v>-4.8864099999999997</v>
      </c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</row>
    <row r="401" spans="1:27">
      <c r="A401" s="273"/>
      <c r="B401" s="274"/>
      <c r="C401" s="207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</row>
    <row r="402" spans="1:27">
      <c r="A402" s="273">
        <v>138</v>
      </c>
      <c r="B402" s="274">
        <v>43</v>
      </c>
      <c r="C402" s="207" t="s">
        <v>116</v>
      </c>
      <c r="D402" s="275" t="s">
        <v>434</v>
      </c>
      <c r="E402" s="275" t="s">
        <v>435</v>
      </c>
      <c r="F402" s="275" t="s">
        <v>436</v>
      </c>
      <c r="G402" s="275" t="s">
        <v>437</v>
      </c>
      <c r="H402" s="275" t="s">
        <v>438</v>
      </c>
      <c r="I402" s="275" t="s">
        <v>439</v>
      </c>
      <c r="J402" s="275" t="s">
        <v>440</v>
      </c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</row>
    <row r="403" spans="1:27">
      <c r="A403" s="273"/>
      <c r="B403" s="274"/>
      <c r="C403" s="207"/>
      <c r="D403" s="275">
        <v>-781.60407999999995</v>
      </c>
      <c r="E403" s="275">
        <v>-117.84686000000001</v>
      </c>
      <c r="F403" s="275">
        <v>-108.60489</v>
      </c>
      <c r="G403" s="275">
        <v>-104.21821</v>
      </c>
      <c r="H403" s="275">
        <v>-24.987839999999998</v>
      </c>
      <c r="I403" s="275">
        <v>-21.387630000000001</v>
      </c>
      <c r="J403" s="275">
        <v>-20.626740000000002</v>
      </c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</row>
    <row r="404" spans="1:27">
      <c r="A404" s="273"/>
      <c r="B404" s="274"/>
      <c r="C404" s="207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</row>
    <row r="405" spans="1:27">
      <c r="A405" s="273">
        <v>139</v>
      </c>
      <c r="B405" s="274">
        <v>44</v>
      </c>
      <c r="C405" s="207" t="s">
        <v>117</v>
      </c>
      <c r="D405" s="275" t="s">
        <v>434</v>
      </c>
      <c r="E405" s="275" t="s">
        <v>435</v>
      </c>
      <c r="F405" s="275" t="s">
        <v>436</v>
      </c>
      <c r="G405" s="275" t="s">
        <v>437</v>
      </c>
      <c r="H405" s="275" t="s">
        <v>438</v>
      </c>
      <c r="I405" s="275" t="s">
        <v>439</v>
      </c>
      <c r="J405" s="275" t="s">
        <v>440</v>
      </c>
      <c r="K405" s="275" t="s">
        <v>441</v>
      </c>
      <c r="L405" s="275" t="s">
        <v>442</v>
      </c>
      <c r="M405" s="275" t="s">
        <v>443</v>
      </c>
      <c r="N405" s="275" t="s">
        <v>444</v>
      </c>
      <c r="O405" s="275" t="s">
        <v>445</v>
      </c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</row>
    <row r="406" spans="1:27">
      <c r="A406" s="273"/>
      <c r="B406" s="274"/>
      <c r="C406" s="207"/>
      <c r="D406" s="275">
        <v>-817.42047000000002</v>
      </c>
      <c r="E406" s="275">
        <v>-120.73881</v>
      </c>
      <c r="F406" s="275">
        <v>-111.19806</v>
      </c>
      <c r="G406" s="275">
        <v>-106.34237</v>
      </c>
      <c r="H406" s="275">
        <v>-22.747140000000002</v>
      </c>
      <c r="I406" s="275">
        <v>-18.998290000000001</v>
      </c>
      <c r="J406" s="275">
        <v>-18.147449999999999</v>
      </c>
      <c r="K406" s="275">
        <v>-11.561019999999999</v>
      </c>
      <c r="L406" s="275">
        <v>-11.396430000000001</v>
      </c>
      <c r="M406" s="275">
        <v>-3.7202199999999999</v>
      </c>
      <c r="N406" s="275">
        <v>-2.5151500000000002</v>
      </c>
      <c r="O406" s="275">
        <v>-2.3839600000000001</v>
      </c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</row>
    <row r="407" spans="1:27">
      <c r="A407" s="273"/>
      <c r="B407" s="274"/>
      <c r="C407" s="207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</row>
    <row r="408" spans="1:27">
      <c r="A408" s="273">
        <v>140</v>
      </c>
      <c r="B408" s="274">
        <v>44</v>
      </c>
      <c r="C408" s="207" t="s">
        <v>118</v>
      </c>
      <c r="D408" s="275" t="s">
        <v>434</v>
      </c>
      <c r="E408" s="275" t="s">
        <v>435</v>
      </c>
      <c r="F408" s="275" t="s">
        <v>436</v>
      </c>
      <c r="G408" s="275" t="s">
        <v>437</v>
      </c>
      <c r="H408" s="275" t="s">
        <v>438</v>
      </c>
      <c r="I408" s="275" t="s">
        <v>439</v>
      </c>
      <c r="J408" s="275" t="s">
        <v>440</v>
      </c>
      <c r="K408" s="275" t="s">
        <v>441</v>
      </c>
      <c r="L408" s="275" t="s">
        <v>442</v>
      </c>
      <c r="M408" s="275" t="s">
        <v>443</v>
      </c>
      <c r="N408" s="275" t="s">
        <v>444</v>
      </c>
      <c r="O408" s="275" t="s">
        <v>445</v>
      </c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</row>
    <row r="409" spans="1:27">
      <c r="A409" s="273"/>
      <c r="B409" s="274"/>
      <c r="C409" s="207"/>
      <c r="D409" s="275">
        <v>-817.90533000000005</v>
      </c>
      <c r="E409" s="275">
        <v>-121.23034</v>
      </c>
      <c r="F409" s="275">
        <v>-111.68894</v>
      </c>
      <c r="G409" s="275">
        <v>-106.83349</v>
      </c>
      <c r="H409" s="275">
        <v>-23.237690000000001</v>
      </c>
      <c r="I409" s="275">
        <v>-19.48874</v>
      </c>
      <c r="J409" s="275">
        <v>-18.63794</v>
      </c>
      <c r="K409" s="275">
        <v>-12.05021</v>
      </c>
      <c r="L409" s="275">
        <v>-11.8858</v>
      </c>
      <c r="M409" s="275">
        <v>-4.19658</v>
      </c>
      <c r="N409" s="275">
        <v>-2.9799899999999999</v>
      </c>
      <c r="O409" s="275">
        <v>-2.8475000000000001</v>
      </c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</row>
    <row r="410" spans="1:27">
      <c r="A410" s="273"/>
      <c r="B410" s="274"/>
      <c r="C410" s="207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</row>
    <row r="411" spans="1:27">
      <c r="A411" s="273">
        <v>141</v>
      </c>
      <c r="B411" s="274">
        <v>44</v>
      </c>
      <c r="C411" s="207" t="s">
        <v>119</v>
      </c>
      <c r="D411" s="275" t="s">
        <v>434</v>
      </c>
      <c r="E411" s="275" t="s">
        <v>435</v>
      </c>
      <c r="F411" s="275" t="s">
        <v>436</v>
      </c>
      <c r="G411" s="275" t="s">
        <v>437</v>
      </c>
      <c r="H411" s="275" t="s">
        <v>438</v>
      </c>
      <c r="I411" s="275" t="s">
        <v>439</v>
      </c>
      <c r="J411" s="275" t="s">
        <v>440</v>
      </c>
      <c r="K411" s="275" t="s">
        <v>441</v>
      </c>
      <c r="L411" s="275" t="s">
        <v>442</v>
      </c>
      <c r="M411" s="275" t="s">
        <v>443</v>
      </c>
      <c r="N411" s="275" t="s">
        <v>444</v>
      </c>
      <c r="O411" s="275" t="s">
        <v>445</v>
      </c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</row>
    <row r="412" spans="1:27">
      <c r="A412" s="273"/>
      <c r="B412" s="274"/>
      <c r="C412" s="207"/>
      <c r="D412" s="275">
        <v>-818.46937000000003</v>
      </c>
      <c r="E412" s="275">
        <v>-121.80091</v>
      </c>
      <c r="F412" s="275">
        <v>-112.25875000000001</v>
      </c>
      <c r="G412" s="275">
        <v>-107.40351</v>
      </c>
      <c r="H412" s="275">
        <v>-23.803920000000002</v>
      </c>
      <c r="I412" s="275">
        <v>-20.054849999999998</v>
      </c>
      <c r="J412" s="275">
        <v>-19.203939999999999</v>
      </c>
      <c r="K412" s="275">
        <v>-12.61467</v>
      </c>
      <c r="L412" s="275">
        <v>-12.450329999999999</v>
      </c>
      <c r="M412" s="275">
        <v>-4.7342000000000004</v>
      </c>
      <c r="N412" s="275">
        <v>-3.5022899999999999</v>
      </c>
      <c r="O412" s="275">
        <v>-3.3675199999999998</v>
      </c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</row>
    <row r="413" spans="1:27">
      <c r="A413" s="273"/>
      <c r="B413" s="274"/>
      <c r="C413" s="207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</row>
    <row r="414" spans="1:27">
      <c r="A414" s="273">
        <v>142</v>
      </c>
      <c r="B414" s="274">
        <v>44</v>
      </c>
      <c r="C414" s="207" t="s">
        <v>120</v>
      </c>
      <c r="D414" s="275" t="s">
        <v>434</v>
      </c>
      <c r="E414" s="275" t="s">
        <v>435</v>
      </c>
      <c r="F414" s="275" t="s">
        <v>436</v>
      </c>
      <c r="G414" s="275" t="s">
        <v>437</v>
      </c>
      <c r="H414" s="275" t="s">
        <v>438</v>
      </c>
      <c r="I414" s="275" t="s">
        <v>439</v>
      </c>
      <c r="J414" s="275" t="s">
        <v>440</v>
      </c>
      <c r="K414" s="275" t="s">
        <v>441</v>
      </c>
      <c r="L414" s="275" t="s">
        <v>442</v>
      </c>
      <c r="M414" s="275" t="s">
        <v>443</v>
      </c>
      <c r="N414" s="275" t="s">
        <v>444</v>
      </c>
      <c r="O414" s="275" t="s">
        <v>445</v>
      </c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</row>
    <row r="415" spans="1:27">
      <c r="A415" s="273"/>
      <c r="B415" s="274"/>
      <c r="C415" s="207"/>
      <c r="D415" s="275">
        <v>-819.10076000000004</v>
      </c>
      <c r="E415" s="275">
        <v>-122.44007999999999</v>
      </c>
      <c r="F415" s="275">
        <v>-112.89712</v>
      </c>
      <c r="G415" s="275">
        <v>-108.04208</v>
      </c>
      <c r="H415" s="275">
        <v>-24.434439999999999</v>
      </c>
      <c r="I415" s="275">
        <v>-20.685279999999999</v>
      </c>
      <c r="J415" s="275">
        <v>-19.83408</v>
      </c>
      <c r="K415" s="275">
        <v>-13.243130000000001</v>
      </c>
      <c r="L415" s="275">
        <v>-13.07878</v>
      </c>
      <c r="M415" s="275">
        <v>-5.3207500000000003</v>
      </c>
      <c r="N415" s="275">
        <v>-4.0705099999999996</v>
      </c>
      <c r="O415" s="275">
        <v>-3.9327100000000002</v>
      </c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</row>
    <row r="416" spans="1:27">
      <c r="A416" s="273"/>
      <c r="B416" s="274"/>
      <c r="C416" s="207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</row>
    <row r="417" spans="1:27">
      <c r="A417" s="273">
        <v>143</v>
      </c>
      <c r="B417" s="274">
        <v>44</v>
      </c>
      <c r="C417" s="207" t="s">
        <v>121</v>
      </c>
      <c r="D417" s="275" t="s">
        <v>434</v>
      </c>
      <c r="E417" s="275" t="s">
        <v>435</v>
      </c>
      <c r="F417" s="275" t="s">
        <v>436</v>
      </c>
      <c r="G417" s="275" t="s">
        <v>437</v>
      </c>
      <c r="H417" s="275" t="s">
        <v>438</v>
      </c>
      <c r="I417" s="275" t="s">
        <v>439</v>
      </c>
      <c r="J417" s="275" t="s">
        <v>440</v>
      </c>
      <c r="K417" s="275" t="s">
        <v>441</v>
      </c>
      <c r="L417" s="275" t="s">
        <v>442</v>
      </c>
      <c r="M417" s="275" t="s">
        <v>443</v>
      </c>
      <c r="N417" s="275" t="s">
        <v>444</v>
      </c>
      <c r="O417" s="275" t="s">
        <v>445</v>
      </c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</row>
    <row r="418" spans="1:27">
      <c r="A418" s="273"/>
      <c r="B418" s="274"/>
      <c r="C418" s="207"/>
      <c r="D418" s="275">
        <v>-819.79355999999996</v>
      </c>
      <c r="E418" s="275">
        <v>-123.14152</v>
      </c>
      <c r="F418" s="275">
        <v>-113.59775999999999</v>
      </c>
      <c r="G418" s="275">
        <v>-108.74287</v>
      </c>
      <c r="H418" s="275">
        <v>-25.12227</v>
      </c>
      <c r="I418" s="275">
        <v>-21.373049999999999</v>
      </c>
      <c r="J418" s="275">
        <v>-20.521350000000002</v>
      </c>
      <c r="K418" s="275">
        <v>-13.92868</v>
      </c>
      <c r="L418" s="275">
        <v>-13.76422</v>
      </c>
      <c r="M418" s="275">
        <v>-5.9486999999999997</v>
      </c>
      <c r="N418" s="275">
        <v>-4.6777800000000003</v>
      </c>
      <c r="O418" s="275">
        <v>-4.53634</v>
      </c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</row>
    <row r="419" spans="1:27">
      <c r="A419" s="273"/>
      <c r="B419" s="274"/>
      <c r="C419" s="207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</row>
    <row r="420" spans="1:27">
      <c r="A420" s="273">
        <v>144</v>
      </c>
      <c r="B420" s="274">
        <v>44</v>
      </c>
      <c r="C420" s="207" t="s">
        <v>122</v>
      </c>
      <c r="D420" s="275" t="s">
        <v>434</v>
      </c>
      <c r="E420" s="275" t="s">
        <v>435</v>
      </c>
      <c r="F420" s="275" t="s">
        <v>436</v>
      </c>
      <c r="G420" s="275" t="s">
        <v>437</v>
      </c>
      <c r="H420" s="275" t="s">
        <v>438</v>
      </c>
      <c r="I420" s="275" t="s">
        <v>439</v>
      </c>
      <c r="J420" s="275" t="s">
        <v>440</v>
      </c>
      <c r="K420" s="275" t="s">
        <v>441</v>
      </c>
      <c r="L420" s="275" t="s">
        <v>442</v>
      </c>
      <c r="M420" s="275" t="s">
        <v>443</v>
      </c>
      <c r="N420" s="275" t="s">
        <v>444</v>
      </c>
      <c r="O420" s="275" t="s">
        <v>445</v>
      </c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</row>
    <row r="421" spans="1:27">
      <c r="A421" s="273"/>
      <c r="B421" s="274"/>
      <c r="C421" s="207"/>
      <c r="D421" s="275">
        <v>-820.54398000000003</v>
      </c>
      <c r="E421" s="275">
        <v>-123.90112000000001</v>
      </c>
      <c r="F421" s="275">
        <v>-114.35662000000001</v>
      </c>
      <c r="G421" s="275">
        <v>-109.50184</v>
      </c>
      <c r="H421" s="275">
        <v>-25.862749999999998</v>
      </c>
      <c r="I421" s="275">
        <v>-22.113489999999999</v>
      </c>
      <c r="J421" s="275">
        <v>-21.261060000000001</v>
      </c>
      <c r="K421" s="275">
        <v>-14.666729999999999</v>
      </c>
      <c r="L421" s="275">
        <v>-14.502079999999999</v>
      </c>
      <c r="M421" s="275">
        <v>-6.6131099999999998</v>
      </c>
      <c r="N421" s="275">
        <v>-5.31968</v>
      </c>
      <c r="O421" s="275">
        <v>-5.17408</v>
      </c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</row>
    <row r="422" spans="1:27">
      <c r="A422" s="273"/>
      <c r="B422" s="274"/>
      <c r="C422" s="207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</row>
    <row r="423" spans="1:27">
      <c r="A423" s="273">
        <v>145</v>
      </c>
      <c r="B423" s="274">
        <v>44</v>
      </c>
      <c r="C423" s="207" t="s">
        <v>123</v>
      </c>
      <c r="D423" s="275" t="s">
        <v>434</v>
      </c>
      <c r="E423" s="275" t="s">
        <v>435</v>
      </c>
      <c r="F423" s="275" t="s">
        <v>436</v>
      </c>
      <c r="G423" s="275" t="s">
        <v>437</v>
      </c>
      <c r="H423" s="275" t="s">
        <v>438</v>
      </c>
      <c r="I423" s="275" t="s">
        <v>439</v>
      </c>
      <c r="J423" s="275" t="s">
        <v>440</v>
      </c>
      <c r="K423" s="275" t="s">
        <v>441</v>
      </c>
      <c r="L423" s="275" t="s">
        <v>442</v>
      </c>
      <c r="M423" s="275" t="s">
        <v>443</v>
      </c>
      <c r="N423" s="275" t="s">
        <v>444</v>
      </c>
      <c r="O423" s="275" t="s">
        <v>445</v>
      </c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</row>
    <row r="424" spans="1:27">
      <c r="A424" s="273"/>
      <c r="B424" s="274"/>
      <c r="C424" s="207"/>
      <c r="D424" s="275">
        <v>-821.34945000000005</v>
      </c>
      <c r="E424" s="275">
        <v>-124.71611</v>
      </c>
      <c r="F424" s="275">
        <v>-115.17098</v>
      </c>
      <c r="G424" s="275">
        <v>-110.31625</v>
      </c>
      <c r="H424" s="275">
        <v>-26.6526</v>
      </c>
      <c r="I424" s="275">
        <v>-22.903369999999999</v>
      </c>
      <c r="J424" s="275">
        <v>-22.049969999999998</v>
      </c>
      <c r="K424" s="275">
        <v>-15.4541</v>
      </c>
      <c r="L424" s="275">
        <v>-15.289160000000001</v>
      </c>
      <c r="M424" s="275">
        <v>-7.3105900000000004</v>
      </c>
      <c r="N424" s="275">
        <v>-5.9932100000000004</v>
      </c>
      <c r="O424" s="275">
        <v>-5.8430099999999996</v>
      </c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</row>
    <row r="425" spans="1:27">
      <c r="A425" s="273"/>
      <c r="B425" s="274"/>
      <c r="C425" s="207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</row>
    <row r="426" spans="1:27">
      <c r="A426" s="273">
        <v>146</v>
      </c>
      <c r="B426" s="274">
        <v>44</v>
      </c>
      <c r="C426" s="207" t="s">
        <v>124</v>
      </c>
      <c r="D426" s="275" t="s">
        <v>434</v>
      </c>
      <c r="E426" s="275" t="s">
        <v>435</v>
      </c>
      <c r="F426" s="275" t="s">
        <v>436</v>
      </c>
      <c r="G426" s="275" t="s">
        <v>437</v>
      </c>
      <c r="H426" s="275" t="s">
        <v>438</v>
      </c>
      <c r="I426" s="275" t="s">
        <v>439</v>
      </c>
      <c r="J426" s="275" t="s">
        <v>440</v>
      </c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</row>
    <row r="427" spans="1:27">
      <c r="A427" s="273"/>
      <c r="B427" s="274"/>
      <c r="C427" s="207"/>
      <c r="D427" s="275">
        <v>-822.20824000000005</v>
      </c>
      <c r="E427" s="275">
        <v>-125.58454999999999</v>
      </c>
      <c r="F427" s="275">
        <v>-116.03891</v>
      </c>
      <c r="G427" s="275">
        <v>-111.18418</v>
      </c>
      <c r="H427" s="275">
        <v>-27.4894</v>
      </c>
      <c r="I427" s="275">
        <v>-23.740269999999999</v>
      </c>
      <c r="J427" s="275">
        <v>-22.885629999999999</v>
      </c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</row>
    <row r="428" spans="1:27">
      <c r="A428" s="273"/>
      <c r="B428" s="274"/>
      <c r="C428" s="207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</row>
    <row r="429" spans="1:27">
      <c r="A429" s="273">
        <v>147</v>
      </c>
      <c r="B429" s="274">
        <v>45</v>
      </c>
      <c r="C429" s="207" t="s">
        <v>125</v>
      </c>
      <c r="D429" s="275" t="s">
        <v>434</v>
      </c>
      <c r="E429" s="275" t="s">
        <v>435</v>
      </c>
      <c r="F429" s="275" t="s">
        <v>436</v>
      </c>
      <c r="G429" s="275" t="s">
        <v>437</v>
      </c>
      <c r="H429" s="275" t="s">
        <v>438</v>
      </c>
      <c r="I429" s="275" t="s">
        <v>439</v>
      </c>
      <c r="J429" s="275" t="s">
        <v>440</v>
      </c>
      <c r="K429" s="275" t="s">
        <v>441</v>
      </c>
      <c r="L429" s="275" t="s">
        <v>442</v>
      </c>
      <c r="M429" s="275" t="s">
        <v>443</v>
      </c>
      <c r="N429" s="275" t="s">
        <v>444</v>
      </c>
      <c r="O429" s="275" t="s">
        <v>445</v>
      </c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</row>
    <row r="430" spans="1:27">
      <c r="A430" s="273"/>
      <c r="B430" s="274"/>
      <c r="C430" s="207"/>
      <c r="D430" s="275">
        <v>-858.12057000000004</v>
      </c>
      <c r="E430" s="275">
        <v>-127.7033</v>
      </c>
      <c r="F430" s="275">
        <v>-117.85542</v>
      </c>
      <c r="G430" s="275">
        <v>-112.49375000000001</v>
      </c>
      <c r="H430" s="275">
        <v>-24.341889999999999</v>
      </c>
      <c r="I430" s="275">
        <v>-20.441880000000001</v>
      </c>
      <c r="J430" s="275">
        <v>-19.490179999999999</v>
      </c>
      <c r="K430" s="275">
        <v>-12.64198</v>
      </c>
      <c r="L430" s="275">
        <v>-12.45566</v>
      </c>
      <c r="M430" s="275">
        <v>-3.99803</v>
      </c>
      <c r="N430" s="275">
        <v>-2.73028</v>
      </c>
      <c r="O430" s="275">
        <v>-2.5792799999999998</v>
      </c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</row>
    <row r="431" spans="1:27">
      <c r="A431" s="273"/>
      <c r="B431" s="274"/>
      <c r="C431" s="207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</row>
    <row r="432" spans="1:27">
      <c r="A432" s="273">
        <v>148</v>
      </c>
      <c r="B432" s="274">
        <v>45</v>
      </c>
      <c r="C432" s="207" t="s">
        <v>126</v>
      </c>
      <c r="D432" s="275" t="s">
        <v>434</v>
      </c>
      <c r="E432" s="275" t="s">
        <v>435</v>
      </c>
      <c r="F432" s="275" t="s">
        <v>436</v>
      </c>
      <c r="G432" s="275" t="s">
        <v>437</v>
      </c>
      <c r="H432" s="275" t="s">
        <v>438</v>
      </c>
      <c r="I432" s="275" t="s">
        <v>439</v>
      </c>
      <c r="J432" s="275" t="s">
        <v>440</v>
      </c>
      <c r="K432" s="275" t="s">
        <v>441</v>
      </c>
      <c r="L432" s="275" t="s">
        <v>442</v>
      </c>
      <c r="M432" s="275" t="s">
        <v>443</v>
      </c>
      <c r="N432" s="275" t="s">
        <v>444</v>
      </c>
      <c r="O432" s="275" t="s">
        <v>445</v>
      </c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</row>
    <row r="433" spans="1:27">
      <c r="A433" s="273"/>
      <c r="B433" s="274"/>
      <c r="C433" s="207"/>
      <c r="D433" s="275">
        <v>-858.62774999999999</v>
      </c>
      <c r="E433" s="275">
        <v>-128.21618000000001</v>
      </c>
      <c r="F433" s="275">
        <v>-118.36762</v>
      </c>
      <c r="G433" s="275">
        <v>-113.00622</v>
      </c>
      <c r="H433" s="275">
        <v>-24.853999999999999</v>
      </c>
      <c r="I433" s="275">
        <v>-20.953880000000002</v>
      </c>
      <c r="J433" s="275">
        <v>-20.00224</v>
      </c>
      <c r="K433" s="275">
        <v>-13.152699999999999</v>
      </c>
      <c r="L433" s="275">
        <v>-12.96659</v>
      </c>
      <c r="M433" s="275">
        <v>-4.49491</v>
      </c>
      <c r="N433" s="275">
        <v>-3.2153700000000001</v>
      </c>
      <c r="O433" s="275">
        <v>-3.0630000000000002</v>
      </c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</row>
    <row r="434" spans="1:27">
      <c r="A434" s="273"/>
      <c r="B434" s="274"/>
      <c r="C434" s="207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</row>
    <row r="435" spans="1:27">
      <c r="A435" s="273">
        <v>149</v>
      </c>
      <c r="B435" s="274">
        <v>45</v>
      </c>
      <c r="C435" s="207" t="s">
        <v>127</v>
      </c>
      <c r="D435" s="275" t="s">
        <v>434</v>
      </c>
      <c r="E435" s="275" t="s">
        <v>435</v>
      </c>
      <c r="F435" s="275" t="s">
        <v>436</v>
      </c>
      <c r="G435" s="275" t="s">
        <v>437</v>
      </c>
      <c r="H435" s="275" t="s">
        <v>438</v>
      </c>
      <c r="I435" s="275" t="s">
        <v>439</v>
      </c>
      <c r="J435" s="275" t="s">
        <v>440</v>
      </c>
      <c r="K435" s="275" t="s">
        <v>441</v>
      </c>
      <c r="L435" s="275" t="s">
        <v>442</v>
      </c>
      <c r="M435" s="275" t="s">
        <v>443</v>
      </c>
      <c r="N435" s="275" t="s">
        <v>444</v>
      </c>
      <c r="O435" s="275" t="s">
        <v>445</v>
      </c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</row>
    <row r="436" spans="1:27">
      <c r="A436" s="273"/>
      <c r="B436" s="274"/>
      <c r="C436" s="207"/>
      <c r="D436" s="275">
        <v>-859.21216000000004</v>
      </c>
      <c r="E436" s="275">
        <v>-128.80691999999999</v>
      </c>
      <c r="F436" s="275">
        <v>-118.95759</v>
      </c>
      <c r="G436" s="275">
        <v>-113.59643</v>
      </c>
      <c r="H436" s="275">
        <v>-25.44041</v>
      </c>
      <c r="I436" s="275">
        <v>-21.540199999999999</v>
      </c>
      <c r="J436" s="275">
        <v>-20.588439999999999</v>
      </c>
      <c r="K436" s="275">
        <v>-13.73739</v>
      </c>
      <c r="L436" s="275">
        <v>-13.55139</v>
      </c>
      <c r="M436" s="275">
        <v>-5.0517700000000003</v>
      </c>
      <c r="N436" s="275">
        <v>-3.7568800000000002</v>
      </c>
      <c r="O436" s="275">
        <v>-3.6021100000000001</v>
      </c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</row>
    <row r="437" spans="1:27">
      <c r="A437" s="273"/>
      <c r="B437" s="274"/>
      <c r="C437" s="207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</row>
    <row r="438" spans="1:27">
      <c r="A438" s="273">
        <v>150</v>
      </c>
      <c r="B438" s="274">
        <v>45</v>
      </c>
      <c r="C438" s="207" t="s">
        <v>128</v>
      </c>
      <c r="D438" s="275" t="s">
        <v>434</v>
      </c>
      <c r="E438" s="275" t="s">
        <v>435</v>
      </c>
      <c r="F438" s="275" t="s">
        <v>436</v>
      </c>
      <c r="G438" s="275" t="s">
        <v>437</v>
      </c>
      <c r="H438" s="275" t="s">
        <v>438</v>
      </c>
      <c r="I438" s="275" t="s">
        <v>439</v>
      </c>
      <c r="J438" s="275" t="s">
        <v>440</v>
      </c>
      <c r="K438" s="275" t="s">
        <v>441</v>
      </c>
      <c r="L438" s="275" t="s">
        <v>442</v>
      </c>
      <c r="M438" s="275" t="s">
        <v>443</v>
      </c>
      <c r="N438" s="275" t="s">
        <v>444</v>
      </c>
      <c r="O438" s="275" t="s">
        <v>445</v>
      </c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</row>
    <row r="439" spans="1:27">
      <c r="A439" s="273"/>
      <c r="B439" s="274"/>
      <c r="C439" s="207"/>
      <c r="D439" s="275">
        <v>-859.86315000000002</v>
      </c>
      <c r="E439" s="275">
        <v>-129.46552</v>
      </c>
      <c r="F439" s="275">
        <v>-119.61539999999999</v>
      </c>
      <c r="G439" s="275">
        <v>-114.25445000000001</v>
      </c>
      <c r="H439" s="275">
        <v>-26.090399999999999</v>
      </c>
      <c r="I439" s="275">
        <v>-22.19012</v>
      </c>
      <c r="J439" s="275">
        <v>-21.23807</v>
      </c>
      <c r="K439" s="275">
        <v>-14.385450000000001</v>
      </c>
      <c r="L439" s="275">
        <v>-14.199450000000001</v>
      </c>
      <c r="M439" s="275">
        <v>-5.6570099999999996</v>
      </c>
      <c r="N439" s="275">
        <v>-4.3439399999999999</v>
      </c>
      <c r="O439" s="275">
        <v>-4.1859599999999997</v>
      </c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</row>
    <row r="440" spans="1:27">
      <c r="A440" s="273"/>
      <c r="B440" s="274"/>
      <c r="C440" s="207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</row>
    <row r="441" spans="1:27">
      <c r="A441" s="273">
        <v>151</v>
      </c>
      <c r="B441" s="274">
        <v>45</v>
      </c>
      <c r="C441" s="207" t="s">
        <v>129</v>
      </c>
      <c r="D441" s="275" t="s">
        <v>434</v>
      </c>
      <c r="E441" s="275" t="s">
        <v>435</v>
      </c>
      <c r="F441" s="275" t="s">
        <v>436</v>
      </c>
      <c r="G441" s="275" t="s">
        <v>437</v>
      </c>
      <c r="H441" s="275" t="s">
        <v>438</v>
      </c>
      <c r="I441" s="275" t="s">
        <v>439</v>
      </c>
      <c r="J441" s="275" t="s">
        <v>440</v>
      </c>
      <c r="K441" s="275" t="s">
        <v>441</v>
      </c>
      <c r="L441" s="275" t="s">
        <v>442</v>
      </c>
      <c r="M441" s="275" t="s">
        <v>443</v>
      </c>
      <c r="N441" s="275" t="s">
        <v>444</v>
      </c>
      <c r="O441" s="275" t="s">
        <v>445</v>
      </c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</row>
    <row r="442" spans="1:27">
      <c r="A442" s="273"/>
      <c r="B442" s="274"/>
      <c r="C442" s="207"/>
      <c r="D442" s="275">
        <v>-860.5752</v>
      </c>
      <c r="E442" s="275">
        <v>-130.18595999999999</v>
      </c>
      <c r="F442" s="275">
        <v>-120.33507</v>
      </c>
      <c r="G442" s="275">
        <v>-114.97429</v>
      </c>
      <c r="H442" s="275">
        <v>-26.79729</v>
      </c>
      <c r="I442" s="275">
        <v>-22.896989999999999</v>
      </c>
      <c r="J442" s="275">
        <v>-21.944420000000001</v>
      </c>
      <c r="K442" s="275">
        <v>-15.090249999999999</v>
      </c>
      <c r="L442" s="275">
        <v>-14.904159999999999</v>
      </c>
      <c r="M442" s="275">
        <v>-6.3034499999999998</v>
      </c>
      <c r="N442" s="275">
        <v>-4.9699600000000004</v>
      </c>
      <c r="O442" s="275">
        <v>-4.8081300000000002</v>
      </c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</row>
    <row r="443" spans="1:27">
      <c r="A443" s="273"/>
      <c r="B443" s="274"/>
      <c r="C443" s="207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</row>
    <row r="444" spans="1:27">
      <c r="A444" s="273">
        <v>152</v>
      </c>
      <c r="B444" s="274">
        <v>45</v>
      </c>
      <c r="C444" s="207" t="s">
        <v>130</v>
      </c>
      <c r="D444" s="275" t="s">
        <v>434</v>
      </c>
      <c r="E444" s="275" t="s">
        <v>435</v>
      </c>
      <c r="F444" s="275" t="s">
        <v>436</v>
      </c>
      <c r="G444" s="275" t="s">
        <v>437</v>
      </c>
      <c r="H444" s="275" t="s">
        <v>438</v>
      </c>
      <c r="I444" s="275" t="s">
        <v>439</v>
      </c>
      <c r="J444" s="275" t="s">
        <v>440</v>
      </c>
      <c r="K444" s="275" t="s">
        <v>441</v>
      </c>
      <c r="L444" s="275" t="s">
        <v>442</v>
      </c>
      <c r="M444" s="275" t="s">
        <v>443</v>
      </c>
      <c r="N444" s="275" t="s">
        <v>444</v>
      </c>
      <c r="O444" s="275" t="s">
        <v>445</v>
      </c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</row>
    <row r="445" spans="1:27">
      <c r="A445" s="273"/>
      <c r="B445" s="274"/>
      <c r="C445" s="207"/>
      <c r="D445" s="275">
        <v>-861.34461999999996</v>
      </c>
      <c r="E445" s="275">
        <v>-130.96427</v>
      </c>
      <c r="F445" s="275">
        <v>-121.11268</v>
      </c>
      <c r="G445" s="275">
        <v>-115.75201</v>
      </c>
      <c r="H445" s="275">
        <v>-27.556560000000001</v>
      </c>
      <c r="I445" s="275">
        <v>-23.656300000000002</v>
      </c>
      <c r="J445" s="275">
        <v>-22.70298</v>
      </c>
      <c r="K445" s="275">
        <v>-15.84737</v>
      </c>
      <c r="L445" s="275">
        <v>-15.66109</v>
      </c>
      <c r="M445" s="275">
        <v>-6.9863099999999996</v>
      </c>
      <c r="N445" s="275">
        <v>-5.63063</v>
      </c>
      <c r="O445" s="275">
        <v>-5.4644000000000004</v>
      </c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</row>
    <row r="446" spans="1:27">
      <c r="A446" s="273"/>
      <c r="B446" s="274"/>
      <c r="C446" s="207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</row>
    <row r="447" spans="1:27">
      <c r="A447" s="273">
        <v>153</v>
      </c>
      <c r="B447" s="274">
        <v>46</v>
      </c>
      <c r="C447" s="207" t="s">
        <v>348</v>
      </c>
      <c r="D447" s="275" t="s">
        <v>434</v>
      </c>
      <c r="E447" s="275" t="s">
        <v>435</v>
      </c>
      <c r="F447" s="275" t="s">
        <v>436</v>
      </c>
      <c r="G447" s="275" t="s">
        <v>437</v>
      </c>
      <c r="H447" s="275" t="s">
        <v>438</v>
      </c>
      <c r="I447" s="275" t="s">
        <v>439</v>
      </c>
      <c r="J447" s="275" t="s">
        <v>440</v>
      </c>
      <c r="K447" s="275" t="s">
        <v>441</v>
      </c>
      <c r="L447" s="275" t="s">
        <v>442</v>
      </c>
      <c r="M447" s="275" t="s">
        <v>443</v>
      </c>
      <c r="N447" s="275" t="s">
        <v>444</v>
      </c>
      <c r="O447" s="275" t="s">
        <v>445</v>
      </c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</row>
    <row r="448" spans="1:27">
      <c r="A448" s="273"/>
      <c r="B448" s="274"/>
      <c r="C448" s="207"/>
      <c r="D448" s="275">
        <v>-900.43129999999996</v>
      </c>
      <c r="E448" s="275">
        <v>-135.41627</v>
      </c>
      <c r="F448" s="275">
        <v>-125.25693</v>
      </c>
      <c r="G448" s="275">
        <v>-119.34954</v>
      </c>
      <c r="H448" s="275">
        <v>-26.518370000000001</v>
      </c>
      <c r="I448" s="275">
        <v>-22.465250000000001</v>
      </c>
      <c r="J448" s="275">
        <v>-21.40382</v>
      </c>
      <c r="K448" s="275">
        <v>-14.29083</v>
      </c>
      <c r="L448" s="275">
        <v>-14.080970000000001</v>
      </c>
      <c r="M448" s="275">
        <v>-4.7979399999999996</v>
      </c>
      <c r="N448" s="275">
        <v>-3.4555899999999999</v>
      </c>
      <c r="O448" s="275">
        <v>-3.2814000000000001</v>
      </c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</row>
    <row r="449" spans="1:27">
      <c r="A449" s="273"/>
      <c r="B449" s="274"/>
      <c r="C449" s="207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</row>
    <row r="450" spans="1:27">
      <c r="A450" s="273">
        <v>154</v>
      </c>
      <c r="B450" s="274">
        <v>46</v>
      </c>
      <c r="C450" s="207" t="s">
        <v>349</v>
      </c>
      <c r="D450" s="275" t="s">
        <v>434</v>
      </c>
      <c r="E450" s="275" t="s">
        <v>435</v>
      </c>
      <c r="F450" s="275" t="s">
        <v>436</v>
      </c>
      <c r="G450" s="275" t="s">
        <v>437</v>
      </c>
      <c r="H450" s="275" t="s">
        <v>438</v>
      </c>
      <c r="I450" s="275" t="s">
        <v>439</v>
      </c>
      <c r="J450" s="275" t="s">
        <v>440</v>
      </c>
      <c r="K450" s="275" t="s">
        <v>441</v>
      </c>
      <c r="L450" s="275" t="s">
        <v>442</v>
      </c>
      <c r="M450" s="275" t="s">
        <v>443</v>
      </c>
      <c r="N450" s="275" t="s">
        <v>444</v>
      </c>
      <c r="O450" s="275" t="s">
        <v>445</v>
      </c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</row>
    <row r="451" spans="1:27">
      <c r="A451" s="273"/>
      <c r="B451" s="274"/>
      <c r="C451" s="207"/>
      <c r="D451" s="275">
        <v>-901.70556999999997</v>
      </c>
      <c r="E451" s="275">
        <v>-136.70517000000001</v>
      </c>
      <c r="F451" s="275">
        <v>-126.54425999999999</v>
      </c>
      <c r="G451" s="275">
        <v>-120.63737</v>
      </c>
      <c r="H451" s="275">
        <v>-27.794409999999999</v>
      </c>
      <c r="I451" s="275">
        <v>-23.741160000000001</v>
      </c>
      <c r="J451" s="275">
        <v>-22.679320000000001</v>
      </c>
      <c r="K451" s="275">
        <v>-15.563370000000001</v>
      </c>
      <c r="L451" s="275">
        <v>-15.35369</v>
      </c>
      <c r="M451" s="275">
        <v>-5.9980099999999998</v>
      </c>
      <c r="N451" s="275">
        <v>-4.6221800000000002</v>
      </c>
      <c r="O451" s="275">
        <v>-4.4420599999999997</v>
      </c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</row>
    <row r="452" spans="1:27">
      <c r="A452" s="273"/>
      <c r="B452" s="274"/>
      <c r="C452" s="207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</row>
    <row r="453" spans="1:27">
      <c r="A453" s="273">
        <v>155</v>
      </c>
      <c r="B453" s="274">
        <v>47</v>
      </c>
      <c r="C453" s="207" t="s">
        <v>131</v>
      </c>
      <c r="D453" s="275" t="s">
        <v>434</v>
      </c>
      <c r="E453" s="275" t="s">
        <v>435</v>
      </c>
      <c r="F453" s="275" t="s">
        <v>436</v>
      </c>
      <c r="G453" s="275" t="s">
        <v>437</v>
      </c>
      <c r="H453" s="275" t="s">
        <v>438</v>
      </c>
      <c r="I453" s="275" t="s">
        <v>439</v>
      </c>
      <c r="J453" s="275" t="s">
        <v>440</v>
      </c>
      <c r="K453" s="275" t="s">
        <v>441</v>
      </c>
      <c r="L453" s="275" t="s">
        <v>442</v>
      </c>
      <c r="M453" s="275" t="s">
        <v>443</v>
      </c>
      <c r="N453" s="275" t="s">
        <v>444</v>
      </c>
      <c r="O453" s="275" t="s">
        <v>445</v>
      </c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</row>
    <row r="454" spans="1:27">
      <c r="A454" s="273"/>
      <c r="B454" s="274"/>
      <c r="C454" s="207"/>
      <c r="D454" s="275">
        <v>-942.77319999999997</v>
      </c>
      <c r="E454" s="275">
        <v>-142.27859000000001</v>
      </c>
      <c r="F454" s="275">
        <v>-131.80528000000001</v>
      </c>
      <c r="G454" s="275">
        <v>-125.30922</v>
      </c>
      <c r="H454" s="275">
        <v>-27.67764</v>
      </c>
      <c r="I454" s="275">
        <v>-23.469740000000002</v>
      </c>
      <c r="J454" s="275">
        <v>-22.288959999999999</v>
      </c>
      <c r="K454" s="275">
        <v>-14.91222</v>
      </c>
      <c r="L454" s="275">
        <v>-14.676119999999999</v>
      </c>
      <c r="M454" s="275">
        <v>-4.56914</v>
      </c>
      <c r="N454" s="275">
        <v>-3.1763699999999999</v>
      </c>
      <c r="O454" s="275">
        <v>-2.9797699999999998</v>
      </c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</row>
    <row r="455" spans="1:27">
      <c r="A455" s="273"/>
      <c r="B455" s="274"/>
      <c r="C455" s="207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</row>
    <row r="456" spans="1:27">
      <c r="A456" s="273">
        <v>156</v>
      </c>
      <c r="B456" s="274">
        <v>47</v>
      </c>
      <c r="C456" s="207" t="s">
        <v>132</v>
      </c>
      <c r="D456" s="275" t="s">
        <v>434</v>
      </c>
      <c r="E456" s="275" t="s">
        <v>435</v>
      </c>
      <c r="F456" s="275" t="s">
        <v>436</v>
      </c>
      <c r="G456" s="275" t="s">
        <v>437</v>
      </c>
      <c r="H456" s="275" t="s">
        <v>438</v>
      </c>
      <c r="I456" s="275" t="s">
        <v>439</v>
      </c>
      <c r="J456" s="275" t="s">
        <v>440</v>
      </c>
      <c r="K456" s="275" t="s">
        <v>441</v>
      </c>
      <c r="L456" s="275" t="s">
        <v>442</v>
      </c>
      <c r="M456" s="275" t="s">
        <v>443</v>
      </c>
      <c r="N456" s="275" t="s">
        <v>444</v>
      </c>
      <c r="O456" s="275" t="s">
        <v>445</v>
      </c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</row>
    <row r="457" spans="1:27">
      <c r="A457" s="273"/>
      <c r="B457" s="274"/>
      <c r="C457" s="207"/>
      <c r="D457" s="275">
        <v>-943.32582000000002</v>
      </c>
      <c r="E457" s="275">
        <v>-142.83362</v>
      </c>
      <c r="F457" s="275">
        <v>-132.35955999999999</v>
      </c>
      <c r="G457" s="275">
        <v>-125.86386</v>
      </c>
      <c r="H457" s="275">
        <v>-28.231929999999998</v>
      </c>
      <c r="I457" s="275">
        <v>-24.023910000000001</v>
      </c>
      <c r="J457" s="275">
        <v>-22.843209999999999</v>
      </c>
      <c r="K457" s="275">
        <v>-15.465059999999999</v>
      </c>
      <c r="L457" s="275">
        <v>-15.229279999999999</v>
      </c>
      <c r="M457" s="275">
        <v>-5.1062700000000003</v>
      </c>
      <c r="N457" s="275">
        <v>-3.7011400000000001</v>
      </c>
      <c r="O457" s="275">
        <v>-3.5030399999999999</v>
      </c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</row>
    <row r="458" spans="1:27">
      <c r="A458" s="273"/>
      <c r="B458" s="274"/>
      <c r="C458" s="207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</row>
    <row r="459" spans="1:27">
      <c r="A459" s="273">
        <v>157</v>
      </c>
      <c r="B459" s="274">
        <v>47</v>
      </c>
      <c r="C459" s="207" t="s">
        <v>133</v>
      </c>
      <c r="D459" s="275" t="s">
        <v>434</v>
      </c>
      <c r="E459" s="275" t="s">
        <v>435</v>
      </c>
      <c r="F459" s="275" t="s">
        <v>436</v>
      </c>
      <c r="G459" s="275" t="s">
        <v>437</v>
      </c>
      <c r="H459" s="275" t="s">
        <v>438</v>
      </c>
      <c r="I459" s="275" t="s">
        <v>439</v>
      </c>
      <c r="J459" s="275" t="s">
        <v>440</v>
      </c>
      <c r="K459" s="275" t="s">
        <v>441</v>
      </c>
      <c r="L459" s="275" t="s">
        <v>442</v>
      </c>
      <c r="M459" s="275" t="s">
        <v>443</v>
      </c>
      <c r="N459" s="275" t="s">
        <v>444</v>
      </c>
      <c r="O459" s="275" t="s">
        <v>445</v>
      </c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</row>
    <row r="460" spans="1:27">
      <c r="A460" s="273"/>
      <c r="B460" s="274"/>
      <c r="C460" s="207"/>
      <c r="D460" s="275">
        <v>-943.94896000000006</v>
      </c>
      <c r="E460" s="275">
        <v>-143.46444</v>
      </c>
      <c r="F460" s="275">
        <v>-132.98957999999999</v>
      </c>
      <c r="G460" s="275">
        <v>-126.49419</v>
      </c>
      <c r="H460" s="275">
        <v>-28.85849</v>
      </c>
      <c r="I460" s="275">
        <v>-24.650390000000002</v>
      </c>
      <c r="J460" s="275">
        <v>-23.469580000000001</v>
      </c>
      <c r="K460" s="275">
        <v>-16.08999</v>
      </c>
      <c r="L460" s="275">
        <v>-15.854380000000001</v>
      </c>
      <c r="M460" s="275">
        <v>-5.7015000000000002</v>
      </c>
      <c r="N460" s="275">
        <v>-4.2808900000000003</v>
      </c>
      <c r="O460" s="275">
        <v>-4.0800999999999998</v>
      </c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</row>
    <row r="461" spans="1:27">
      <c r="A461" s="273"/>
      <c r="B461" s="274"/>
      <c r="C461" s="207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</row>
    <row r="462" spans="1:27">
      <c r="A462" s="273">
        <v>158</v>
      </c>
      <c r="B462" s="274">
        <v>48</v>
      </c>
      <c r="C462" s="207" t="s">
        <v>350</v>
      </c>
      <c r="D462" s="275" t="s">
        <v>434</v>
      </c>
      <c r="E462" s="275" t="s">
        <v>435</v>
      </c>
      <c r="F462" s="275" t="s">
        <v>436</v>
      </c>
      <c r="G462" s="275" t="s">
        <v>437</v>
      </c>
      <c r="H462" s="275" t="s">
        <v>438</v>
      </c>
      <c r="I462" s="275" t="s">
        <v>439</v>
      </c>
      <c r="J462" s="275" t="s">
        <v>440</v>
      </c>
      <c r="K462" s="275" t="s">
        <v>441</v>
      </c>
      <c r="L462" s="275" t="s">
        <v>442</v>
      </c>
      <c r="M462" s="275" t="s">
        <v>443</v>
      </c>
      <c r="N462" s="275" t="s">
        <v>444</v>
      </c>
      <c r="O462" s="275" t="s">
        <v>445</v>
      </c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</row>
    <row r="463" spans="1:27">
      <c r="A463" s="273"/>
      <c r="B463" s="274"/>
      <c r="C463" s="207"/>
      <c r="D463" s="275">
        <v>-987.31992000000002</v>
      </c>
      <c r="E463" s="275">
        <v>-150.47107</v>
      </c>
      <c r="F463" s="275">
        <v>-139.67843999999999</v>
      </c>
      <c r="G463" s="275">
        <v>-132.54975999999999</v>
      </c>
      <c r="H463" s="275">
        <v>-29.995729999999998</v>
      </c>
      <c r="I463" s="275">
        <v>-25.63091</v>
      </c>
      <c r="J463" s="275">
        <v>-24.320869999999999</v>
      </c>
      <c r="K463" s="275">
        <v>-16.67577</v>
      </c>
      <c r="L463" s="275">
        <v>-16.411750000000001</v>
      </c>
      <c r="M463" s="275">
        <v>-5.4204400000000001</v>
      </c>
      <c r="N463" s="275">
        <v>-3.9524400000000002</v>
      </c>
      <c r="O463" s="275">
        <v>-3.7281900000000001</v>
      </c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</row>
    <row r="464" spans="1:27">
      <c r="A464" s="273"/>
      <c r="B464" s="274"/>
      <c r="C464" s="207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</row>
    <row r="465" spans="1:27">
      <c r="A465" s="273">
        <v>159</v>
      </c>
      <c r="B465" s="274">
        <v>49</v>
      </c>
      <c r="C465" s="207" t="s">
        <v>134</v>
      </c>
      <c r="D465" s="275" t="s">
        <v>434</v>
      </c>
      <c r="E465" s="275" t="s">
        <v>435</v>
      </c>
      <c r="F465" s="275" t="s">
        <v>436</v>
      </c>
      <c r="G465" s="275" t="s">
        <v>437</v>
      </c>
      <c r="H465" s="275" t="s">
        <v>438</v>
      </c>
      <c r="I465" s="275" t="s">
        <v>439</v>
      </c>
      <c r="J465" s="275" t="s">
        <v>440</v>
      </c>
      <c r="K465" s="275" t="s">
        <v>441</v>
      </c>
      <c r="L465" s="275" t="s">
        <v>442</v>
      </c>
      <c r="M465" s="275" t="s">
        <v>443</v>
      </c>
      <c r="N465" s="275" t="s">
        <v>444</v>
      </c>
      <c r="O465" s="275" t="s">
        <v>445</v>
      </c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</row>
    <row r="466" spans="1:27">
      <c r="A466" s="273"/>
      <c r="B466" s="274"/>
      <c r="C466" s="207"/>
      <c r="D466" s="275">
        <v>-1032.26998</v>
      </c>
      <c r="E466" s="275">
        <v>-158.19973999999999</v>
      </c>
      <c r="F466" s="275">
        <v>-147.08035000000001</v>
      </c>
      <c r="G466" s="275">
        <v>-139.27205000000001</v>
      </c>
      <c r="H466" s="275">
        <v>-31.67801</v>
      </c>
      <c r="I466" s="275">
        <v>-27.150459999999999</v>
      </c>
      <c r="J466" s="275">
        <v>-25.700279999999999</v>
      </c>
      <c r="K466" s="275">
        <v>-17.783470000000001</v>
      </c>
      <c r="L466" s="275">
        <v>-17.488910000000001</v>
      </c>
      <c r="M466" s="275">
        <v>-5.5811000000000002</v>
      </c>
      <c r="N466" s="275">
        <v>-4.0243200000000003</v>
      </c>
      <c r="O466" s="275">
        <v>-3.7686299999999999</v>
      </c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</row>
    <row r="467" spans="1:27">
      <c r="A467" s="273"/>
      <c r="B467" s="274"/>
      <c r="C467" s="207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</row>
    <row r="468" spans="1:27">
      <c r="A468" s="273">
        <v>160</v>
      </c>
      <c r="B468" s="274">
        <v>49</v>
      </c>
      <c r="C468" s="207" t="s">
        <v>135</v>
      </c>
      <c r="D468" s="275" t="s">
        <v>434</v>
      </c>
      <c r="E468" s="275" t="s">
        <v>435</v>
      </c>
      <c r="F468" s="275" t="s">
        <v>436</v>
      </c>
      <c r="G468" s="275" t="s">
        <v>437</v>
      </c>
      <c r="H468" s="275" t="s">
        <v>438</v>
      </c>
      <c r="I468" s="275" t="s">
        <v>439</v>
      </c>
      <c r="J468" s="275" t="s">
        <v>440</v>
      </c>
      <c r="K468" s="275" t="s">
        <v>441</v>
      </c>
      <c r="L468" s="275" t="s">
        <v>442</v>
      </c>
      <c r="M468" s="275" t="s">
        <v>443</v>
      </c>
      <c r="N468" s="275" t="s">
        <v>444</v>
      </c>
      <c r="O468" s="275" t="s">
        <v>445</v>
      </c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</row>
    <row r="469" spans="1:27">
      <c r="A469" s="273"/>
      <c r="B469" s="274"/>
      <c r="C469" s="207"/>
      <c r="D469" s="275">
        <v>-1032.6587300000001</v>
      </c>
      <c r="E469" s="275">
        <v>-158.58002999999999</v>
      </c>
      <c r="F469" s="275">
        <v>-147.46197000000001</v>
      </c>
      <c r="G469" s="275">
        <v>-139.65362999999999</v>
      </c>
      <c r="H469" s="275">
        <v>-32.057310000000001</v>
      </c>
      <c r="I469" s="275">
        <v>-27.53134</v>
      </c>
      <c r="J469" s="275">
        <v>-26.081230000000001</v>
      </c>
      <c r="K469" s="275">
        <v>-18.165009999999999</v>
      </c>
      <c r="L469" s="275">
        <v>-17.870509999999999</v>
      </c>
      <c r="M469" s="275">
        <v>-5.9587000000000003</v>
      </c>
      <c r="N469" s="275">
        <v>-4.4062200000000002</v>
      </c>
      <c r="O469" s="275">
        <v>-4.1505900000000002</v>
      </c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</row>
    <row r="470" spans="1:27">
      <c r="A470" s="273"/>
      <c r="B470" s="274"/>
      <c r="C470" s="207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</row>
    <row r="471" spans="1:27">
      <c r="A471" s="273">
        <v>161</v>
      </c>
      <c r="B471" s="274">
        <v>49</v>
      </c>
      <c r="C471" s="207" t="s">
        <v>136</v>
      </c>
      <c r="D471" s="275" t="s">
        <v>434</v>
      </c>
      <c r="E471" s="275" t="s">
        <v>435</v>
      </c>
      <c r="F471" s="275" t="s">
        <v>436</v>
      </c>
      <c r="G471" s="275" t="s">
        <v>437</v>
      </c>
      <c r="H471" s="275" t="s">
        <v>438</v>
      </c>
      <c r="I471" s="275" t="s">
        <v>439</v>
      </c>
      <c r="J471" s="275" t="s">
        <v>440</v>
      </c>
      <c r="K471" s="275" t="s">
        <v>441</v>
      </c>
      <c r="L471" s="275" t="s">
        <v>442</v>
      </c>
      <c r="M471" s="275" t="s">
        <v>443</v>
      </c>
      <c r="N471" s="275" t="s">
        <v>444</v>
      </c>
      <c r="O471" s="275" t="s">
        <v>445</v>
      </c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</row>
    <row r="472" spans="1:27">
      <c r="A472" s="273"/>
      <c r="B472" s="274"/>
      <c r="C472" s="207"/>
      <c r="D472" s="275">
        <v>-1033.08647</v>
      </c>
      <c r="E472" s="275">
        <v>-159.0018</v>
      </c>
      <c r="F472" s="275">
        <v>-147.88565</v>
      </c>
      <c r="G472" s="275">
        <v>-140.07722999999999</v>
      </c>
      <c r="H472" s="275">
        <v>-32.477229999999999</v>
      </c>
      <c r="I472" s="275">
        <v>-27.95355</v>
      </c>
      <c r="J472" s="275">
        <v>-26.503430000000002</v>
      </c>
      <c r="K472" s="275">
        <v>-18.588090000000001</v>
      </c>
      <c r="L472" s="275">
        <v>-18.29365</v>
      </c>
      <c r="M472" s="275">
        <v>-6.37425</v>
      </c>
      <c r="N472" s="275">
        <v>-4.8274800000000004</v>
      </c>
      <c r="O472" s="275">
        <v>-4.5717699999999999</v>
      </c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</row>
    <row r="473" spans="1:27">
      <c r="A473" s="273"/>
      <c r="B473" s="274"/>
      <c r="C473" s="207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</row>
    <row r="474" spans="1:27">
      <c r="A474" s="273">
        <v>162</v>
      </c>
      <c r="B474" s="274">
        <v>50</v>
      </c>
      <c r="C474" s="207" t="s">
        <v>351</v>
      </c>
      <c r="D474" s="275" t="s">
        <v>434</v>
      </c>
      <c r="E474" s="275" t="s">
        <v>435</v>
      </c>
      <c r="F474" s="275" t="s">
        <v>436</v>
      </c>
      <c r="G474" s="275" t="s">
        <v>437</v>
      </c>
      <c r="H474" s="275" t="s">
        <v>438</v>
      </c>
      <c r="I474" s="275" t="s">
        <v>439</v>
      </c>
      <c r="J474" s="275" t="s">
        <v>440</v>
      </c>
      <c r="K474" s="275" t="s">
        <v>441</v>
      </c>
      <c r="L474" s="275" t="s">
        <v>442</v>
      </c>
      <c r="M474" s="275" t="s">
        <v>443</v>
      </c>
      <c r="N474" s="275" t="s">
        <v>444</v>
      </c>
      <c r="O474" s="275" t="s">
        <v>445</v>
      </c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</row>
    <row r="475" spans="1:27">
      <c r="A475" s="273"/>
      <c r="B475" s="274"/>
      <c r="C475" s="207"/>
      <c r="D475" s="275">
        <v>-1079.14968</v>
      </c>
      <c r="E475" s="275">
        <v>-166.95114000000001</v>
      </c>
      <c r="F475" s="275">
        <v>-155.50312</v>
      </c>
      <c r="G475" s="275">
        <v>-146.96549999999999</v>
      </c>
      <c r="H475" s="275">
        <v>-34.205039999999997</v>
      </c>
      <c r="I475" s="275">
        <v>-29.515529999999998</v>
      </c>
      <c r="J475" s="275">
        <v>-27.91384</v>
      </c>
      <c r="K475" s="275">
        <v>-19.724499999999999</v>
      </c>
      <c r="L475" s="275">
        <v>-19.396930000000001</v>
      </c>
      <c r="M475" s="275">
        <v>-6.52644</v>
      </c>
      <c r="N475" s="275">
        <v>-4.8867000000000003</v>
      </c>
      <c r="O475" s="275">
        <v>-4.5962199999999998</v>
      </c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</row>
    <row r="476" spans="1:27">
      <c r="A476" s="273"/>
      <c r="B476" s="274"/>
      <c r="C476" s="207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</row>
    <row r="477" spans="1:27">
      <c r="A477" s="273">
        <v>163</v>
      </c>
      <c r="B477" s="274">
        <v>50</v>
      </c>
      <c r="C477" s="207" t="s">
        <v>352</v>
      </c>
      <c r="D477" s="275" t="s">
        <v>434</v>
      </c>
      <c r="E477" s="275" t="s">
        <v>435</v>
      </c>
      <c r="F477" s="275" t="s">
        <v>436</v>
      </c>
      <c r="G477" s="275" t="s">
        <v>437</v>
      </c>
      <c r="H477" s="275" t="s">
        <v>438</v>
      </c>
      <c r="I477" s="275" t="s">
        <v>439</v>
      </c>
      <c r="J477" s="275" t="s">
        <v>440</v>
      </c>
      <c r="K477" s="275" t="s">
        <v>441</v>
      </c>
      <c r="L477" s="275" t="s">
        <v>442</v>
      </c>
      <c r="M477" s="275" t="s">
        <v>443</v>
      </c>
      <c r="N477" s="275" t="s">
        <v>444</v>
      </c>
      <c r="O477" s="275" t="s">
        <v>445</v>
      </c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</row>
    <row r="478" spans="1:27">
      <c r="A478" s="273"/>
      <c r="B478" s="274"/>
      <c r="C478" s="207"/>
      <c r="D478" s="275">
        <v>-1080.0770600000001</v>
      </c>
      <c r="E478" s="275">
        <v>-167.86358999999999</v>
      </c>
      <c r="F478" s="275">
        <v>-156.41990999999999</v>
      </c>
      <c r="G478" s="275">
        <v>-147.88207</v>
      </c>
      <c r="H478" s="275">
        <v>-35.11204</v>
      </c>
      <c r="I478" s="275">
        <v>-30.42764</v>
      </c>
      <c r="J478" s="275">
        <v>-28.82592</v>
      </c>
      <c r="K478" s="275">
        <v>-20.638580000000001</v>
      </c>
      <c r="L478" s="275">
        <v>-20.3111</v>
      </c>
      <c r="M478" s="275">
        <v>-7.4196099999999996</v>
      </c>
      <c r="N478" s="275">
        <v>-5.7913600000000001</v>
      </c>
      <c r="O478" s="275">
        <v>-5.5002800000000001</v>
      </c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</row>
    <row r="479" spans="1:27">
      <c r="A479" s="273"/>
      <c r="B479" s="274"/>
      <c r="C479" s="207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</row>
    <row r="480" spans="1:27">
      <c r="A480" s="273">
        <v>164</v>
      </c>
      <c r="B480" s="274">
        <v>51</v>
      </c>
      <c r="C480" s="207" t="s">
        <v>353</v>
      </c>
      <c r="D480" s="275" t="s">
        <v>434</v>
      </c>
      <c r="E480" s="275" t="s">
        <v>435</v>
      </c>
      <c r="F480" s="275" t="s">
        <v>436</v>
      </c>
      <c r="G480" s="275" t="s">
        <v>437</v>
      </c>
      <c r="H480" s="275" t="s">
        <v>438</v>
      </c>
      <c r="I480" s="275" t="s">
        <v>439</v>
      </c>
      <c r="J480" s="275" t="s">
        <v>440</v>
      </c>
      <c r="K480" s="275" t="s">
        <v>441</v>
      </c>
      <c r="L480" s="275" t="s">
        <v>442</v>
      </c>
      <c r="M480" s="275" t="s">
        <v>443</v>
      </c>
      <c r="N480" s="275" t="s">
        <v>444</v>
      </c>
      <c r="O480" s="275" t="s">
        <v>445</v>
      </c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</row>
    <row r="481" spans="1:27">
      <c r="A481" s="273"/>
      <c r="B481" s="274"/>
      <c r="C481" s="207"/>
      <c r="D481" s="275">
        <v>-1127.2660100000001</v>
      </c>
      <c r="E481" s="275">
        <v>-176.03962999999999</v>
      </c>
      <c r="F481" s="275">
        <v>-164.25880000000001</v>
      </c>
      <c r="G481" s="275">
        <v>-154.93951000000001</v>
      </c>
      <c r="H481" s="275">
        <v>-36.889420000000001</v>
      </c>
      <c r="I481" s="275">
        <v>-32.036079999999998</v>
      </c>
      <c r="J481" s="275">
        <v>-30.270700000000001</v>
      </c>
      <c r="K481" s="275">
        <v>-21.807110000000002</v>
      </c>
      <c r="L481" s="275">
        <v>-21.443760000000001</v>
      </c>
      <c r="M481" s="275">
        <v>-7.5674900000000003</v>
      </c>
      <c r="N481" s="275">
        <v>-5.8426799999999997</v>
      </c>
      <c r="O481" s="275">
        <v>-5.5134100000000004</v>
      </c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</row>
    <row r="482" spans="1:27">
      <c r="A482" s="273"/>
      <c r="B482" s="274"/>
      <c r="C482" s="207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</row>
    <row r="483" spans="1:27">
      <c r="A483" s="273">
        <v>165</v>
      </c>
      <c r="B483" s="274">
        <v>51</v>
      </c>
      <c r="C483" s="207" t="s">
        <v>354</v>
      </c>
      <c r="D483" s="275" t="s">
        <v>434</v>
      </c>
      <c r="E483" s="275" t="s">
        <v>435</v>
      </c>
      <c r="F483" s="275" t="s">
        <v>436</v>
      </c>
      <c r="G483" s="275" t="s">
        <v>437</v>
      </c>
      <c r="H483" s="275" t="s">
        <v>438</v>
      </c>
      <c r="I483" s="275" t="s">
        <v>439</v>
      </c>
      <c r="J483" s="275" t="s">
        <v>440</v>
      </c>
      <c r="K483" s="275" t="s">
        <v>441</v>
      </c>
      <c r="L483" s="275" t="s">
        <v>442</v>
      </c>
      <c r="M483" s="275" t="s">
        <v>443</v>
      </c>
      <c r="N483" s="275" t="s">
        <v>444</v>
      </c>
      <c r="O483" s="275" t="s">
        <v>445</v>
      </c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</row>
    <row r="484" spans="1:27">
      <c r="A484" s="273"/>
      <c r="B484" s="274"/>
      <c r="C484" s="207"/>
      <c r="D484" s="275">
        <v>-1128.2975899999999</v>
      </c>
      <c r="E484" s="275">
        <v>-177.05342999999999</v>
      </c>
      <c r="F484" s="275">
        <v>-165.27806000000001</v>
      </c>
      <c r="G484" s="275">
        <v>-155.95844</v>
      </c>
      <c r="H484" s="275">
        <v>-37.894629999999999</v>
      </c>
      <c r="I484" s="275">
        <v>-33.047620000000002</v>
      </c>
      <c r="J484" s="275">
        <v>-31.2821</v>
      </c>
      <c r="K484" s="275">
        <v>-22.821100000000001</v>
      </c>
      <c r="L484" s="275">
        <v>-22.457799999999999</v>
      </c>
      <c r="M484" s="275">
        <v>-8.5503400000000003</v>
      </c>
      <c r="N484" s="275">
        <v>-6.8384099999999997</v>
      </c>
      <c r="O484" s="275">
        <v>-6.5079399999999996</v>
      </c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</row>
    <row r="485" spans="1:27">
      <c r="A485" s="273"/>
      <c r="B485" s="274"/>
      <c r="C485" s="207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</row>
    <row r="486" spans="1:27">
      <c r="A486" s="273">
        <v>166</v>
      </c>
      <c r="B486" s="274">
        <v>52</v>
      </c>
      <c r="C486" s="207" t="s">
        <v>355</v>
      </c>
      <c r="D486" s="275" t="s">
        <v>434</v>
      </c>
      <c r="E486" s="275" t="s">
        <v>435</v>
      </c>
      <c r="F486" s="275" t="s">
        <v>436</v>
      </c>
      <c r="G486" s="275" t="s">
        <v>437</v>
      </c>
      <c r="H486" s="275" t="s">
        <v>438</v>
      </c>
      <c r="I486" s="275" t="s">
        <v>439</v>
      </c>
      <c r="J486" s="275" t="s">
        <v>440</v>
      </c>
      <c r="K486" s="275" t="s">
        <v>441</v>
      </c>
      <c r="L486" s="275" t="s">
        <v>442</v>
      </c>
      <c r="M486" s="275" t="s">
        <v>443</v>
      </c>
      <c r="N486" s="275" t="s">
        <v>444</v>
      </c>
      <c r="O486" s="275" t="s">
        <v>445</v>
      </c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</row>
    <row r="487" spans="1:27">
      <c r="A487" s="273"/>
      <c r="B487" s="274"/>
      <c r="C487" s="207"/>
      <c r="D487" s="275">
        <v>-1175.7211</v>
      </c>
      <c r="E487" s="275">
        <v>-184.57050000000001</v>
      </c>
      <c r="F487" s="275">
        <v>-172.45249999999999</v>
      </c>
      <c r="G487" s="275">
        <v>-162.29680999999999</v>
      </c>
      <c r="H487" s="275">
        <v>-38.840539999999997</v>
      </c>
      <c r="I487" s="275">
        <v>-33.823270000000001</v>
      </c>
      <c r="J487" s="275">
        <v>-31.88147</v>
      </c>
      <c r="K487" s="275">
        <v>-23.139469999999999</v>
      </c>
      <c r="L487" s="275">
        <v>-22.737459999999999</v>
      </c>
      <c r="M487" s="275">
        <v>-7.8256600000000001</v>
      </c>
      <c r="N487" s="275">
        <v>-6.0179600000000004</v>
      </c>
      <c r="O487" s="275">
        <v>-5.6462300000000001</v>
      </c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</row>
    <row r="488" spans="1:27">
      <c r="A488" s="273"/>
      <c r="B488" s="274"/>
      <c r="C488" s="207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</row>
    <row r="489" spans="1:27">
      <c r="A489" s="273">
        <v>167</v>
      </c>
      <c r="B489" s="274">
        <v>52</v>
      </c>
      <c r="C489" s="207" t="s">
        <v>356</v>
      </c>
      <c r="D489" s="275" t="s">
        <v>434</v>
      </c>
      <c r="E489" s="275" t="s">
        <v>435</v>
      </c>
      <c r="F489" s="275" t="s">
        <v>436</v>
      </c>
      <c r="G489" s="275" t="s">
        <v>437</v>
      </c>
      <c r="H489" s="275" t="s">
        <v>438</v>
      </c>
      <c r="I489" s="275" t="s">
        <v>439</v>
      </c>
      <c r="J489" s="275" t="s">
        <v>440</v>
      </c>
      <c r="K489" s="275" t="s">
        <v>441</v>
      </c>
      <c r="L489" s="275" t="s">
        <v>442</v>
      </c>
      <c r="M489" s="275" t="s">
        <v>443</v>
      </c>
      <c r="N489" s="275" t="s">
        <v>444</v>
      </c>
      <c r="O489" s="275" t="s">
        <v>445</v>
      </c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</row>
    <row r="490" spans="1:27">
      <c r="A490" s="273"/>
      <c r="B490" s="274"/>
      <c r="C490" s="207"/>
      <c r="D490" s="275">
        <v>-1176.6221800000001</v>
      </c>
      <c r="E490" s="275">
        <v>-185.46075999999999</v>
      </c>
      <c r="F490" s="275">
        <v>-173.34305000000001</v>
      </c>
      <c r="G490" s="275">
        <v>-163.18699000000001</v>
      </c>
      <c r="H490" s="275">
        <v>-39.724220000000003</v>
      </c>
      <c r="I490" s="275">
        <v>-34.705199999999998</v>
      </c>
      <c r="J490" s="275">
        <v>-32.763249999999999</v>
      </c>
      <c r="K490" s="275">
        <v>-24.02375</v>
      </c>
      <c r="L490" s="275">
        <v>-23.62171</v>
      </c>
      <c r="M490" s="275">
        <v>-8.6965599999999998</v>
      </c>
      <c r="N490" s="275">
        <v>-6.8848700000000003</v>
      </c>
      <c r="O490" s="275">
        <v>-6.5125999999999999</v>
      </c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</row>
    <row r="491" spans="1:27">
      <c r="A491" s="273"/>
      <c r="B491" s="274"/>
      <c r="C491" s="207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</row>
    <row r="492" spans="1:27">
      <c r="A492" s="273">
        <v>168</v>
      </c>
      <c r="B492" s="274">
        <v>52</v>
      </c>
      <c r="C492" s="207" t="s">
        <v>137</v>
      </c>
      <c r="D492" s="275" t="s">
        <v>434</v>
      </c>
      <c r="E492" s="275" t="s">
        <v>435</v>
      </c>
      <c r="F492" s="275" t="s">
        <v>436</v>
      </c>
      <c r="G492" s="275" t="s">
        <v>437</v>
      </c>
      <c r="H492" s="275" t="s">
        <v>438</v>
      </c>
      <c r="I492" s="275" t="s">
        <v>439</v>
      </c>
      <c r="J492" s="275" t="s">
        <v>440</v>
      </c>
      <c r="K492" s="275" t="s">
        <v>441</v>
      </c>
      <c r="L492" s="275" t="s">
        <v>442</v>
      </c>
      <c r="M492" s="275" t="s">
        <v>443</v>
      </c>
      <c r="N492" s="275" t="s">
        <v>444</v>
      </c>
      <c r="O492" s="275" t="s">
        <v>445</v>
      </c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</row>
    <row r="493" spans="1:27">
      <c r="A493" s="273"/>
      <c r="B493" s="274"/>
      <c r="C493" s="207"/>
      <c r="D493" s="275">
        <v>-1177.1709800000001</v>
      </c>
      <c r="E493" s="275">
        <v>-185.99976000000001</v>
      </c>
      <c r="F493" s="275">
        <v>-173.88503</v>
      </c>
      <c r="G493" s="275">
        <v>-163.72897</v>
      </c>
      <c r="H493" s="275">
        <v>-40.258139999999997</v>
      </c>
      <c r="I493" s="275">
        <v>-35.242550000000001</v>
      </c>
      <c r="J493" s="275">
        <v>-33.30048</v>
      </c>
      <c r="K493" s="275">
        <v>-24.562429999999999</v>
      </c>
      <c r="L493" s="275">
        <v>-24.160399999999999</v>
      </c>
      <c r="M493" s="275">
        <v>-9.2168399999999995</v>
      </c>
      <c r="N493" s="275">
        <v>-7.4117499999999996</v>
      </c>
      <c r="O493" s="275">
        <v>-7.0386699999999998</v>
      </c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</row>
    <row r="494" spans="1:27">
      <c r="A494" s="273"/>
      <c r="B494" s="274"/>
      <c r="C494" s="207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</row>
    <row r="495" spans="1:27">
      <c r="A495" s="273">
        <v>169</v>
      </c>
      <c r="B495" s="274">
        <v>52</v>
      </c>
      <c r="C495" s="207" t="s">
        <v>138</v>
      </c>
      <c r="D495" s="275" t="s">
        <v>434</v>
      </c>
      <c r="E495" s="275" t="s">
        <v>435</v>
      </c>
      <c r="F495" s="275" t="s">
        <v>436</v>
      </c>
      <c r="G495" s="275" t="s">
        <v>437</v>
      </c>
      <c r="H495" s="275" t="s">
        <v>438</v>
      </c>
      <c r="I495" s="275" t="s">
        <v>439</v>
      </c>
      <c r="J495" s="275" t="s">
        <v>440</v>
      </c>
      <c r="K495" s="275" t="s">
        <v>441</v>
      </c>
      <c r="L495" s="275" t="s">
        <v>442</v>
      </c>
      <c r="M495" s="275" t="s">
        <v>443</v>
      </c>
      <c r="N495" s="275" t="s">
        <v>444</v>
      </c>
      <c r="O495" s="275" t="s">
        <v>445</v>
      </c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</row>
    <row r="496" spans="1:27">
      <c r="A496" s="273"/>
      <c r="B496" s="274"/>
      <c r="C496" s="207"/>
      <c r="D496" s="275">
        <v>-1177.75287</v>
      </c>
      <c r="E496" s="275">
        <v>-186.57024000000001</v>
      </c>
      <c r="F496" s="275">
        <v>-174.45914999999999</v>
      </c>
      <c r="G496" s="275">
        <v>-164.30271999999999</v>
      </c>
      <c r="H496" s="275">
        <v>-40.821599999999997</v>
      </c>
      <c r="I496" s="275">
        <v>-35.81015</v>
      </c>
      <c r="J496" s="275">
        <v>-33.867890000000003</v>
      </c>
      <c r="K496" s="275">
        <v>-25.13167</v>
      </c>
      <c r="L496" s="275">
        <v>-24.729620000000001</v>
      </c>
      <c r="M496" s="275">
        <v>-9.7626299999999997</v>
      </c>
      <c r="N496" s="275">
        <v>-7.9652200000000004</v>
      </c>
      <c r="O496" s="275">
        <v>-7.5911299999999997</v>
      </c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</row>
    <row r="497" spans="1:27">
      <c r="A497" s="273"/>
      <c r="B497" s="274"/>
      <c r="C497" s="207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</row>
    <row r="498" spans="1:27">
      <c r="A498" s="273">
        <v>170</v>
      </c>
      <c r="B498" s="274">
        <v>53</v>
      </c>
      <c r="C498" s="207" t="s">
        <v>139</v>
      </c>
      <c r="D498" s="275" t="s">
        <v>434</v>
      </c>
      <c r="E498" s="275" t="s">
        <v>435</v>
      </c>
      <c r="F498" s="275" t="s">
        <v>436</v>
      </c>
      <c r="G498" s="275" t="s">
        <v>437</v>
      </c>
      <c r="H498" s="275" t="s">
        <v>438</v>
      </c>
      <c r="I498" s="275" t="s">
        <v>439</v>
      </c>
      <c r="J498" s="275" t="s">
        <v>440</v>
      </c>
      <c r="K498" s="275" t="s">
        <v>441</v>
      </c>
      <c r="L498" s="275" t="s">
        <v>442</v>
      </c>
      <c r="M498" s="275" t="s">
        <v>443</v>
      </c>
      <c r="N498" s="275" t="s">
        <v>444</v>
      </c>
      <c r="O498" s="275" t="s">
        <v>445</v>
      </c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</row>
    <row r="499" spans="1:27">
      <c r="A499" s="273"/>
      <c r="B499" s="274"/>
      <c r="C499" s="207"/>
      <c r="D499" s="275">
        <v>-1225.36608</v>
      </c>
      <c r="E499" s="275">
        <v>-193.37349</v>
      </c>
      <c r="F499" s="275">
        <v>-180.91372000000001</v>
      </c>
      <c r="G499" s="275">
        <v>-169.86364</v>
      </c>
      <c r="H499" s="275">
        <v>-40.880090000000003</v>
      </c>
      <c r="I499" s="275">
        <v>-35.696860000000001</v>
      </c>
      <c r="J499" s="275">
        <v>-33.564999999999998</v>
      </c>
      <c r="K499" s="275">
        <v>-24.542919999999999</v>
      </c>
      <c r="L499" s="275">
        <v>-24.09919</v>
      </c>
      <c r="M499" s="275">
        <v>-8.1123799999999999</v>
      </c>
      <c r="N499" s="275">
        <v>-6.2204199999999998</v>
      </c>
      <c r="O499" s="275">
        <v>-5.8019499999999997</v>
      </c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</row>
    <row r="500" spans="1:27">
      <c r="A500" s="273"/>
      <c r="B500" s="274"/>
      <c r="C500" s="207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</row>
    <row r="501" spans="1:27">
      <c r="A501" s="273">
        <v>171</v>
      </c>
      <c r="B501" s="274">
        <v>53</v>
      </c>
      <c r="C501" s="207" t="s">
        <v>357</v>
      </c>
      <c r="D501" s="275" t="s">
        <v>434</v>
      </c>
      <c r="E501" s="275" t="s">
        <v>435</v>
      </c>
      <c r="F501" s="275" t="s">
        <v>436</v>
      </c>
      <c r="G501" s="275" t="s">
        <v>437</v>
      </c>
      <c r="H501" s="275" t="s">
        <v>438</v>
      </c>
      <c r="I501" s="275" t="s">
        <v>439</v>
      </c>
      <c r="J501" s="275" t="s">
        <v>440</v>
      </c>
      <c r="K501" s="275" t="s">
        <v>441</v>
      </c>
      <c r="L501" s="275" t="s">
        <v>442</v>
      </c>
      <c r="M501" s="275" t="s">
        <v>443</v>
      </c>
      <c r="N501" s="275" t="s">
        <v>444</v>
      </c>
      <c r="O501" s="275" t="s">
        <v>445</v>
      </c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</row>
    <row r="502" spans="1:27">
      <c r="A502" s="273"/>
      <c r="B502" s="274"/>
      <c r="C502" s="207"/>
      <c r="D502" s="275">
        <v>-1226.21857</v>
      </c>
      <c r="E502" s="275">
        <v>-194.21827999999999</v>
      </c>
      <c r="F502" s="275">
        <v>-181.75855000000001</v>
      </c>
      <c r="G502" s="275">
        <v>-170.70824999999999</v>
      </c>
      <c r="H502" s="275">
        <v>-41.72016</v>
      </c>
      <c r="I502" s="275">
        <v>-36.535420000000002</v>
      </c>
      <c r="J502" s="275">
        <v>-34.403530000000003</v>
      </c>
      <c r="K502" s="275">
        <v>-25.383199999999999</v>
      </c>
      <c r="L502" s="275">
        <v>-24.939450000000001</v>
      </c>
      <c r="M502" s="275">
        <v>-8.9433199999999999</v>
      </c>
      <c r="N502" s="275">
        <v>-7.0479500000000002</v>
      </c>
      <c r="O502" s="275">
        <v>-6.6292499999999999</v>
      </c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</row>
    <row r="503" spans="1:27">
      <c r="A503" s="273"/>
      <c r="B503" s="274"/>
      <c r="C503" s="207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</row>
    <row r="504" spans="1:27">
      <c r="A504" s="273">
        <v>172</v>
      </c>
      <c r="B504" s="274">
        <v>53</v>
      </c>
      <c r="C504" s="207" t="s">
        <v>358</v>
      </c>
      <c r="D504" s="275" t="s">
        <v>434</v>
      </c>
      <c r="E504" s="275" t="s">
        <v>435</v>
      </c>
      <c r="F504" s="275" t="s">
        <v>436</v>
      </c>
      <c r="G504" s="275" t="s">
        <v>437</v>
      </c>
      <c r="H504" s="275" t="s">
        <v>438</v>
      </c>
      <c r="I504" s="275" t="s">
        <v>439</v>
      </c>
      <c r="J504" s="275" t="s">
        <v>440</v>
      </c>
      <c r="K504" s="275" t="s">
        <v>441</v>
      </c>
      <c r="L504" s="275" t="s">
        <v>442</v>
      </c>
      <c r="M504" s="275" t="s">
        <v>443</v>
      </c>
      <c r="N504" s="275" t="s">
        <v>444</v>
      </c>
      <c r="O504" s="275" t="s">
        <v>445</v>
      </c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</row>
    <row r="505" spans="1:27">
      <c r="A505" s="273"/>
      <c r="B505" s="274"/>
      <c r="C505" s="207"/>
      <c r="D505" s="275">
        <v>-1227.2282499999999</v>
      </c>
      <c r="E505" s="275">
        <v>-195.21366</v>
      </c>
      <c r="F505" s="275">
        <v>-182.75457</v>
      </c>
      <c r="G505" s="275">
        <v>-171.70374000000001</v>
      </c>
      <c r="H505" s="275">
        <v>-42.70561</v>
      </c>
      <c r="I505" s="275">
        <v>-37.518999999999998</v>
      </c>
      <c r="J505" s="275">
        <v>-35.386809999999997</v>
      </c>
      <c r="K505" s="275">
        <v>-26.36984</v>
      </c>
      <c r="L505" s="275">
        <v>-25.926030000000001</v>
      </c>
      <c r="M505" s="275">
        <v>-9.9091500000000003</v>
      </c>
      <c r="N505" s="275">
        <v>-8.0090199999999996</v>
      </c>
      <c r="O505" s="275">
        <v>-7.5893100000000002</v>
      </c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</row>
    <row r="506" spans="1:27">
      <c r="A506" s="273"/>
      <c r="B506" s="274"/>
      <c r="C506" s="207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</row>
    <row r="507" spans="1:27">
      <c r="A507" s="273">
        <v>173</v>
      </c>
      <c r="B507" s="274">
        <v>53</v>
      </c>
      <c r="C507" s="207" t="s">
        <v>359</v>
      </c>
      <c r="D507" s="275" t="s">
        <v>434</v>
      </c>
      <c r="E507" s="275" t="s">
        <v>435</v>
      </c>
      <c r="F507" s="275" t="s">
        <v>436</v>
      </c>
      <c r="G507" s="275" t="s">
        <v>437</v>
      </c>
      <c r="H507" s="275" t="s">
        <v>438</v>
      </c>
      <c r="I507" s="275" t="s">
        <v>439</v>
      </c>
      <c r="J507" s="275" t="s">
        <v>440</v>
      </c>
      <c r="K507" s="275" t="s">
        <v>441</v>
      </c>
      <c r="L507" s="275" t="s">
        <v>442</v>
      </c>
      <c r="M507" s="275" t="s">
        <v>443</v>
      </c>
      <c r="N507" s="275" t="s">
        <v>444</v>
      </c>
      <c r="O507" s="275" t="s">
        <v>445</v>
      </c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</row>
    <row r="508" spans="1:27">
      <c r="A508" s="273"/>
      <c r="B508" s="274"/>
      <c r="C508" s="207"/>
      <c r="D508" s="275">
        <v>-1228.4545599999999</v>
      </c>
      <c r="E508" s="275">
        <v>-196.41516999999999</v>
      </c>
      <c r="F508" s="275">
        <v>-183.96393</v>
      </c>
      <c r="G508" s="275">
        <v>-172.91245000000001</v>
      </c>
      <c r="H508" s="275">
        <v>-43.890999999999998</v>
      </c>
      <c r="I508" s="275">
        <v>-38.713200000000001</v>
      </c>
      <c r="J508" s="275">
        <v>-36.580509999999997</v>
      </c>
      <c r="K508" s="275">
        <v>-27.56756</v>
      </c>
      <c r="L508" s="275">
        <v>-27.12368</v>
      </c>
      <c r="M508" s="275">
        <v>-11.054029999999999</v>
      </c>
      <c r="N508" s="275">
        <v>-9.1695899999999995</v>
      </c>
      <c r="O508" s="275">
        <v>-8.7474299999999996</v>
      </c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</row>
    <row r="509" spans="1:27">
      <c r="A509" s="273"/>
      <c r="B509" s="274"/>
      <c r="C509" s="207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</row>
    <row r="510" spans="1:27">
      <c r="A510" s="273">
        <v>174</v>
      </c>
      <c r="B510" s="274">
        <v>53</v>
      </c>
      <c r="C510" s="207" t="s">
        <v>360</v>
      </c>
      <c r="D510" s="275" t="s">
        <v>434</v>
      </c>
      <c r="E510" s="275" t="s">
        <v>435</v>
      </c>
      <c r="F510" s="275" t="s">
        <v>436</v>
      </c>
      <c r="G510" s="275" t="s">
        <v>437</v>
      </c>
      <c r="H510" s="275" t="s">
        <v>438</v>
      </c>
      <c r="I510" s="275" t="s">
        <v>439</v>
      </c>
      <c r="J510" s="275" t="s">
        <v>440</v>
      </c>
      <c r="K510" s="275" t="s">
        <v>441</v>
      </c>
      <c r="L510" s="275" t="s">
        <v>442</v>
      </c>
      <c r="M510" s="275" t="s">
        <v>443</v>
      </c>
      <c r="N510" s="275" t="s">
        <v>444</v>
      </c>
      <c r="O510" s="275" t="s">
        <v>445</v>
      </c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</row>
    <row r="511" spans="1:27">
      <c r="A511" s="273"/>
      <c r="B511" s="274"/>
      <c r="C511" s="207"/>
      <c r="D511" s="275">
        <v>-1224.7138299999999</v>
      </c>
      <c r="E511" s="275">
        <v>-192.72423000000001</v>
      </c>
      <c r="F511" s="275">
        <v>-180.26489000000001</v>
      </c>
      <c r="G511" s="275">
        <v>-169.21468999999999</v>
      </c>
      <c r="H511" s="275">
        <v>-40.231780000000001</v>
      </c>
      <c r="I511" s="275">
        <v>-35.049669999999999</v>
      </c>
      <c r="J511" s="275">
        <v>-32.917529999999999</v>
      </c>
      <c r="K511" s="275">
        <v>-23.895060000000001</v>
      </c>
      <c r="L511" s="275">
        <v>-23.451270000000001</v>
      </c>
      <c r="M511" s="275">
        <v>-7.4653700000000001</v>
      </c>
      <c r="N511" s="275">
        <v>-5.5756899999999998</v>
      </c>
      <c r="O511" s="275">
        <v>-5.1565899999999996</v>
      </c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</row>
    <row r="512" spans="1:27">
      <c r="A512" s="273"/>
      <c r="B512" s="274"/>
      <c r="C512" s="207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</row>
    <row r="513" spans="1:27">
      <c r="A513" s="273">
        <v>175</v>
      </c>
      <c r="B513" s="274">
        <v>54</v>
      </c>
      <c r="C513" s="207" t="s">
        <v>361</v>
      </c>
      <c r="D513" s="275" t="s">
        <v>434</v>
      </c>
      <c r="E513" s="275" t="s">
        <v>435</v>
      </c>
      <c r="F513" s="275" t="s">
        <v>436</v>
      </c>
      <c r="G513" s="275" t="s">
        <v>437</v>
      </c>
      <c r="H513" s="275" t="s">
        <v>438</v>
      </c>
      <c r="I513" s="275" t="s">
        <v>439</v>
      </c>
      <c r="J513" s="275" t="s">
        <v>440</v>
      </c>
      <c r="K513" s="275" t="s">
        <v>441</v>
      </c>
      <c r="L513" s="275" t="s">
        <v>442</v>
      </c>
      <c r="M513" s="275" t="s">
        <v>443</v>
      </c>
      <c r="N513" s="275" t="s">
        <v>444</v>
      </c>
      <c r="O513" s="275" t="s">
        <v>445</v>
      </c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</row>
    <row r="514" spans="1:27">
      <c r="A514" s="273"/>
      <c r="B514" s="274"/>
      <c r="C514" s="207"/>
      <c r="D514" s="275">
        <v>-1277.0095200000001</v>
      </c>
      <c r="E514" s="275">
        <v>-203.24713</v>
      </c>
      <c r="F514" s="275">
        <v>-190.44112999999999</v>
      </c>
      <c r="G514" s="275">
        <v>-178.43564000000001</v>
      </c>
      <c r="H514" s="275">
        <v>-43.801490000000001</v>
      </c>
      <c r="I514" s="275">
        <v>-38.449080000000002</v>
      </c>
      <c r="J514" s="275">
        <v>-36.112859999999998</v>
      </c>
      <c r="K514" s="275">
        <v>-26.81006</v>
      </c>
      <c r="L514" s="275">
        <v>-26.321400000000001</v>
      </c>
      <c r="M514" s="275">
        <v>-9.2149800000000006</v>
      </c>
      <c r="N514" s="275">
        <v>-7.2346300000000001</v>
      </c>
      <c r="O514" s="275">
        <v>-6.7649699999999999</v>
      </c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</row>
    <row r="515" spans="1:27">
      <c r="A515" s="273"/>
      <c r="B515" s="274"/>
      <c r="C515" s="207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</row>
    <row r="516" spans="1:27">
      <c r="A516" s="273">
        <v>176</v>
      </c>
      <c r="B516" s="274">
        <v>54</v>
      </c>
      <c r="C516" s="207" t="s">
        <v>362</v>
      </c>
      <c r="D516" s="275" t="s">
        <v>434</v>
      </c>
      <c r="E516" s="275" t="s">
        <v>435</v>
      </c>
      <c r="F516" s="275" t="s">
        <v>436</v>
      </c>
      <c r="G516" s="275" t="s">
        <v>437</v>
      </c>
      <c r="H516" s="275" t="s">
        <v>438</v>
      </c>
      <c r="I516" s="275" t="s">
        <v>439</v>
      </c>
      <c r="J516" s="275" t="s">
        <v>440</v>
      </c>
      <c r="K516" s="275" t="s">
        <v>441</v>
      </c>
      <c r="L516" s="275" t="s">
        <v>442</v>
      </c>
      <c r="M516" s="275" t="s">
        <v>443</v>
      </c>
      <c r="N516" s="275" t="s">
        <v>444</v>
      </c>
      <c r="O516" s="275" t="s">
        <v>445</v>
      </c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</row>
    <row r="517" spans="1:27">
      <c r="A517" s="273"/>
      <c r="B517" s="274"/>
      <c r="C517" s="207"/>
      <c r="D517" s="275">
        <v>-1277.97721</v>
      </c>
      <c r="E517" s="275">
        <v>-204.20379</v>
      </c>
      <c r="F517" s="275">
        <v>-191.39814000000001</v>
      </c>
      <c r="G517" s="275">
        <v>-179.39227</v>
      </c>
      <c r="H517" s="275">
        <v>-44.750410000000002</v>
      </c>
      <c r="I517" s="275">
        <v>-39.396329999999999</v>
      </c>
      <c r="J517" s="275">
        <v>-37.059939999999997</v>
      </c>
      <c r="K517" s="275">
        <v>-27.759709999999998</v>
      </c>
      <c r="L517" s="275">
        <v>-27.27102</v>
      </c>
      <c r="M517" s="275">
        <v>-10.14869</v>
      </c>
      <c r="N517" s="275">
        <v>-8.1642100000000006</v>
      </c>
      <c r="O517" s="275">
        <v>-7.6939000000000002</v>
      </c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</row>
    <row r="518" spans="1:27">
      <c r="A518" s="273"/>
      <c r="B518" s="274"/>
      <c r="C518" s="207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</row>
    <row r="519" spans="1:27">
      <c r="A519" s="273">
        <v>177</v>
      </c>
      <c r="B519" s="274">
        <v>54</v>
      </c>
      <c r="C519" s="207" t="s">
        <v>363</v>
      </c>
      <c r="D519" s="275" t="s">
        <v>434</v>
      </c>
      <c r="E519" s="275" t="s">
        <v>435</v>
      </c>
      <c r="F519" s="275" t="s">
        <v>436</v>
      </c>
      <c r="G519" s="275" t="s">
        <v>437</v>
      </c>
      <c r="H519" s="275" t="s">
        <v>438</v>
      </c>
      <c r="I519" s="275" t="s">
        <v>439</v>
      </c>
      <c r="J519" s="275" t="s">
        <v>440</v>
      </c>
      <c r="K519" s="275" t="s">
        <v>441</v>
      </c>
      <c r="L519" s="275" t="s">
        <v>442</v>
      </c>
      <c r="M519" s="275" t="s">
        <v>443</v>
      </c>
      <c r="N519" s="275" t="s">
        <v>444</v>
      </c>
      <c r="O519" s="275" t="s">
        <v>445</v>
      </c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</row>
    <row r="520" spans="1:27">
      <c r="A520" s="273"/>
      <c r="B520" s="274"/>
      <c r="C520" s="207"/>
      <c r="D520" s="275">
        <v>-1279.0896600000001</v>
      </c>
      <c r="E520" s="275">
        <v>-205.29823999999999</v>
      </c>
      <c r="F520" s="275">
        <v>-192.49363</v>
      </c>
      <c r="G520" s="275">
        <v>-180.48701</v>
      </c>
      <c r="H520" s="275">
        <v>-45.831180000000003</v>
      </c>
      <c r="I520" s="275">
        <v>-40.47513</v>
      </c>
      <c r="J520" s="275">
        <v>-38.138260000000002</v>
      </c>
      <c r="K520" s="275">
        <v>-28.842310000000001</v>
      </c>
      <c r="L520" s="275">
        <v>-28.353490000000001</v>
      </c>
      <c r="M520" s="275">
        <v>-11.20243</v>
      </c>
      <c r="N520" s="275">
        <v>-9.2124600000000001</v>
      </c>
      <c r="O520" s="275">
        <v>-8.7406400000000009</v>
      </c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</row>
    <row r="521" spans="1:27">
      <c r="A521" s="273"/>
      <c r="B521" s="274"/>
      <c r="C521" s="207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</row>
    <row r="522" spans="1:27">
      <c r="A522" s="273">
        <v>178</v>
      </c>
      <c r="B522" s="274">
        <v>54</v>
      </c>
      <c r="C522" s="207" t="s">
        <v>364</v>
      </c>
      <c r="D522" s="275" t="s">
        <v>434</v>
      </c>
      <c r="E522" s="275" t="s">
        <v>435</v>
      </c>
      <c r="F522" s="275" t="s">
        <v>436</v>
      </c>
      <c r="G522" s="275" t="s">
        <v>437</v>
      </c>
      <c r="H522" s="275" t="s">
        <v>438</v>
      </c>
      <c r="I522" s="275" t="s">
        <v>439</v>
      </c>
      <c r="J522" s="275" t="s">
        <v>440</v>
      </c>
      <c r="K522" s="275" t="s">
        <v>441</v>
      </c>
      <c r="L522" s="275" t="s">
        <v>442</v>
      </c>
      <c r="M522" s="275" t="s">
        <v>443</v>
      </c>
      <c r="N522" s="275" t="s">
        <v>444</v>
      </c>
      <c r="O522" s="275" t="s">
        <v>445</v>
      </c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</row>
    <row r="523" spans="1:27">
      <c r="A523" s="273"/>
      <c r="B523" s="274"/>
      <c r="C523" s="207"/>
      <c r="D523" s="275">
        <v>-1280.40949</v>
      </c>
      <c r="E523" s="275">
        <v>-206.58894000000001</v>
      </c>
      <c r="F523" s="275">
        <v>-193.79342</v>
      </c>
      <c r="G523" s="275">
        <v>-181.78596999999999</v>
      </c>
      <c r="H523" s="275">
        <v>-47.10154</v>
      </c>
      <c r="I523" s="275">
        <v>-41.755549999999999</v>
      </c>
      <c r="J523" s="275">
        <v>-39.41798</v>
      </c>
      <c r="K523" s="275">
        <v>-30.126840000000001</v>
      </c>
      <c r="L523" s="275">
        <v>-29.637879999999999</v>
      </c>
      <c r="M523" s="275">
        <v>-12.4229</v>
      </c>
      <c r="N523" s="275">
        <v>-10.45008</v>
      </c>
      <c r="O523" s="275">
        <v>-9.9751600000000007</v>
      </c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</row>
    <row r="524" spans="1:27">
      <c r="A524" s="273"/>
      <c r="B524" s="274"/>
      <c r="C524" s="207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</row>
    <row r="525" spans="1:27">
      <c r="A525" s="273">
        <v>179</v>
      </c>
      <c r="B525" s="274">
        <v>55</v>
      </c>
      <c r="C525" s="207" t="s">
        <v>140</v>
      </c>
      <c r="D525" s="275" t="s">
        <v>434</v>
      </c>
      <c r="E525" s="275" t="s">
        <v>435</v>
      </c>
      <c r="F525" s="275" t="s">
        <v>436</v>
      </c>
      <c r="G525" s="275" t="s">
        <v>437</v>
      </c>
      <c r="H525" s="275" t="s">
        <v>438</v>
      </c>
      <c r="I525" s="275" t="s">
        <v>439</v>
      </c>
      <c r="J525" s="275" t="s">
        <v>440</v>
      </c>
      <c r="K525" s="275" t="s">
        <v>441</v>
      </c>
      <c r="L525" s="275" t="s">
        <v>442</v>
      </c>
      <c r="M525" s="275" t="s">
        <v>443</v>
      </c>
      <c r="N525" s="275" t="s">
        <v>444</v>
      </c>
      <c r="O525" s="275" t="s">
        <v>445</v>
      </c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</row>
    <row r="526" spans="1:27">
      <c r="A526" s="273"/>
      <c r="B526" s="274"/>
      <c r="C526" s="207"/>
      <c r="D526" s="275">
        <v>-1329.0109</v>
      </c>
      <c r="E526" s="275">
        <v>-212.55215000000001</v>
      </c>
      <c r="F526" s="275">
        <v>-199.39515</v>
      </c>
      <c r="G526" s="275">
        <v>-186.37038000000001</v>
      </c>
      <c r="H526" s="275">
        <v>-45.970219999999998</v>
      </c>
      <c r="I526" s="275">
        <v>-40.448120000000003</v>
      </c>
      <c r="J526" s="275">
        <v>-37.892359999999996</v>
      </c>
      <c r="K526" s="275">
        <v>-28.305409999999998</v>
      </c>
      <c r="L526" s="275">
        <v>-27.76848</v>
      </c>
      <c r="M526" s="275">
        <v>-9.5129900000000003</v>
      </c>
      <c r="N526" s="275">
        <v>-7.4464300000000003</v>
      </c>
      <c r="O526" s="275">
        <v>-6.9210000000000003</v>
      </c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</row>
    <row r="527" spans="1:27">
      <c r="A527" s="273"/>
      <c r="B527" s="274"/>
      <c r="C527" s="207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</row>
    <row r="528" spans="1:27">
      <c r="A528" s="273">
        <v>180</v>
      </c>
      <c r="B528" s="274">
        <v>56</v>
      </c>
      <c r="C528" s="207" t="s">
        <v>365</v>
      </c>
      <c r="D528" s="275" t="s">
        <v>434</v>
      </c>
      <c r="E528" s="275" t="s">
        <v>435</v>
      </c>
      <c r="F528" s="275" t="s">
        <v>436</v>
      </c>
      <c r="G528" s="275" t="s">
        <v>437</v>
      </c>
      <c r="H528" s="275" t="s">
        <v>438</v>
      </c>
      <c r="I528" s="275" t="s">
        <v>439</v>
      </c>
      <c r="J528" s="275" t="s">
        <v>440</v>
      </c>
      <c r="K528" s="275" t="s">
        <v>441</v>
      </c>
      <c r="L528" s="275" t="s">
        <v>442</v>
      </c>
      <c r="M528" s="275" t="s">
        <v>443</v>
      </c>
      <c r="N528" s="275" t="s">
        <v>444</v>
      </c>
      <c r="O528" s="275" t="s">
        <v>445</v>
      </c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</row>
    <row r="529" spans="1:27">
      <c r="A529" s="273"/>
      <c r="B529" s="274"/>
      <c r="C529" s="207"/>
      <c r="D529" s="275">
        <v>-1383.1066499999999</v>
      </c>
      <c r="E529" s="275">
        <v>-223.00585000000001</v>
      </c>
      <c r="F529" s="275">
        <v>-209.49316999999999</v>
      </c>
      <c r="G529" s="275">
        <v>-195.3818</v>
      </c>
      <c r="H529" s="275">
        <v>-49.092930000000003</v>
      </c>
      <c r="I529" s="275">
        <v>-43.397820000000003</v>
      </c>
      <c r="J529" s="275">
        <v>-40.606630000000003</v>
      </c>
      <c r="K529" s="275">
        <v>-30.73499</v>
      </c>
      <c r="L529" s="275">
        <v>-30.146260000000002</v>
      </c>
      <c r="M529" s="275">
        <v>-10.696289999999999</v>
      </c>
      <c r="N529" s="275">
        <v>-8.53932</v>
      </c>
      <c r="O529" s="275">
        <v>-7.9531999999999998</v>
      </c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</row>
    <row r="530" spans="1:27">
      <c r="A530" s="273"/>
      <c r="B530" s="274"/>
      <c r="C530" s="207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</row>
    <row r="531" spans="1:27">
      <c r="A531" s="273">
        <v>181</v>
      </c>
      <c r="B531" s="274">
        <v>57</v>
      </c>
      <c r="C531" s="207" t="s">
        <v>366</v>
      </c>
      <c r="D531" s="275" t="s">
        <v>434</v>
      </c>
      <c r="E531" s="275" t="s">
        <v>435</v>
      </c>
      <c r="F531" s="275" t="s">
        <v>436</v>
      </c>
      <c r="G531" s="275" t="s">
        <v>437</v>
      </c>
      <c r="H531" s="275" t="s">
        <v>438</v>
      </c>
      <c r="I531" s="275" t="s">
        <v>439</v>
      </c>
      <c r="J531" s="275" t="s">
        <v>440</v>
      </c>
      <c r="K531" s="275" t="s">
        <v>441</v>
      </c>
      <c r="L531" s="275" t="s">
        <v>442</v>
      </c>
      <c r="M531" s="275" t="s">
        <v>443</v>
      </c>
      <c r="N531" s="275" t="s">
        <v>444</v>
      </c>
      <c r="O531" s="275" t="s">
        <v>445</v>
      </c>
      <c r="P531" s="275" t="s">
        <v>446</v>
      </c>
      <c r="Q531" s="275" t="s">
        <v>447</v>
      </c>
      <c r="R531" s="275" t="s">
        <v>448</v>
      </c>
      <c r="S531" s="275" t="s">
        <v>449</v>
      </c>
      <c r="T531" s="275" t="s">
        <v>450</v>
      </c>
      <c r="U531" s="275"/>
      <c r="V531" s="275"/>
      <c r="W531" s="275"/>
      <c r="X531" s="275"/>
      <c r="Y531" s="275"/>
      <c r="Z531" s="275"/>
      <c r="AA531" s="275"/>
    </row>
    <row r="532" spans="1:27">
      <c r="A532" s="273"/>
      <c r="B532" s="274"/>
      <c r="C532" s="207"/>
      <c r="D532" s="275">
        <v>-1438.1159399999999</v>
      </c>
      <c r="E532" s="275">
        <v>-233.41772</v>
      </c>
      <c r="F532" s="275">
        <v>-219.54496</v>
      </c>
      <c r="G532" s="275">
        <v>-204.27618000000001</v>
      </c>
      <c r="H532" s="275">
        <v>-51.980429999999998</v>
      </c>
      <c r="I532" s="275">
        <v>-46.110250000000001</v>
      </c>
      <c r="J532" s="275">
        <v>-43.066859999999998</v>
      </c>
      <c r="K532" s="275">
        <v>-32.909350000000003</v>
      </c>
      <c r="L532" s="275">
        <v>-32.26511</v>
      </c>
      <c r="M532" s="275">
        <v>-11.584540000000001</v>
      </c>
      <c r="N532" s="275">
        <v>-9.3366100000000003</v>
      </c>
      <c r="O532" s="275">
        <v>-8.6845099999999995</v>
      </c>
      <c r="P532" s="275">
        <v>-4.92089</v>
      </c>
      <c r="Q532" s="275">
        <v>-4.8063599999999997</v>
      </c>
      <c r="R532" s="275">
        <v>-2.26471</v>
      </c>
      <c r="S532" s="275">
        <v>-1.56904</v>
      </c>
      <c r="T532" s="275">
        <v>-1.46827</v>
      </c>
      <c r="U532" s="275"/>
      <c r="V532" s="275"/>
      <c r="W532" s="275"/>
      <c r="X532" s="275"/>
      <c r="Y532" s="275"/>
      <c r="Z532" s="275"/>
      <c r="AA532" s="275"/>
    </row>
    <row r="533" spans="1:27">
      <c r="A533" s="273"/>
      <c r="B533" s="274"/>
      <c r="C533" s="207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</row>
    <row r="534" spans="1:27">
      <c r="A534" s="273">
        <v>182</v>
      </c>
      <c r="B534" s="274">
        <v>57</v>
      </c>
      <c r="C534" s="207" t="s">
        <v>141</v>
      </c>
      <c r="D534" s="275" t="s">
        <v>434</v>
      </c>
      <c r="E534" s="275" t="s">
        <v>435</v>
      </c>
      <c r="F534" s="275" t="s">
        <v>436</v>
      </c>
      <c r="G534" s="275" t="s">
        <v>437</v>
      </c>
      <c r="H534" s="275" t="s">
        <v>438</v>
      </c>
      <c r="I534" s="275" t="s">
        <v>439</v>
      </c>
      <c r="J534" s="275" t="s">
        <v>440</v>
      </c>
      <c r="K534" s="275" t="s">
        <v>441</v>
      </c>
      <c r="L534" s="275" t="s">
        <v>442</v>
      </c>
      <c r="M534" s="275" t="s">
        <v>443</v>
      </c>
      <c r="N534" s="275" t="s">
        <v>444</v>
      </c>
      <c r="O534" s="275" t="s">
        <v>445</v>
      </c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</row>
    <row r="535" spans="1:27">
      <c r="A535" s="273"/>
      <c r="B535" s="274"/>
      <c r="C535" s="207"/>
      <c r="D535" s="275">
        <v>-1438.50514</v>
      </c>
      <c r="E535" s="275">
        <v>-233.81046000000001</v>
      </c>
      <c r="F535" s="275">
        <v>-219.93729999999999</v>
      </c>
      <c r="G535" s="275">
        <v>-204.66866999999999</v>
      </c>
      <c r="H535" s="275">
        <v>-52.371600000000001</v>
      </c>
      <c r="I535" s="275">
        <v>-46.501460000000002</v>
      </c>
      <c r="J535" s="275">
        <v>-43.457949999999997</v>
      </c>
      <c r="K535" s="275">
        <v>-33.300060000000002</v>
      </c>
      <c r="L535" s="275">
        <v>-32.655799999999999</v>
      </c>
      <c r="M535" s="275">
        <v>-11.971590000000001</v>
      </c>
      <c r="N535" s="275">
        <v>-9.7229500000000009</v>
      </c>
      <c r="O535" s="275">
        <v>-9.0707400000000007</v>
      </c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</row>
    <row r="536" spans="1:27">
      <c r="A536" s="273"/>
      <c r="B536" s="274"/>
      <c r="C536" s="207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</row>
    <row r="537" spans="1:27">
      <c r="A537" s="273">
        <v>183</v>
      </c>
      <c r="B537" s="274">
        <v>58</v>
      </c>
      <c r="C537" s="207" t="s">
        <v>367</v>
      </c>
      <c r="D537" s="275" t="s">
        <v>434</v>
      </c>
      <c r="E537" s="275" t="s">
        <v>435</v>
      </c>
      <c r="F537" s="275" t="s">
        <v>436</v>
      </c>
      <c r="G537" s="275" t="s">
        <v>437</v>
      </c>
      <c r="H537" s="275" t="s">
        <v>438</v>
      </c>
      <c r="I537" s="275" t="s">
        <v>439</v>
      </c>
      <c r="J537" s="275" t="s">
        <v>440</v>
      </c>
      <c r="K537" s="275" t="s">
        <v>441</v>
      </c>
      <c r="L537" s="275" t="s">
        <v>442</v>
      </c>
      <c r="M537" s="275" t="s">
        <v>443</v>
      </c>
      <c r="N537" s="275" t="s">
        <v>444</v>
      </c>
      <c r="O537" s="275" t="s">
        <v>445</v>
      </c>
      <c r="P537" s="275" t="s">
        <v>446</v>
      </c>
      <c r="Q537" s="275" t="s">
        <v>447</v>
      </c>
      <c r="R537" s="275" t="s">
        <v>448</v>
      </c>
      <c r="S537" s="275" t="s">
        <v>449</v>
      </c>
      <c r="T537" s="275" t="s">
        <v>450</v>
      </c>
      <c r="U537" s="275"/>
      <c r="V537" s="275"/>
      <c r="W537" s="275"/>
      <c r="X537" s="275"/>
      <c r="Y537" s="275"/>
      <c r="Z537" s="275"/>
      <c r="AA537" s="275"/>
    </row>
    <row r="538" spans="1:27">
      <c r="A538" s="273"/>
      <c r="B538" s="274"/>
      <c r="C538" s="207"/>
      <c r="D538" s="275">
        <v>-1493.8263899999999</v>
      </c>
      <c r="E538" s="275">
        <v>-243.50966</v>
      </c>
      <c r="F538" s="275">
        <v>-229.28343000000001</v>
      </c>
      <c r="G538" s="275">
        <v>-212.77867000000001</v>
      </c>
      <c r="H538" s="275">
        <v>-54.262180000000001</v>
      </c>
      <c r="I538" s="275">
        <v>-48.220509999999997</v>
      </c>
      <c r="J538" s="275">
        <v>-44.904499999999999</v>
      </c>
      <c r="K538" s="275">
        <v>-34.474029999999999</v>
      </c>
      <c r="L538" s="275">
        <v>-33.768949999999997</v>
      </c>
      <c r="M538" s="275">
        <v>-11.85582</v>
      </c>
      <c r="N538" s="275">
        <v>-9.5321800000000003</v>
      </c>
      <c r="O538" s="275">
        <v>-8.8201699999999992</v>
      </c>
      <c r="P538" s="275">
        <v>-4.9398200000000001</v>
      </c>
      <c r="Q538" s="275">
        <v>-4.81419</v>
      </c>
      <c r="R538" s="275">
        <v>-2.1864499999999998</v>
      </c>
      <c r="S538" s="275">
        <v>-1.4857199999999999</v>
      </c>
      <c r="T538" s="275">
        <v>-1.3836900000000001</v>
      </c>
      <c r="U538" s="275"/>
      <c r="V538" s="275"/>
      <c r="W538" s="275"/>
      <c r="X538" s="275"/>
      <c r="Y538" s="275"/>
      <c r="Z538" s="275"/>
      <c r="AA538" s="275"/>
    </row>
    <row r="539" spans="1:27">
      <c r="A539" s="273"/>
      <c r="B539" s="274"/>
      <c r="C539" s="207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</row>
    <row r="540" spans="1:27">
      <c r="A540" s="273">
        <v>184</v>
      </c>
      <c r="B540" s="274">
        <v>58</v>
      </c>
      <c r="C540" s="207" t="s">
        <v>142</v>
      </c>
      <c r="D540" s="275" t="s">
        <v>434</v>
      </c>
      <c r="E540" s="275" t="s">
        <v>435</v>
      </c>
      <c r="F540" s="275" t="s">
        <v>436</v>
      </c>
      <c r="G540" s="275" t="s">
        <v>437</v>
      </c>
      <c r="H540" s="275" t="s">
        <v>438</v>
      </c>
      <c r="I540" s="275" t="s">
        <v>439</v>
      </c>
      <c r="J540" s="275" t="s">
        <v>440</v>
      </c>
      <c r="K540" s="275" t="s">
        <v>441</v>
      </c>
      <c r="L540" s="275" t="s">
        <v>442</v>
      </c>
      <c r="M540" s="275" t="s">
        <v>443</v>
      </c>
      <c r="N540" s="275" t="s">
        <v>444</v>
      </c>
      <c r="O540" s="275" t="s">
        <v>445</v>
      </c>
      <c r="P540" s="275" t="s">
        <v>446</v>
      </c>
      <c r="Q540" s="275" t="s">
        <v>447</v>
      </c>
      <c r="R540" s="275" t="s">
        <v>448</v>
      </c>
      <c r="S540" s="275" t="s">
        <v>449</v>
      </c>
      <c r="T540" s="275" t="s">
        <v>450</v>
      </c>
      <c r="U540" s="275"/>
      <c r="V540" s="275"/>
      <c r="W540" s="275"/>
      <c r="X540" s="275"/>
      <c r="Y540" s="275"/>
      <c r="Z540" s="275"/>
      <c r="AA540" s="275"/>
    </row>
    <row r="541" spans="1:27">
      <c r="A541" s="273"/>
      <c r="B541" s="274"/>
      <c r="C541" s="207"/>
      <c r="D541" s="275">
        <v>-1494.46516</v>
      </c>
      <c r="E541" s="275">
        <v>-244.18048999999999</v>
      </c>
      <c r="F541" s="275">
        <v>-229.94893999999999</v>
      </c>
      <c r="G541" s="275">
        <v>-213.4461</v>
      </c>
      <c r="H541" s="275">
        <v>-54.970680000000002</v>
      </c>
      <c r="I541" s="275">
        <v>-48.926569999999998</v>
      </c>
      <c r="J541" s="275">
        <v>-45.611750000000001</v>
      </c>
      <c r="K541" s="275">
        <v>-35.174410000000002</v>
      </c>
      <c r="L541" s="275">
        <v>-34.47</v>
      </c>
      <c r="M541" s="275">
        <v>-12.543139999999999</v>
      </c>
      <c r="N541" s="275">
        <v>-10.211790000000001</v>
      </c>
      <c r="O541" s="275">
        <v>-9.4948999999999995</v>
      </c>
      <c r="P541" s="275">
        <v>-5.5917199999999996</v>
      </c>
      <c r="Q541" s="275">
        <v>-5.4646499999999998</v>
      </c>
      <c r="R541" s="275">
        <v>-2.7134800000000001</v>
      </c>
      <c r="S541" s="275">
        <v>-1.97804</v>
      </c>
      <c r="T541" s="275">
        <v>-1.86507</v>
      </c>
      <c r="U541" s="275"/>
      <c r="V541" s="275"/>
      <c r="W541" s="275"/>
      <c r="X541" s="275"/>
      <c r="Y541" s="275"/>
      <c r="Z541" s="275"/>
      <c r="AA541" s="275"/>
    </row>
    <row r="542" spans="1:27">
      <c r="A542" s="273"/>
      <c r="B542" s="274"/>
      <c r="C542" s="207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</row>
    <row r="543" spans="1:27">
      <c r="A543" s="273">
        <v>185</v>
      </c>
      <c r="B543" s="274">
        <v>58</v>
      </c>
      <c r="C543" s="207" t="s">
        <v>143</v>
      </c>
      <c r="D543" s="275" t="s">
        <v>434</v>
      </c>
      <c r="E543" s="275" t="s">
        <v>435</v>
      </c>
      <c r="F543" s="275" t="s">
        <v>436</v>
      </c>
      <c r="G543" s="275" t="s">
        <v>437</v>
      </c>
      <c r="H543" s="275" t="s">
        <v>438</v>
      </c>
      <c r="I543" s="275" t="s">
        <v>439</v>
      </c>
      <c r="J543" s="275" t="s">
        <v>440</v>
      </c>
      <c r="K543" s="275" t="s">
        <v>441</v>
      </c>
      <c r="L543" s="275" t="s">
        <v>442</v>
      </c>
      <c r="M543" s="275" t="s">
        <v>443</v>
      </c>
      <c r="N543" s="275" t="s">
        <v>444</v>
      </c>
      <c r="O543" s="275" t="s">
        <v>445</v>
      </c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</row>
    <row r="544" spans="1:27">
      <c r="A544" s="273"/>
      <c r="B544" s="274"/>
      <c r="C544" s="207"/>
      <c r="D544" s="275">
        <v>-1495.2137600000001</v>
      </c>
      <c r="E544" s="275">
        <v>-244.96485999999999</v>
      </c>
      <c r="F544" s="275">
        <v>-230.72649999999999</v>
      </c>
      <c r="G544" s="275">
        <v>-214.22644</v>
      </c>
      <c r="H544" s="275">
        <v>-55.802239999999998</v>
      </c>
      <c r="I544" s="275">
        <v>-49.755049999999997</v>
      </c>
      <c r="J544" s="275">
        <v>-46.441420000000001</v>
      </c>
      <c r="K544" s="275">
        <v>-35.995759999999997</v>
      </c>
      <c r="L544" s="275">
        <v>-35.292059999999999</v>
      </c>
      <c r="M544" s="275">
        <v>-13.33404</v>
      </c>
      <c r="N544" s="275">
        <v>-10.99254</v>
      </c>
      <c r="O544" s="275">
        <v>-10.26853</v>
      </c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</row>
    <row r="545" spans="1:27">
      <c r="A545" s="273"/>
      <c r="B545" s="274"/>
      <c r="C545" s="207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</row>
    <row r="546" spans="1:27">
      <c r="A546" s="273">
        <v>186</v>
      </c>
      <c r="B546" s="274">
        <v>59</v>
      </c>
      <c r="C546" s="207" t="s">
        <v>368</v>
      </c>
      <c r="D546" s="275" t="s">
        <v>434</v>
      </c>
      <c r="E546" s="275" t="s">
        <v>435</v>
      </c>
      <c r="F546" s="275" t="s">
        <v>436</v>
      </c>
      <c r="G546" s="275" t="s">
        <v>437</v>
      </c>
      <c r="H546" s="275" t="s">
        <v>438</v>
      </c>
      <c r="I546" s="275" t="s">
        <v>439</v>
      </c>
      <c r="J546" s="275" t="s">
        <v>440</v>
      </c>
      <c r="K546" s="275" t="s">
        <v>441</v>
      </c>
      <c r="L546" s="275" t="s">
        <v>442</v>
      </c>
      <c r="M546" s="275" t="s">
        <v>443</v>
      </c>
      <c r="N546" s="275" t="s">
        <v>444</v>
      </c>
      <c r="O546" s="275" t="s">
        <v>445</v>
      </c>
      <c r="P546" s="275" t="s">
        <v>446</v>
      </c>
      <c r="Q546" s="275" t="s">
        <v>447</v>
      </c>
      <c r="R546" s="275" t="s">
        <v>448</v>
      </c>
      <c r="S546" s="275" t="s">
        <v>449</v>
      </c>
      <c r="T546" s="275" t="s">
        <v>450</v>
      </c>
      <c r="U546" s="275"/>
      <c r="V546" s="275"/>
      <c r="W546" s="275"/>
      <c r="X546" s="275"/>
      <c r="Y546" s="275"/>
      <c r="Z546" s="275"/>
      <c r="AA546" s="275"/>
    </row>
    <row r="547" spans="1:27">
      <c r="A547" s="273"/>
      <c r="B547" s="274"/>
      <c r="C547" s="207"/>
      <c r="D547" s="275">
        <v>-1551.01025</v>
      </c>
      <c r="E547" s="275">
        <v>-254.12959000000001</v>
      </c>
      <c r="F547" s="275">
        <v>-239.54066</v>
      </c>
      <c r="G547" s="275">
        <v>-221.72313</v>
      </c>
      <c r="H547" s="275">
        <v>-56.909590000000001</v>
      </c>
      <c r="I547" s="275">
        <v>-50.692070000000001</v>
      </c>
      <c r="J547" s="275">
        <v>-47.086069999999999</v>
      </c>
      <c r="K547" s="275">
        <v>-36.374720000000003</v>
      </c>
      <c r="L547" s="275">
        <v>-35.605319999999999</v>
      </c>
      <c r="M547" s="275">
        <v>-12.42409</v>
      </c>
      <c r="N547" s="275">
        <v>-10.01674</v>
      </c>
      <c r="O547" s="275">
        <v>-9.2357700000000005</v>
      </c>
      <c r="P547" s="275">
        <v>-5.2169100000000004</v>
      </c>
      <c r="Q547" s="275">
        <v>-5.0778800000000004</v>
      </c>
      <c r="R547" s="275">
        <v>-2.2539699999999998</v>
      </c>
      <c r="S547" s="275">
        <v>-1.52745</v>
      </c>
      <c r="T547" s="275">
        <v>-1.4165700000000001</v>
      </c>
      <c r="U547" s="275"/>
      <c r="V547" s="275"/>
      <c r="W547" s="275"/>
      <c r="X547" s="275"/>
      <c r="Y547" s="275"/>
      <c r="Z547" s="275"/>
      <c r="AA547" s="275"/>
    </row>
    <row r="548" spans="1:27">
      <c r="A548" s="273"/>
      <c r="B548" s="274"/>
      <c r="C548" s="207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</row>
    <row r="549" spans="1:27">
      <c r="A549" s="273">
        <v>187</v>
      </c>
      <c r="B549" s="274">
        <v>59</v>
      </c>
      <c r="C549" s="207" t="s">
        <v>144</v>
      </c>
      <c r="D549" s="275" t="s">
        <v>434</v>
      </c>
      <c r="E549" s="275" t="s">
        <v>435</v>
      </c>
      <c r="F549" s="275" t="s">
        <v>436</v>
      </c>
      <c r="G549" s="275" t="s">
        <v>437</v>
      </c>
      <c r="H549" s="275" t="s">
        <v>438</v>
      </c>
      <c r="I549" s="275" t="s">
        <v>439</v>
      </c>
      <c r="J549" s="275" t="s">
        <v>440</v>
      </c>
      <c r="K549" s="275" t="s">
        <v>441</v>
      </c>
      <c r="L549" s="275" t="s">
        <v>442</v>
      </c>
      <c r="M549" s="275" t="s">
        <v>443</v>
      </c>
      <c r="N549" s="275" t="s">
        <v>444</v>
      </c>
      <c r="O549" s="275" t="s">
        <v>445</v>
      </c>
      <c r="P549" s="275" t="s">
        <v>446</v>
      </c>
      <c r="Q549" s="275" t="s">
        <v>447</v>
      </c>
      <c r="R549" s="275" t="s">
        <v>448</v>
      </c>
      <c r="S549" s="275" t="s">
        <v>449</v>
      </c>
      <c r="T549" s="275" t="s">
        <v>450</v>
      </c>
      <c r="U549" s="275"/>
      <c r="V549" s="275"/>
      <c r="W549" s="275"/>
      <c r="X549" s="275"/>
      <c r="Y549" s="275"/>
      <c r="Z549" s="275"/>
      <c r="AA549" s="275"/>
    </row>
    <row r="550" spans="1:27">
      <c r="A550" s="273"/>
      <c r="B550" s="274"/>
      <c r="C550" s="207"/>
      <c r="D550" s="275">
        <v>-1551.65599</v>
      </c>
      <c r="E550" s="275">
        <v>-254.80395999999999</v>
      </c>
      <c r="F550" s="275">
        <v>-240.20985999999999</v>
      </c>
      <c r="G550" s="275">
        <v>-222.39451</v>
      </c>
      <c r="H550" s="275">
        <v>-57.620350000000002</v>
      </c>
      <c r="I550" s="275">
        <v>-51.400460000000002</v>
      </c>
      <c r="J550" s="275">
        <v>-47.795670000000001</v>
      </c>
      <c r="K550" s="275">
        <v>-37.077649999999998</v>
      </c>
      <c r="L550" s="275">
        <v>-36.30894</v>
      </c>
      <c r="M550" s="275">
        <v>-13.114940000000001</v>
      </c>
      <c r="N550" s="275">
        <v>-10.700290000000001</v>
      </c>
      <c r="O550" s="275">
        <v>-9.9145199999999996</v>
      </c>
      <c r="P550" s="275">
        <v>-5.8739800000000004</v>
      </c>
      <c r="Q550" s="275">
        <v>-5.7335900000000004</v>
      </c>
      <c r="R550" s="275">
        <v>-2.7885599999999999</v>
      </c>
      <c r="S550" s="275">
        <v>-2.0275400000000001</v>
      </c>
      <c r="T550" s="275">
        <v>-1.9052199999999999</v>
      </c>
      <c r="U550" s="275"/>
      <c r="V550" s="275"/>
      <c r="W550" s="275"/>
      <c r="X550" s="275"/>
      <c r="Y550" s="275"/>
      <c r="Z550" s="275"/>
      <c r="AA550" s="275"/>
    </row>
    <row r="551" spans="1:27">
      <c r="A551" s="273"/>
      <c r="B551" s="274"/>
      <c r="C551" s="207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</row>
    <row r="552" spans="1:27">
      <c r="A552" s="273">
        <v>188</v>
      </c>
      <c r="B552" s="274">
        <v>59</v>
      </c>
      <c r="C552" s="207" t="s">
        <v>145</v>
      </c>
      <c r="D552" s="275" t="s">
        <v>434</v>
      </c>
      <c r="E552" s="275" t="s">
        <v>435</v>
      </c>
      <c r="F552" s="275" t="s">
        <v>436</v>
      </c>
      <c r="G552" s="275" t="s">
        <v>437</v>
      </c>
      <c r="H552" s="275" t="s">
        <v>438</v>
      </c>
      <c r="I552" s="275" t="s">
        <v>439</v>
      </c>
      <c r="J552" s="275" t="s">
        <v>440</v>
      </c>
      <c r="K552" s="275" t="s">
        <v>441</v>
      </c>
      <c r="L552" s="275" t="s">
        <v>442</v>
      </c>
      <c r="M552" s="275" t="s">
        <v>443</v>
      </c>
      <c r="N552" s="275" t="s">
        <v>444</v>
      </c>
      <c r="O552" s="275" t="s">
        <v>445</v>
      </c>
      <c r="P552" s="275" t="s">
        <v>446</v>
      </c>
      <c r="Q552" s="275" t="s">
        <v>447</v>
      </c>
      <c r="R552" s="275" t="s">
        <v>448</v>
      </c>
      <c r="S552" s="275" t="s">
        <v>449</v>
      </c>
      <c r="T552" s="275" t="s">
        <v>450</v>
      </c>
      <c r="U552" s="275"/>
      <c r="V552" s="275"/>
      <c r="W552" s="275"/>
      <c r="X552" s="275"/>
      <c r="Y552" s="275"/>
      <c r="Z552" s="275"/>
      <c r="AA552" s="275"/>
    </row>
    <row r="553" spans="1:27">
      <c r="A553" s="273"/>
      <c r="B553" s="274"/>
      <c r="C553" s="207"/>
      <c r="D553" s="275">
        <v>-1552.405</v>
      </c>
      <c r="E553" s="275">
        <v>-255.59059999999999</v>
      </c>
      <c r="F553" s="275">
        <v>-240.98989</v>
      </c>
      <c r="G553" s="275">
        <v>-223.17733000000001</v>
      </c>
      <c r="H553" s="275">
        <v>-58.452069999999999</v>
      </c>
      <c r="I553" s="275">
        <v>-52.229210000000002</v>
      </c>
      <c r="J553" s="275">
        <v>-48.625619999999998</v>
      </c>
      <c r="K553" s="275">
        <v>-37.89958</v>
      </c>
      <c r="L553" s="275">
        <v>-37.131610000000002</v>
      </c>
      <c r="M553" s="275">
        <v>-13.90822</v>
      </c>
      <c r="N553" s="275">
        <v>-11.48401</v>
      </c>
      <c r="O553" s="275">
        <v>-10.69117</v>
      </c>
      <c r="P553" s="275">
        <v>-6.6234799999999998</v>
      </c>
      <c r="Q553" s="275">
        <v>-6.48095</v>
      </c>
      <c r="R553" s="275">
        <v>-3.3747199999999999</v>
      </c>
      <c r="S553" s="275">
        <v>-2.5765699999999998</v>
      </c>
      <c r="T553" s="275">
        <v>-2.4411800000000001</v>
      </c>
      <c r="U553" s="275"/>
      <c r="V553" s="275"/>
      <c r="W553" s="275"/>
      <c r="X553" s="275"/>
      <c r="Y553" s="275"/>
      <c r="Z553" s="275"/>
      <c r="AA553" s="275"/>
    </row>
    <row r="554" spans="1:27">
      <c r="A554" s="273"/>
      <c r="B554" s="274"/>
      <c r="C554" s="207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</row>
    <row r="555" spans="1:27">
      <c r="A555" s="273">
        <v>189</v>
      </c>
      <c r="B555" s="274">
        <v>60</v>
      </c>
      <c r="C555" s="207" t="s">
        <v>369</v>
      </c>
      <c r="D555" s="275" t="s">
        <v>434</v>
      </c>
      <c r="E555" s="275" t="s">
        <v>435</v>
      </c>
      <c r="F555" s="275" t="s">
        <v>436</v>
      </c>
      <c r="G555" s="275" t="s">
        <v>437</v>
      </c>
      <c r="H555" s="275" t="s">
        <v>438</v>
      </c>
      <c r="I555" s="275" t="s">
        <v>439</v>
      </c>
      <c r="J555" s="275" t="s">
        <v>440</v>
      </c>
      <c r="K555" s="275" t="s">
        <v>441</v>
      </c>
      <c r="L555" s="275" t="s">
        <v>442</v>
      </c>
      <c r="M555" s="275" t="s">
        <v>443</v>
      </c>
      <c r="N555" s="275" t="s">
        <v>444</v>
      </c>
      <c r="O555" s="275" t="s">
        <v>445</v>
      </c>
      <c r="P555" s="275" t="s">
        <v>446</v>
      </c>
      <c r="Q555" s="275" t="s">
        <v>447</v>
      </c>
      <c r="R555" s="275" t="s">
        <v>448</v>
      </c>
      <c r="S555" s="275" t="s">
        <v>449</v>
      </c>
      <c r="T555" s="275" t="s">
        <v>450</v>
      </c>
      <c r="U555" s="275"/>
      <c r="V555" s="275"/>
      <c r="W555" s="275"/>
      <c r="X555" s="275"/>
      <c r="Y555" s="275"/>
      <c r="Z555" s="275"/>
      <c r="AA555" s="275"/>
    </row>
    <row r="556" spans="1:27">
      <c r="A556" s="273"/>
      <c r="B556" s="274"/>
      <c r="C556" s="207"/>
      <c r="D556" s="275">
        <v>-1609.4303199999999</v>
      </c>
      <c r="E556" s="275">
        <v>-265.00806</v>
      </c>
      <c r="F556" s="275">
        <v>-250.05222000000001</v>
      </c>
      <c r="G556" s="275">
        <v>-230.84007</v>
      </c>
      <c r="H556" s="275">
        <v>-59.610239999999997</v>
      </c>
      <c r="I556" s="275">
        <v>-53.215040000000002</v>
      </c>
      <c r="J556" s="275">
        <v>-49.299439999999997</v>
      </c>
      <c r="K556" s="275">
        <v>-38.305889999999998</v>
      </c>
      <c r="L556" s="275">
        <v>-37.467829999999999</v>
      </c>
      <c r="M556" s="275">
        <v>-12.994009999999999</v>
      </c>
      <c r="N556" s="275">
        <v>-10.502269999999999</v>
      </c>
      <c r="O556" s="275">
        <v>-9.6478699999999993</v>
      </c>
      <c r="P556" s="275">
        <v>-5.4904599999999997</v>
      </c>
      <c r="Q556" s="275">
        <v>-5.3371700000000004</v>
      </c>
      <c r="R556" s="275">
        <v>-2.3191199999999998</v>
      </c>
      <c r="S556" s="275">
        <v>-1.5671200000000001</v>
      </c>
      <c r="T556" s="275">
        <v>-1.4471099999999999</v>
      </c>
      <c r="U556" s="275"/>
      <c r="V556" s="275"/>
      <c r="W556" s="275"/>
      <c r="X556" s="275"/>
      <c r="Y556" s="275"/>
      <c r="Z556" s="275"/>
      <c r="AA556" s="275"/>
    </row>
    <row r="557" spans="1:27">
      <c r="A557" s="273"/>
      <c r="B557" s="274"/>
      <c r="C557" s="207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</row>
    <row r="558" spans="1:27">
      <c r="A558" s="273">
        <v>190</v>
      </c>
      <c r="B558" s="274">
        <v>60</v>
      </c>
      <c r="C558" s="207" t="s">
        <v>146</v>
      </c>
      <c r="D558" s="275" t="s">
        <v>434</v>
      </c>
      <c r="E558" s="275" t="s">
        <v>435</v>
      </c>
      <c r="F558" s="275" t="s">
        <v>436</v>
      </c>
      <c r="G558" s="275" t="s">
        <v>437</v>
      </c>
      <c r="H558" s="275" t="s">
        <v>438</v>
      </c>
      <c r="I558" s="275" t="s">
        <v>439</v>
      </c>
      <c r="J558" s="275" t="s">
        <v>440</v>
      </c>
      <c r="K558" s="275" t="s">
        <v>441</v>
      </c>
      <c r="L558" s="275" t="s">
        <v>442</v>
      </c>
      <c r="M558" s="275" t="s">
        <v>443</v>
      </c>
      <c r="N558" s="275" t="s">
        <v>444</v>
      </c>
      <c r="O558" s="275" t="s">
        <v>445</v>
      </c>
      <c r="P558" s="275" t="s">
        <v>446</v>
      </c>
      <c r="Q558" s="275" t="s">
        <v>447</v>
      </c>
      <c r="R558" s="275" t="s">
        <v>448</v>
      </c>
      <c r="S558" s="275" t="s">
        <v>449</v>
      </c>
      <c r="T558" s="275" t="s">
        <v>450</v>
      </c>
      <c r="U558" s="275"/>
      <c r="V558" s="275"/>
      <c r="W558" s="275"/>
      <c r="X558" s="275"/>
      <c r="Y558" s="275"/>
      <c r="Z558" s="275"/>
      <c r="AA558" s="275"/>
    </row>
    <row r="559" spans="1:27">
      <c r="A559" s="273"/>
      <c r="B559" s="274"/>
      <c r="C559" s="207"/>
      <c r="D559" s="275">
        <v>-1610.0882099999999</v>
      </c>
      <c r="E559" s="275">
        <v>-265.68750999999997</v>
      </c>
      <c r="F559" s="275">
        <v>-250.72659999999999</v>
      </c>
      <c r="G559" s="275">
        <v>-231.51666</v>
      </c>
      <c r="H559" s="275">
        <v>-60.325180000000003</v>
      </c>
      <c r="I559" s="275">
        <v>-53.92765</v>
      </c>
      <c r="J559" s="275">
        <v>-50.013280000000002</v>
      </c>
      <c r="K559" s="275">
        <v>-39.013219999999997</v>
      </c>
      <c r="L559" s="275">
        <v>-38.175879999999999</v>
      </c>
      <c r="M559" s="275">
        <v>-13.690239999999999</v>
      </c>
      <c r="N559" s="275">
        <v>-11.19154</v>
      </c>
      <c r="O559" s="275">
        <v>-10.332380000000001</v>
      </c>
      <c r="P559" s="275">
        <v>-6.1541699999999997</v>
      </c>
      <c r="Q559" s="275">
        <v>-5.9995900000000004</v>
      </c>
      <c r="R559" s="275">
        <v>-2.8618899999999998</v>
      </c>
      <c r="S559" s="275">
        <v>-2.0753900000000001</v>
      </c>
      <c r="T559" s="275">
        <v>-1.94336</v>
      </c>
      <c r="U559" s="275"/>
      <c r="V559" s="275"/>
      <c r="W559" s="275"/>
      <c r="X559" s="275"/>
      <c r="Y559" s="275"/>
      <c r="Z559" s="275"/>
      <c r="AA559" s="275"/>
    </row>
    <row r="560" spans="1:27">
      <c r="A560" s="273"/>
      <c r="B560" s="274"/>
      <c r="C560" s="207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</row>
    <row r="561" spans="1:27">
      <c r="A561" s="273">
        <v>191</v>
      </c>
      <c r="B561" s="274">
        <v>61</v>
      </c>
      <c r="C561" s="207" t="s">
        <v>370</v>
      </c>
      <c r="D561" s="275" t="s">
        <v>434</v>
      </c>
      <c r="E561" s="275" t="s">
        <v>435</v>
      </c>
      <c r="F561" s="275" t="s">
        <v>436</v>
      </c>
      <c r="G561" s="275" t="s">
        <v>437</v>
      </c>
      <c r="H561" s="275" t="s">
        <v>438</v>
      </c>
      <c r="I561" s="275" t="s">
        <v>439</v>
      </c>
      <c r="J561" s="275" t="s">
        <v>440</v>
      </c>
      <c r="K561" s="275" t="s">
        <v>441</v>
      </c>
      <c r="L561" s="275" t="s">
        <v>442</v>
      </c>
      <c r="M561" s="275" t="s">
        <v>443</v>
      </c>
      <c r="N561" s="275" t="s">
        <v>444</v>
      </c>
      <c r="O561" s="275" t="s">
        <v>445</v>
      </c>
      <c r="P561" s="275" t="s">
        <v>446</v>
      </c>
      <c r="Q561" s="275" t="s">
        <v>447</v>
      </c>
      <c r="R561" s="275" t="s">
        <v>448</v>
      </c>
      <c r="S561" s="275" t="s">
        <v>449</v>
      </c>
      <c r="T561" s="275" t="s">
        <v>450</v>
      </c>
      <c r="U561" s="275"/>
      <c r="V561" s="275"/>
      <c r="W561" s="275"/>
      <c r="X561" s="275"/>
      <c r="Y561" s="275"/>
      <c r="Z561" s="275"/>
      <c r="AA561" s="275"/>
    </row>
    <row r="562" spans="1:27">
      <c r="A562" s="273"/>
      <c r="B562" s="274"/>
      <c r="C562" s="207"/>
      <c r="D562" s="275">
        <v>-1669.7788700000001</v>
      </c>
      <c r="E562" s="275">
        <v>-276.83731999999998</v>
      </c>
      <c r="F562" s="275">
        <v>-261.50549000000001</v>
      </c>
      <c r="G562" s="275">
        <v>-240.81494000000001</v>
      </c>
      <c r="H562" s="275">
        <v>-63.088639999999998</v>
      </c>
      <c r="I562" s="275">
        <v>-56.511589999999998</v>
      </c>
      <c r="J562" s="275">
        <v>-52.267060000000001</v>
      </c>
      <c r="K562" s="275">
        <v>-40.98348</v>
      </c>
      <c r="L562" s="275">
        <v>-40.073</v>
      </c>
      <c r="M562" s="275">
        <v>-14.271269999999999</v>
      </c>
      <c r="N562" s="275">
        <v>-11.68765</v>
      </c>
      <c r="O562" s="275">
        <v>-10.750310000000001</v>
      </c>
      <c r="P562" s="275">
        <v>-6.4338100000000003</v>
      </c>
      <c r="Q562" s="275">
        <v>-6.2641200000000001</v>
      </c>
      <c r="R562" s="275">
        <v>-2.9341300000000001</v>
      </c>
      <c r="S562" s="275">
        <v>-2.1221100000000002</v>
      </c>
      <c r="T562" s="275">
        <v>-1.97997</v>
      </c>
      <c r="U562" s="275"/>
      <c r="V562" s="275"/>
      <c r="W562" s="275"/>
      <c r="X562" s="275"/>
      <c r="Y562" s="275"/>
      <c r="Z562" s="275"/>
      <c r="AA562" s="275"/>
    </row>
    <row r="563" spans="1:27">
      <c r="A563" s="273"/>
      <c r="B563" s="274"/>
      <c r="C563" s="207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</row>
    <row r="564" spans="1:27">
      <c r="A564" s="273">
        <v>192</v>
      </c>
      <c r="B564" s="274">
        <v>62</v>
      </c>
      <c r="C564" s="207" t="s">
        <v>371</v>
      </c>
      <c r="D564" s="275" t="s">
        <v>434</v>
      </c>
      <c r="E564" s="275" t="s">
        <v>435</v>
      </c>
      <c r="F564" s="275" t="s">
        <v>436</v>
      </c>
      <c r="G564" s="275" t="s">
        <v>437</v>
      </c>
      <c r="H564" s="275" t="s">
        <v>438</v>
      </c>
      <c r="I564" s="275" t="s">
        <v>439</v>
      </c>
      <c r="J564" s="275" t="s">
        <v>440</v>
      </c>
      <c r="K564" s="275" t="s">
        <v>441</v>
      </c>
      <c r="L564" s="275" t="s">
        <v>442</v>
      </c>
      <c r="M564" s="275" t="s">
        <v>443</v>
      </c>
      <c r="N564" s="275" t="s">
        <v>444</v>
      </c>
      <c r="O564" s="275" t="s">
        <v>445</v>
      </c>
      <c r="P564" s="275" t="s">
        <v>446</v>
      </c>
      <c r="Q564" s="275" t="s">
        <v>447</v>
      </c>
      <c r="R564" s="275" t="s">
        <v>448</v>
      </c>
      <c r="S564" s="275" t="s">
        <v>449</v>
      </c>
      <c r="T564" s="275" t="s">
        <v>450</v>
      </c>
      <c r="U564" s="275"/>
      <c r="V564" s="275"/>
      <c r="W564" s="275"/>
      <c r="X564" s="275"/>
      <c r="Y564" s="275"/>
      <c r="Z564" s="275"/>
      <c r="AA564" s="275"/>
    </row>
    <row r="565" spans="1:27">
      <c r="A565" s="273"/>
      <c r="B565" s="274"/>
      <c r="C565" s="207"/>
      <c r="D565" s="275">
        <v>-1730.0728799999999</v>
      </c>
      <c r="E565" s="275">
        <v>-287.56900000000002</v>
      </c>
      <c r="F565" s="275">
        <v>-271.86590999999999</v>
      </c>
      <c r="G565" s="275">
        <v>-249.60227</v>
      </c>
      <c r="H565" s="275">
        <v>-65.187970000000007</v>
      </c>
      <c r="I565" s="275">
        <v>-58.431510000000003</v>
      </c>
      <c r="J565" s="275">
        <v>-53.833959999999998</v>
      </c>
      <c r="K565" s="275">
        <v>-42.271610000000003</v>
      </c>
      <c r="L565" s="275">
        <v>-41.282449999999997</v>
      </c>
      <c r="M565" s="275">
        <v>-14.150320000000001</v>
      </c>
      <c r="N565" s="275">
        <v>-11.4872</v>
      </c>
      <c r="O565" s="275">
        <v>-10.47133</v>
      </c>
      <c r="P565" s="275">
        <v>-6.0352199999999998</v>
      </c>
      <c r="Q565" s="275">
        <v>-5.8505799999999999</v>
      </c>
      <c r="R565" s="275">
        <v>-2.4460199999999999</v>
      </c>
      <c r="S565" s="275">
        <v>-1.64313</v>
      </c>
      <c r="T565" s="275">
        <v>-1.5037400000000001</v>
      </c>
      <c r="U565" s="275"/>
      <c r="V565" s="275"/>
      <c r="W565" s="275"/>
      <c r="X565" s="275"/>
      <c r="Y565" s="275"/>
      <c r="Z565" s="275"/>
      <c r="AA565" s="275"/>
    </row>
    <row r="566" spans="1:27">
      <c r="A566" s="273"/>
      <c r="B566" s="274"/>
      <c r="C566" s="207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</row>
    <row r="567" spans="1:27">
      <c r="A567" s="273">
        <v>193</v>
      </c>
      <c r="B567" s="274">
        <v>62</v>
      </c>
      <c r="C567" s="207" t="s">
        <v>147</v>
      </c>
      <c r="D567" s="275" t="s">
        <v>434</v>
      </c>
      <c r="E567" s="275" t="s">
        <v>435</v>
      </c>
      <c r="F567" s="275" t="s">
        <v>436</v>
      </c>
      <c r="G567" s="275" t="s">
        <v>437</v>
      </c>
      <c r="H567" s="275" t="s">
        <v>438</v>
      </c>
      <c r="I567" s="275" t="s">
        <v>439</v>
      </c>
      <c r="J567" s="275" t="s">
        <v>440</v>
      </c>
      <c r="K567" s="275" t="s">
        <v>441</v>
      </c>
      <c r="L567" s="275" t="s">
        <v>442</v>
      </c>
      <c r="M567" s="275" t="s">
        <v>443</v>
      </c>
      <c r="N567" s="275" t="s">
        <v>444</v>
      </c>
      <c r="O567" s="275" t="s">
        <v>445</v>
      </c>
      <c r="P567" s="275" t="s">
        <v>446</v>
      </c>
      <c r="Q567" s="275" t="s">
        <v>447</v>
      </c>
      <c r="R567" s="275" t="s">
        <v>448</v>
      </c>
      <c r="S567" s="275" t="s">
        <v>449</v>
      </c>
      <c r="T567" s="275" t="s">
        <v>450</v>
      </c>
      <c r="U567" s="275"/>
      <c r="V567" s="275"/>
      <c r="W567" s="275"/>
      <c r="X567" s="275"/>
      <c r="Y567" s="275"/>
      <c r="Z567" s="275"/>
      <c r="AA567" s="275"/>
    </row>
    <row r="568" spans="1:27">
      <c r="A568" s="273"/>
      <c r="B568" s="274"/>
      <c r="C568" s="207"/>
      <c r="D568" s="275">
        <v>-1730.7526600000001</v>
      </c>
      <c r="E568" s="275">
        <v>-288.26076999999998</v>
      </c>
      <c r="F568" s="275">
        <v>-272.55275999999998</v>
      </c>
      <c r="G568" s="275">
        <v>-250.29141000000001</v>
      </c>
      <c r="H568" s="275">
        <v>-65.913830000000004</v>
      </c>
      <c r="I568" s="275">
        <v>-59.155090000000001</v>
      </c>
      <c r="J568" s="275">
        <v>-54.558750000000003</v>
      </c>
      <c r="K568" s="275">
        <v>-42.990070000000003</v>
      </c>
      <c r="L568" s="275">
        <v>-42.001739999999998</v>
      </c>
      <c r="M568" s="275">
        <v>-14.859769999999999</v>
      </c>
      <c r="N568" s="275">
        <v>-12.19018</v>
      </c>
      <c r="O568" s="275">
        <v>-11.169600000000001</v>
      </c>
      <c r="P568" s="275">
        <v>-6.7139800000000003</v>
      </c>
      <c r="Q568" s="275">
        <v>-6.5282099999999996</v>
      </c>
      <c r="R568" s="275">
        <v>-3.0057499999999999</v>
      </c>
      <c r="S568" s="275">
        <v>-2.1680799999999998</v>
      </c>
      <c r="T568" s="275">
        <v>-2.0153699999999999</v>
      </c>
      <c r="U568" s="275"/>
      <c r="V568" s="275"/>
      <c r="W568" s="275"/>
      <c r="X568" s="275"/>
      <c r="Y568" s="275"/>
      <c r="Z568" s="275"/>
      <c r="AA568" s="275"/>
    </row>
    <row r="569" spans="1:27">
      <c r="A569" s="273"/>
      <c r="B569" s="274"/>
      <c r="C569" s="207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</row>
    <row r="570" spans="1:27">
      <c r="A570" s="273">
        <v>194</v>
      </c>
      <c r="B570" s="274">
        <v>63</v>
      </c>
      <c r="C570" s="207" t="s">
        <v>372</v>
      </c>
      <c r="D570" s="275" t="s">
        <v>434</v>
      </c>
      <c r="E570" s="275" t="s">
        <v>435</v>
      </c>
      <c r="F570" s="275" t="s">
        <v>436</v>
      </c>
      <c r="G570" s="275" t="s">
        <v>437</v>
      </c>
      <c r="H570" s="275" t="s">
        <v>438</v>
      </c>
      <c r="I570" s="275" t="s">
        <v>439</v>
      </c>
      <c r="J570" s="275" t="s">
        <v>440</v>
      </c>
      <c r="K570" s="275" t="s">
        <v>441</v>
      </c>
      <c r="L570" s="275" t="s">
        <v>442</v>
      </c>
      <c r="M570" s="275" t="s">
        <v>443</v>
      </c>
      <c r="N570" s="275" t="s">
        <v>444</v>
      </c>
      <c r="O570" s="275" t="s">
        <v>445</v>
      </c>
      <c r="P570" s="275" t="s">
        <v>446</v>
      </c>
      <c r="Q570" s="275" t="s">
        <v>447</v>
      </c>
      <c r="R570" s="275" t="s">
        <v>448</v>
      </c>
      <c r="S570" s="275" t="s">
        <v>449</v>
      </c>
      <c r="T570" s="275" t="s">
        <v>450</v>
      </c>
      <c r="U570" s="275"/>
      <c r="V570" s="275"/>
      <c r="W570" s="275"/>
      <c r="X570" s="275"/>
      <c r="Y570" s="275"/>
      <c r="Z570" s="275"/>
      <c r="AA570" s="275"/>
    </row>
    <row r="571" spans="1:27">
      <c r="A571" s="273"/>
      <c r="B571" s="274"/>
      <c r="C571" s="207"/>
      <c r="D571" s="275">
        <v>-1792.3230799999999</v>
      </c>
      <c r="E571" s="275">
        <v>-299.26416</v>
      </c>
      <c r="F571" s="275">
        <v>-283.17840999999999</v>
      </c>
      <c r="G571" s="275">
        <v>-259.24952000000002</v>
      </c>
      <c r="H571" s="275">
        <v>-68.071489999999997</v>
      </c>
      <c r="I571" s="275">
        <v>-61.131309999999999</v>
      </c>
      <c r="J571" s="275">
        <v>-56.159039999999997</v>
      </c>
      <c r="K571" s="275">
        <v>-44.309890000000003</v>
      </c>
      <c r="L571" s="275">
        <v>-43.23789</v>
      </c>
      <c r="M571" s="275">
        <v>-14.74044</v>
      </c>
      <c r="N571" s="275">
        <v>-11.990080000000001</v>
      </c>
      <c r="O571" s="275">
        <v>-10.885579999999999</v>
      </c>
      <c r="P571" s="275">
        <v>-6.3088800000000003</v>
      </c>
      <c r="Q571" s="275">
        <v>-6.1070200000000003</v>
      </c>
      <c r="R571" s="275">
        <v>-2.5088200000000001</v>
      </c>
      <c r="S571" s="275">
        <v>-1.6802699999999999</v>
      </c>
      <c r="T571" s="275">
        <v>-1.5305299999999999</v>
      </c>
      <c r="U571" s="275"/>
      <c r="V571" s="275"/>
      <c r="W571" s="275"/>
      <c r="X571" s="275"/>
      <c r="Y571" s="275"/>
      <c r="Z571" s="275"/>
      <c r="AA571" s="275"/>
    </row>
    <row r="572" spans="1:27">
      <c r="A572" s="273"/>
      <c r="B572" s="274"/>
      <c r="C572" s="207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</row>
    <row r="573" spans="1:27">
      <c r="A573" s="273">
        <v>195</v>
      </c>
      <c r="B573" s="274">
        <v>63</v>
      </c>
      <c r="C573" s="207" t="s">
        <v>148</v>
      </c>
      <c r="D573" s="275" t="s">
        <v>434</v>
      </c>
      <c r="E573" s="275" t="s">
        <v>435</v>
      </c>
      <c r="F573" s="275" t="s">
        <v>436</v>
      </c>
      <c r="G573" s="275" t="s">
        <v>437</v>
      </c>
      <c r="H573" s="275" t="s">
        <v>438</v>
      </c>
      <c r="I573" s="275" t="s">
        <v>439</v>
      </c>
      <c r="J573" s="275" t="s">
        <v>440</v>
      </c>
      <c r="K573" s="275" t="s">
        <v>441</v>
      </c>
      <c r="L573" s="275" t="s">
        <v>442</v>
      </c>
      <c r="M573" s="275" t="s">
        <v>443</v>
      </c>
      <c r="N573" s="275" t="s">
        <v>444</v>
      </c>
      <c r="O573" s="275" t="s">
        <v>445</v>
      </c>
      <c r="P573" s="275" t="s">
        <v>446</v>
      </c>
      <c r="Q573" s="275" t="s">
        <v>447</v>
      </c>
      <c r="R573" s="275" t="s">
        <v>448</v>
      </c>
      <c r="S573" s="275" t="s">
        <v>449</v>
      </c>
      <c r="T573" s="275" t="s">
        <v>450</v>
      </c>
      <c r="U573" s="275"/>
      <c r="V573" s="275"/>
      <c r="W573" s="275"/>
      <c r="X573" s="275"/>
      <c r="Y573" s="275"/>
      <c r="Z573" s="275"/>
      <c r="AA573" s="275"/>
    </row>
    <row r="574" spans="1:27">
      <c r="A574" s="273"/>
      <c r="B574" s="274"/>
      <c r="C574" s="207"/>
      <c r="D574" s="275">
        <v>-1793.01973</v>
      </c>
      <c r="E574" s="275">
        <v>-299.96159</v>
      </c>
      <c r="F574" s="275">
        <v>-283.87288000000001</v>
      </c>
      <c r="G574" s="275">
        <v>-259.94630999999998</v>
      </c>
      <c r="H574" s="275">
        <v>-68.803160000000005</v>
      </c>
      <c r="I574" s="275">
        <v>-61.860709999999997</v>
      </c>
      <c r="J574" s="275">
        <v>-56.88984</v>
      </c>
      <c r="K574" s="275">
        <v>-45.034399999999998</v>
      </c>
      <c r="L574" s="275">
        <v>-43.963299999999997</v>
      </c>
      <c r="M574" s="275">
        <v>-15.457039999999999</v>
      </c>
      <c r="N574" s="275">
        <v>-12.7004</v>
      </c>
      <c r="O574" s="275">
        <v>-11.59122</v>
      </c>
      <c r="P574" s="275">
        <v>-6.9954799999999997</v>
      </c>
      <c r="Q574" s="275">
        <v>-6.7926000000000002</v>
      </c>
      <c r="R574" s="275">
        <v>-3.0770900000000001</v>
      </c>
      <c r="S574" s="275">
        <v>-2.2135400000000001</v>
      </c>
      <c r="T574" s="275">
        <v>-2.0497800000000002</v>
      </c>
      <c r="U574" s="275"/>
      <c r="V574" s="275"/>
      <c r="W574" s="275"/>
      <c r="X574" s="275"/>
      <c r="Y574" s="275"/>
      <c r="Z574" s="275"/>
      <c r="AA574" s="275"/>
    </row>
    <row r="575" spans="1:27">
      <c r="A575" s="273"/>
      <c r="B575" s="274"/>
      <c r="C575" s="207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</row>
    <row r="576" spans="1:27">
      <c r="A576" s="273">
        <v>196</v>
      </c>
      <c r="B576" s="274">
        <v>64</v>
      </c>
      <c r="C576" s="207" t="s">
        <v>149</v>
      </c>
      <c r="D576" s="275" t="s">
        <v>434</v>
      </c>
      <c r="E576" s="275" t="s">
        <v>435</v>
      </c>
      <c r="F576" s="275" t="s">
        <v>436</v>
      </c>
      <c r="G576" s="275" t="s">
        <v>437</v>
      </c>
      <c r="H576" s="275" t="s">
        <v>438</v>
      </c>
      <c r="I576" s="275" t="s">
        <v>439</v>
      </c>
      <c r="J576" s="275" t="s">
        <v>440</v>
      </c>
      <c r="K576" s="275" t="s">
        <v>441</v>
      </c>
      <c r="L576" s="275" t="s">
        <v>442</v>
      </c>
      <c r="M576" s="275" t="s">
        <v>443</v>
      </c>
      <c r="N576" s="275" t="s">
        <v>444</v>
      </c>
      <c r="O576" s="275" t="s">
        <v>445</v>
      </c>
      <c r="P576" s="275" t="s">
        <v>446</v>
      </c>
      <c r="Q576" s="275" t="s">
        <v>447</v>
      </c>
      <c r="R576" s="275" t="s">
        <v>448</v>
      </c>
      <c r="S576" s="275" t="s">
        <v>449</v>
      </c>
      <c r="T576" s="275" t="s">
        <v>450</v>
      </c>
      <c r="U576" s="275"/>
      <c r="V576" s="275"/>
      <c r="W576" s="275"/>
      <c r="X576" s="275"/>
      <c r="Y576" s="275"/>
      <c r="Z576" s="275"/>
      <c r="AA576" s="275"/>
    </row>
    <row r="577" spans="1:27">
      <c r="A577" s="273"/>
      <c r="B577" s="274"/>
      <c r="C577" s="207"/>
      <c r="D577" s="275">
        <v>-1855.8629800000001</v>
      </c>
      <c r="E577" s="275">
        <v>-311.25371000000001</v>
      </c>
      <c r="F577" s="275">
        <v>-294.78197</v>
      </c>
      <c r="G577" s="275">
        <v>-269.09142000000003</v>
      </c>
      <c r="H577" s="275">
        <v>-71.073530000000005</v>
      </c>
      <c r="I577" s="275">
        <v>-63.945099999999996</v>
      </c>
      <c r="J577" s="275">
        <v>-58.576000000000001</v>
      </c>
      <c r="K577" s="275">
        <v>-46.431930000000001</v>
      </c>
      <c r="L577" s="275">
        <v>-45.272959999999998</v>
      </c>
      <c r="M577" s="275">
        <v>-15.380280000000001</v>
      </c>
      <c r="N577" s="275">
        <v>-12.534739999999999</v>
      </c>
      <c r="O577" s="275">
        <v>-11.33081</v>
      </c>
      <c r="P577" s="275">
        <v>-6.5945900000000002</v>
      </c>
      <c r="Q577" s="275">
        <v>-6.37331</v>
      </c>
      <c r="R577" s="275">
        <v>-2.4749699999999999</v>
      </c>
      <c r="S577" s="275">
        <v>-1.5966400000000001</v>
      </c>
      <c r="T577" s="275">
        <v>-1.4259599999999999</v>
      </c>
      <c r="U577" s="275"/>
      <c r="V577" s="275"/>
      <c r="W577" s="275"/>
      <c r="X577" s="275"/>
      <c r="Y577" s="275"/>
      <c r="Z577" s="275"/>
      <c r="AA577" s="275"/>
    </row>
    <row r="578" spans="1:27">
      <c r="A578" s="273"/>
      <c r="B578" s="274"/>
      <c r="C578" s="207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</row>
    <row r="579" spans="1:27">
      <c r="A579" s="273">
        <v>197</v>
      </c>
      <c r="B579" s="274">
        <v>64</v>
      </c>
      <c r="C579" s="207" t="s">
        <v>150</v>
      </c>
      <c r="D579" s="275" t="s">
        <v>434</v>
      </c>
      <c r="E579" s="275" t="s">
        <v>435</v>
      </c>
      <c r="F579" s="275" t="s">
        <v>436</v>
      </c>
      <c r="G579" s="275" t="s">
        <v>437</v>
      </c>
      <c r="H579" s="275" t="s">
        <v>438</v>
      </c>
      <c r="I579" s="275" t="s">
        <v>439</v>
      </c>
      <c r="J579" s="275" t="s">
        <v>440</v>
      </c>
      <c r="K579" s="275" t="s">
        <v>441</v>
      </c>
      <c r="L579" s="275" t="s">
        <v>442</v>
      </c>
      <c r="M579" s="275" t="s">
        <v>443</v>
      </c>
      <c r="N579" s="275" t="s">
        <v>444</v>
      </c>
      <c r="O579" s="275" t="s">
        <v>445</v>
      </c>
      <c r="P579" s="275" t="s">
        <v>446</v>
      </c>
      <c r="Q579" s="275" t="s">
        <v>447</v>
      </c>
      <c r="R579" s="275" t="s">
        <v>448</v>
      </c>
      <c r="S579" s="275" t="s">
        <v>449</v>
      </c>
      <c r="T579" s="275" t="s">
        <v>450</v>
      </c>
      <c r="U579" s="275"/>
      <c r="V579" s="275"/>
      <c r="W579" s="275"/>
      <c r="X579" s="275"/>
      <c r="Y579" s="275"/>
      <c r="Z579" s="275"/>
      <c r="AA579" s="275"/>
    </row>
    <row r="580" spans="1:27">
      <c r="A580" s="273"/>
      <c r="B580" s="274"/>
      <c r="C580" s="207"/>
      <c r="D580" s="275">
        <v>-1856.13474</v>
      </c>
      <c r="E580" s="275">
        <v>-311.52361999999999</v>
      </c>
      <c r="F580" s="275">
        <v>-295.05243000000002</v>
      </c>
      <c r="G580" s="275">
        <v>-269.36182000000002</v>
      </c>
      <c r="H580" s="275">
        <v>-71.342500000000001</v>
      </c>
      <c r="I580" s="275">
        <v>-64.214650000000006</v>
      </c>
      <c r="J580" s="275">
        <v>-58.84563</v>
      </c>
      <c r="K580" s="275">
        <v>-46.701729999999998</v>
      </c>
      <c r="L580" s="275">
        <v>-45.542760000000001</v>
      </c>
      <c r="M580" s="275">
        <v>-15.64865</v>
      </c>
      <c r="N580" s="275">
        <v>-12.804169999999999</v>
      </c>
      <c r="O580" s="275">
        <v>-11.60028</v>
      </c>
      <c r="P580" s="275">
        <v>-6.8641800000000002</v>
      </c>
      <c r="Q580" s="275">
        <v>-6.6429099999999996</v>
      </c>
      <c r="R580" s="275">
        <v>-2.7394599999999998</v>
      </c>
      <c r="S580" s="275">
        <v>-1.8634599999999999</v>
      </c>
      <c r="T580" s="275">
        <v>-1.69225</v>
      </c>
      <c r="U580" s="275"/>
      <c r="V580" s="275"/>
      <c r="W580" s="275"/>
      <c r="X580" s="275"/>
      <c r="Y580" s="275"/>
      <c r="Z580" s="275"/>
      <c r="AA580" s="275"/>
    </row>
    <row r="581" spans="1:27">
      <c r="A581" s="273"/>
      <c r="B581" s="274"/>
      <c r="C581" s="207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</row>
    <row r="582" spans="1:27">
      <c r="A582" s="273">
        <v>198</v>
      </c>
      <c r="B582" s="274">
        <v>64</v>
      </c>
      <c r="C582" s="207" t="s">
        <v>151</v>
      </c>
      <c r="D582" s="275" t="s">
        <v>434</v>
      </c>
      <c r="E582" s="275" t="s">
        <v>435</v>
      </c>
      <c r="F582" s="275" t="s">
        <v>436</v>
      </c>
      <c r="G582" s="275" t="s">
        <v>437</v>
      </c>
      <c r="H582" s="275" t="s">
        <v>438</v>
      </c>
      <c r="I582" s="275" t="s">
        <v>439</v>
      </c>
      <c r="J582" s="275" t="s">
        <v>440</v>
      </c>
      <c r="K582" s="275" t="s">
        <v>441</v>
      </c>
      <c r="L582" s="275" t="s">
        <v>442</v>
      </c>
      <c r="M582" s="275" t="s">
        <v>443</v>
      </c>
      <c r="N582" s="275" t="s">
        <v>444</v>
      </c>
      <c r="O582" s="275" t="s">
        <v>445</v>
      </c>
      <c r="P582" s="275" t="s">
        <v>446</v>
      </c>
      <c r="Q582" s="275" t="s">
        <v>447</v>
      </c>
      <c r="R582" s="275" t="s">
        <v>448</v>
      </c>
      <c r="S582" s="275" t="s">
        <v>449</v>
      </c>
      <c r="T582" s="275" t="s">
        <v>450</v>
      </c>
      <c r="U582" s="275"/>
      <c r="V582" s="275"/>
      <c r="W582" s="275"/>
      <c r="X582" s="275"/>
      <c r="Y582" s="275"/>
      <c r="Z582" s="275"/>
      <c r="AA582" s="275"/>
    </row>
    <row r="583" spans="1:27">
      <c r="A583" s="273"/>
      <c r="B583" s="274"/>
      <c r="C583" s="207"/>
      <c r="D583" s="275">
        <v>-1856.57692</v>
      </c>
      <c r="E583" s="275">
        <v>-311.94276000000002</v>
      </c>
      <c r="F583" s="275">
        <v>-295.47147999999999</v>
      </c>
      <c r="G583" s="275">
        <v>-269.78091999999998</v>
      </c>
      <c r="H583" s="275">
        <v>-71.758359999999996</v>
      </c>
      <c r="I583" s="275">
        <v>-64.630709999999993</v>
      </c>
      <c r="J583" s="275">
        <v>-59.261490000000002</v>
      </c>
      <c r="K583" s="275">
        <v>-47.117559999999997</v>
      </c>
      <c r="L583" s="275">
        <v>-45.958570000000002</v>
      </c>
      <c r="M583" s="275">
        <v>-16.064039999999999</v>
      </c>
      <c r="N583" s="275">
        <v>-13.21935</v>
      </c>
      <c r="O583" s="275">
        <v>-12.015919999999999</v>
      </c>
      <c r="P583" s="275">
        <v>-7.2789200000000003</v>
      </c>
      <c r="Q583" s="275">
        <v>-7.0578500000000002</v>
      </c>
      <c r="R583" s="275">
        <v>-3.14839</v>
      </c>
      <c r="S583" s="275">
        <v>-2.2587199999999998</v>
      </c>
      <c r="T583" s="275">
        <v>-2.0833699999999999</v>
      </c>
      <c r="U583" s="275"/>
      <c r="V583" s="275"/>
      <c r="W583" s="275"/>
      <c r="X583" s="275"/>
      <c r="Y583" s="275"/>
      <c r="Z583" s="275"/>
      <c r="AA583" s="275"/>
    </row>
    <row r="584" spans="1:27">
      <c r="A584" s="273"/>
      <c r="B584" s="274"/>
      <c r="C584" s="207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</row>
    <row r="585" spans="1:27">
      <c r="A585" s="273">
        <v>199</v>
      </c>
      <c r="B585" s="274">
        <v>65</v>
      </c>
      <c r="C585" s="207" t="s">
        <v>152</v>
      </c>
      <c r="D585" s="275" t="s">
        <v>434</v>
      </c>
      <c r="E585" s="275" t="s">
        <v>435</v>
      </c>
      <c r="F585" s="275" t="s">
        <v>436</v>
      </c>
      <c r="G585" s="275" t="s">
        <v>437</v>
      </c>
      <c r="H585" s="275" t="s">
        <v>438</v>
      </c>
      <c r="I585" s="275" t="s">
        <v>439</v>
      </c>
      <c r="J585" s="275" t="s">
        <v>440</v>
      </c>
      <c r="K585" s="275" t="s">
        <v>441</v>
      </c>
      <c r="L585" s="275" t="s">
        <v>442</v>
      </c>
      <c r="M585" s="275" t="s">
        <v>443</v>
      </c>
      <c r="N585" s="275" t="s">
        <v>444</v>
      </c>
      <c r="O585" s="275" t="s">
        <v>445</v>
      </c>
      <c r="P585" s="275" t="s">
        <v>446</v>
      </c>
      <c r="Q585" s="275" t="s">
        <v>447</v>
      </c>
      <c r="R585" s="275" t="s">
        <v>448</v>
      </c>
      <c r="S585" s="275" t="s">
        <v>449</v>
      </c>
      <c r="T585" s="275" t="s">
        <v>450</v>
      </c>
      <c r="U585" s="275"/>
      <c r="V585" s="275"/>
      <c r="W585" s="275"/>
      <c r="X585" s="275"/>
      <c r="Y585" s="275"/>
      <c r="Z585" s="275"/>
      <c r="AA585" s="275"/>
    </row>
    <row r="586" spans="1:27">
      <c r="A586" s="273"/>
      <c r="B586" s="274"/>
      <c r="C586" s="207"/>
      <c r="D586" s="275">
        <v>-1920.52188</v>
      </c>
      <c r="E586" s="275">
        <v>-323.23424999999997</v>
      </c>
      <c r="F586" s="275">
        <v>-306.37452000000002</v>
      </c>
      <c r="G586" s="275">
        <v>-278.81392</v>
      </c>
      <c r="H586" s="275">
        <v>-73.769319999999993</v>
      </c>
      <c r="I586" s="275">
        <v>-66.454899999999995</v>
      </c>
      <c r="J586" s="275">
        <v>-60.660690000000002</v>
      </c>
      <c r="K586" s="275">
        <v>-48.232570000000003</v>
      </c>
      <c r="L586" s="275">
        <v>-46.979289999999999</v>
      </c>
      <c r="M586" s="275">
        <v>-15.681340000000001</v>
      </c>
      <c r="N586" s="275">
        <v>-12.75212</v>
      </c>
      <c r="O586" s="275">
        <v>-11.4529</v>
      </c>
      <c r="P586" s="275">
        <v>-6.5915499999999998</v>
      </c>
      <c r="Q586" s="275">
        <v>-6.3518699999999999</v>
      </c>
      <c r="R586" s="275">
        <v>-2.3676200000000001</v>
      </c>
      <c r="S586" s="275">
        <v>-1.48559</v>
      </c>
      <c r="T586" s="275">
        <v>-1.31443</v>
      </c>
      <c r="U586" s="275"/>
      <c r="V586" s="275"/>
      <c r="W586" s="275"/>
      <c r="X586" s="275"/>
      <c r="Y586" s="275"/>
      <c r="Z586" s="275"/>
      <c r="AA586" s="275"/>
    </row>
    <row r="587" spans="1:27">
      <c r="A587" s="273"/>
      <c r="B587" s="274"/>
      <c r="C587" s="207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</row>
    <row r="588" spans="1:27">
      <c r="A588" s="273">
        <v>200</v>
      </c>
      <c r="B588" s="274">
        <v>65</v>
      </c>
      <c r="C588" s="207" t="s">
        <v>373</v>
      </c>
      <c r="D588" s="275" t="s">
        <v>434</v>
      </c>
      <c r="E588" s="275" t="s">
        <v>435</v>
      </c>
      <c r="F588" s="275" t="s">
        <v>436</v>
      </c>
      <c r="G588" s="275" t="s">
        <v>437</v>
      </c>
      <c r="H588" s="275" t="s">
        <v>438</v>
      </c>
      <c r="I588" s="275" t="s">
        <v>439</v>
      </c>
      <c r="J588" s="275" t="s">
        <v>440</v>
      </c>
      <c r="K588" s="275" t="s">
        <v>441</v>
      </c>
      <c r="L588" s="275" t="s">
        <v>442</v>
      </c>
      <c r="M588" s="275" t="s">
        <v>443</v>
      </c>
      <c r="N588" s="275" t="s">
        <v>444</v>
      </c>
      <c r="O588" s="275" t="s">
        <v>445</v>
      </c>
      <c r="P588" s="275" t="s">
        <v>446</v>
      </c>
      <c r="Q588" s="275" t="s">
        <v>447</v>
      </c>
      <c r="R588" s="275" t="s">
        <v>448</v>
      </c>
      <c r="S588" s="275" t="s">
        <v>449</v>
      </c>
      <c r="T588" s="275" t="s">
        <v>450</v>
      </c>
      <c r="U588" s="275"/>
      <c r="V588" s="275"/>
      <c r="W588" s="275"/>
      <c r="X588" s="275"/>
      <c r="Y588" s="275"/>
      <c r="Z588" s="275"/>
      <c r="AA588" s="275"/>
    </row>
    <row r="589" spans="1:27">
      <c r="A589" s="273"/>
      <c r="B589" s="274"/>
      <c r="C589" s="207"/>
      <c r="D589" s="275">
        <v>-1921.50442</v>
      </c>
      <c r="E589" s="275">
        <v>-324.21829000000002</v>
      </c>
      <c r="F589" s="275">
        <v>-307.35437000000002</v>
      </c>
      <c r="G589" s="275">
        <v>-279.79624000000001</v>
      </c>
      <c r="H589" s="275">
        <v>-74.783320000000003</v>
      </c>
      <c r="I589" s="275">
        <v>-67.467169999999996</v>
      </c>
      <c r="J589" s="275">
        <v>-61.674520000000001</v>
      </c>
      <c r="K589" s="275">
        <v>-49.240299999999998</v>
      </c>
      <c r="L589" s="275">
        <v>-47.98809</v>
      </c>
      <c r="M589" s="275">
        <v>-16.68215</v>
      </c>
      <c r="N589" s="275">
        <v>-13.747920000000001</v>
      </c>
      <c r="O589" s="275">
        <v>-12.44425</v>
      </c>
      <c r="P589" s="275">
        <v>-7.5647799999999998</v>
      </c>
      <c r="Q589" s="275">
        <v>-7.3243900000000002</v>
      </c>
      <c r="R589" s="275">
        <v>-3.2199399999999998</v>
      </c>
      <c r="S589" s="275">
        <v>-2.30376</v>
      </c>
      <c r="T589" s="275">
        <v>-2.1162800000000002</v>
      </c>
      <c r="U589" s="275"/>
      <c r="V589" s="275"/>
      <c r="W589" s="275"/>
      <c r="X589" s="275"/>
      <c r="Y589" s="275"/>
      <c r="Z589" s="275"/>
      <c r="AA589" s="275"/>
    </row>
    <row r="590" spans="1:27">
      <c r="A590" s="273"/>
      <c r="B590" s="274"/>
      <c r="C590" s="207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</row>
    <row r="591" spans="1:27">
      <c r="A591" s="273">
        <v>201</v>
      </c>
      <c r="B591" s="274">
        <v>65</v>
      </c>
      <c r="C591" s="207" t="s">
        <v>153</v>
      </c>
      <c r="D591" s="275" t="s">
        <v>434</v>
      </c>
      <c r="E591" s="275" t="s">
        <v>435</v>
      </c>
      <c r="F591" s="275" t="s">
        <v>436</v>
      </c>
      <c r="G591" s="275" t="s">
        <v>437</v>
      </c>
      <c r="H591" s="275" t="s">
        <v>438</v>
      </c>
      <c r="I591" s="275" t="s">
        <v>439</v>
      </c>
      <c r="J591" s="275" t="s">
        <v>440</v>
      </c>
      <c r="K591" s="275" t="s">
        <v>441</v>
      </c>
      <c r="L591" s="275" t="s">
        <v>442</v>
      </c>
      <c r="M591" s="275" t="s">
        <v>443</v>
      </c>
      <c r="N591" s="275" t="s">
        <v>444</v>
      </c>
      <c r="O591" s="275" t="s">
        <v>445</v>
      </c>
      <c r="P591" s="275" t="s">
        <v>446</v>
      </c>
      <c r="Q591" s="275" t="s">
        <v>447</v>
      </c>
      <c r="R591" s="275" t="s">
        <v>448</v>
      </c>
      <c r="S591" s="275" t="s">
        <v>449</v>
      </c>
      <c r="T591" s="275" t="s">
        <v>450</v>
      </c>
      <c r="U591" s="275"/>
      <c r="V591" s="275"/>
      <c r="W591" s="275"/>
      <c r="X591" s="275"/>
      <c r="Y591" s="275"/>
      <c r="Z591" s="275"/>
      <c r="AA591" s="275"/>
    </row>
    <row r="592" spans="1:27">
      <c r="A592" s="273"/>
      <c r="B592" s="274"/>
      <c r="C592" s="207"/>
      <c r="D592" s="275">
        <v>-1922.2575200000001</v>
      </c>
      <c r="E592" s="275">
        <v>-325.03719000000001</v>
      </c>
      <c r="F592" s="275">
        <v>-308.16737999999998</v>
      </c>
      <c r="G592" s="275">
        <v>-280.61210999999997</v>
      </c>
      <c r="H592" s="275">
        <v>-75.639930000000007</v>
      </c>
      <c r="I592" s="275">
        <v>-68.321070000000006</v>
      </c>
      <c r="J592" s="275">
        <v>-62.529949999999999</v>
      </c>
      <c r="K592" s="275">
        <v>-50.088549999999998</v>
      </c>
      <c r="L592" s="275">
        <v>-48.837359999999997</v>
      </c>
      <c r="M592" s="275">
        <v>-17.511469999999999</v>
      </c>
      <c r="N592" s="275">
        <v>-14.56969</v>
      </c>
      <c r="O592" s="275">
        <v>-13.25895</v>
      </c>
      <c r="P592" s="275">
        <v>-8.3572399999999991</v>
      </c>
      <c r="Q592" s="275">
        <v>-8.1149699999999996</v>
      </c>
      <c r="R592" s="275">
        <v>-3.8568199999999999</v>
      </c>
      <c r="S592" s="275">
        <v>-2.90265</v>
      </c>
      <c r="T592" s="275">
        <v>-2.6976300000000002</v>
      </c>
      <c r="U592" s="275"/>
      <c r="V592" s="275"/>
      <c r="W592" s="275"/>
      <c r="X592" s="275"/>
      <c r="Y592" s="275"/>
      <c r="Z592" s="275"/>
      <c r="AA592" s="275"/>
    </row>
    <row r="593" spans="1:27">
      <c r="A593" s="273"/>
      <c r="B593" s="274"/>
      <c r="C593" s="207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</row>
    <row r="594" spans="1:27">
      <c r="A594" s="273">
        <v>202</v>
      </c>
      <c r="B594" s="274">
        <v>66</v>
      </c>
      <c r="C594" s="207" t="s">
        <v>374</v>
      </c>
      <c r="D594" s="275" t="s">
        <v>434</v>
      </c>
      <c r="E594" s="275" t="s">
        <v>435</v>
      </c>
      <c r="F594" s="275" t="s">
        <v>436</v>
      </c>
      <c r="G594" s="275" t="s">
        <v>437</v>
      </c>
      <c r="H594" s="275" t="s">
        <v>438</v>
      </c>
      <c r="I594" s="275" t="s">
        <v>439</v>
      </c>
      <c r="J594" s="275" t="s">
        <v>440</v>
      </c>
      <c r="K594" s="275" t="s">
        <v>441</v>
      </c>
      <c r="L594" s="275" t="s">
        <v>442</v>
      </c>
      <c r="M594" s="275" t="s">
        <v>443</v>
      </c>
      <c r="N594" s="275" t="s">
        <v>444</v>
      </c>
      <c r="O594" s="275" t="s">
        <v>445</v>
      </c>
      <c r="P594" s="275" t="s">
        <v>446</v>
      </c>
      <c r="Q594" s="275" t="s">
        <v>447</v>
      </c>
      <c r="R594" s="275" t="s">
        <v>448</v>
      </c>
      <c r="S594" s="275" t="s">
        <v>449</v>
      </c>
      <c r="T594" s="275" t="s">
        <v>450</v>
      </c>
      <c r="U594" s="275"/>
      <c r="V594" s="275"/>
      <c r="W594" s="275"/>
      <c r="X594" s="275"/>
      <c r="Y594" s="275"/>
      <c r="Z594" s="275"/>
      <c r="AA594" s="275"/>
    </row>
    <row r="595" spans="1:27">
      <c r="A595" s="273"/>
      <c r="B595" s="274"/>
      <c r="C595" s="207"/>
      <c r="D595" s="275">
        <v>-1987.0465799999999</v>
      </c>
      <c r="E595" s="275">
        <v>-336.06862000000001</v>
      </c>
      <c r="F595" s="275">
        <v>-318.81299000000001</v>
      </c>
      <c r="G595" s="275">
        <v>-289.27625</v>
      </c>
      <c r="H595" s="275">
        <v>-77.128609999999995</v>
      </c>
      <c r="I595" s="275">
        <v>-69.624300000000005</v>
      </c>
      <c r="J595" s="275">
        <v>-63.380319999999998</v>
      </c>
      <c r="K595" s="275">
        <v>-50.660269999999997</v>
      </c>
      <c r="L595" s="275">
        <v>-49.308129999999998</v>
      </c>
      <c r="M595" s="275">
        <v>-16.57347</v>
      </c>
      <c r="N595" s="275">
        <v>-13.55434</v>
      </c>
      <c r="O595" s="275">
        <v>-12.14873</v>
      </c>
      <c r="P595" s="275">
        <v>-7.1434499999999996</v>
      </c>
      <c r="Q595" s="275">
        <v>-6.8832100000000001</v>
      </c>
      <c r="R595" s="275">
        <v>-2.6982599999999999</v>
      </c>
      <c r="S595" s="275">
        <v>-1.79097</v>
      </c>
      <c r="T595" s="275">
        <v>-1.6071200000000001</v>
      </c>
      <c r="U595" s="275"/>
      <c r="V595" s="275"/>
      <c r="W595" s="275"/>
      <c r="X595" s="275"/>
      <c r="Y595" s="275"/>
      <c r="Z595" s="275"/>
      <c r="AA595" s="275"/>
    </row>
    <row r="596" spans="1:27">
      <c r="A596" s="273"/>
      <c r="B596" s="274"/>
      <c r="C596" s="207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</row>
    <row r="597" spans="1:27">
      <c r="A597" s="273">
        <v>203</v>
      </c>
      <c r="B597" s="274">
        <v>66</v>
      </c>
      <c r="C597" s="207" t="s">
        <v>154</v>
      </c>
      <c r="D597" s="275" t="s">
        <v>434</v>
      </c>
      <c r="E597" s="275" t="s">
        <v>435</v>
      </c>
      <c r="F597" s="275" t="s">
        <v>436</v>
      </c>
      <c r="G597" s="275" t="s">
        <v>437</v>
      </c>
      <c r="H597" s="275" t="s">
        <v>438</v>
      </c>
      <c r="I597" s="275" t="s">
        <v>439</v>
      </c>
      <c r="J597" s="275" t="s">
        <v>440</v>
      </c>
      <c r="K597" s="275" t="s">
        <v>441</v>
      </c>
      <c r="L597" s="275" t="s">
        <v>442</v>
      </c>
      <c r="M597" s="275" t="s">
        <v>443</v>
      </c>
      <c r="N597" s="275" t="s">
        <v>444</v>
      </c>
      <c r="O597" s="275" t="s">
        <v>445</v>
      </c>
      <c r="P597" s="275" t="s">
        <v>446</v>
      </c>
      <c r="Q597" s="275" t="s">
        <v>447</v>
      </c>
      <c r="R597" s="275" t="s">
        <v>448</v>
      </c>
      <c r="S597" s="275" t="s">
        <v>449</v>
      </c>
      <c r="T597" s="275" t="s">
        <v>450</v>
      </c>
      <c r="U597" s="275"/>
      <c r="V597" s="275"/>
      <c r="W597" s="275"/>
      <c r="X597" s="275"/>
      <c r="Y597" s="275"/>
      <c r="Z597" s="275"/>
      <c r="AA597" s="275"/>
    </row>
    <row r="598" spans="1:27">
      <c r="A598" s="273"/>
      <c r="B598" s="274"/>
      <c r="C598" s="207"/>
      <c r="D598" s="275">
        <v>-1987.7099000000001</v>
      </c>
      <c r="E598" s="275">
        <v>-336.78782000000001</v>
      </c>
      <c r="F598" s="275">
        <v>-319.52753000000001</v>
      </c>
      <c r="G598" s="275">
        <v>-289.99324999999999</v>
      </c>
      <c r="H598" s="275">
        <v>-77.878699999999995</v>
      </c>
      <c r="I598" s="275">
        <v>-70.372110000000006</v>
      </c>
      <c r="J598" s="275">
        <v>-64.129779999999997</v>
      </c>
      <c r="K598" s="275">
        <v>-51.403469999999999</v>
      </c>
      <c r="L598" s="275">
        <v>-50.052500000000002</v>
      </c>
      <c r="M598" s="275">
        <v>-17.311920000000001</v>
      </c>
      <c r="N598" s="275">
        <v>-14.28693</v>
      </c>
      <c r="O598" s="275">
        <v>-12.876760000000001</v>
      </c>
      <c r="P598" s="275">
        <v>-7.8534800000000002</v>
      </c>
      <c r="Q598" s="275">
        <v>-7.5925799999999999</v>
      </c>
      <c r="R598" s="275">
        <v>-3.2918500000000002</v>
      </c>
      <c r="S598" s="275">
        <v>-2.3488199999999999</v>
      </c>
      <c r="T598" s="275">
        <v>-2.1486100000000001</v>
      </c>
      <c r="U598" s="275"/>
      <c r="V598" s="275"/>
      <c r="W598" s="275"/>
      <c r="X598" s="275"/>
      <c r="Y598" s="275"/>
      <c r="Z598" s="275"/>
      <c r="AA598" s="275"/>
    </row>
    <row r="599" spans="1:27">
      <c r="A599" s="273"/>
      <c r="B599" s="274"/>
      <c r="C599" s="207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</row>
    <row r="600" spans="1:27">
      <c r="A600" s="273">
        <v>204</v>
      </c>
      <c r="B600" s="274">
        <v>67</v>
      </c>
      <c r="C600" s="207" t="s">
        <v>375</v>
      </c>
      <c r="D600" s="275" t="s">
        <v>434</v>
      </c>
      <c r="E600" s="275" t="s">
        <v>435</v>
      </c>
      <c r="F600" s="275" t="s">
        <v>436</v>
      </c>
      <c r="G600" s="275" t="s">
        <v>437</v>
      </c>
      <c r="H600" s="275" t="s">
        <v>438</v>
      </c>
      <c r="I600" s="275" t="s">
        <v>439</v>
      </c>
      <c r="J600" s="275" t="s">
        <v>440</v>
      </c>
      <c r="K600" s="275" t="s">
        <v>441</v>
      </c>
      <c r="L600" s="275" t="s">
        <v>442</v>
      </c>
      <c r="M600" s="275" t="s">
        <v>443</v>
      </c>
      <c r="N600" s="275" t="s">
        <v>444</v>
      </c>
      <c r="O600" s="275" t="s">
        <v>445</v>
      </c>
      <c r="P600" s="275" t="s">
        <v>446</v>
      </c>
      <c r="Q600" s="275" t="s">
        <v>447</v>
      </c>
      <c r="R600" s="275" t="s">
        <v>448</v>
      </c>
      <c r="S600" s="275" t="s">
        <v>449</v>
      </c>
      <c r="T600" s="275" t="s">
        <v>450</v>
      </c>
      <c r="U600" s="275"/>
      <c r="V600" s="275"/>
      <c r="W600" s="275"/>
      <c r="X600" s="275"/>
      <c r="Y600" s="275"/>
      <c r="Z600" s="275"/>
      <c r="AA600" s="275"/>
    </row>
    <row r="601" spans="1:27">
      <c r="A601" s="273"/>
      <c r="B601" s="274"/>
      <c r="C601" s="207"/>
      <c r="D601" s="275">
        <v>-2055.3088499999999</v>
      </c>
      <c r="E601" s="275">
        <v>-349.65462000000002</v>
      </c>
      <c r="F601" s="275">
        <v>-331.99621000000002</v>
      </c>
      <c r="G601" s="275">
        <v>-300.37263999999999</v>
      </c>
      <c r="H601" s="275">
        <v>-81.04616</v>
      </c>
      <c r="I601" s="275">
        <v>-73.347589999999997</v>
      </c>
      <c r="J601" s="275">
        <v>-66.628069999999994</v>
      </c>
      <c r="K601" s="275">
        <v>-53.607750000000003</v>
      </c>
      <c r="L601" s="275">
        <v>-52.152239999999999</v>
      </c>
      <c r="M601" s="275">
        <v>-17.95402</v>
      </c>
      <c r="N601" s="275">
        <v>-14.837120000000001</v>
      </c>
      <c r="O601" s="275">
        <v>-13.31385</v>
      </c>
      <c r="P601" s="275">
        <v>-8.1453600000000002</v>
      </c>
      <c r="Q601" s="275">
        <v>-7.8627200000000004</v>
      </c>
      <c r="R601" s="275">
        <v>-3.36429</v>
      </c>
      <c r="S601" s="275">
        <v>-2.3940100000000002</v>
      </c>
      <c r="T601" s="275">
        <v>-2.18045</v>
      </c>
      <c r="U601" s="275"/>
      <c r="V601" s="275"/>
      <c r="W601" s="275"/>
      <c r="X601" s="275"/>
      <c r="Y601" s="275"/>
      <c r="Z601" s="275"/>
      <c r="AA601" s="275"/>
    </row>
    <row r="602" spans="1:27">
      <c r="A602" s="273"/>
      <c r="B602" s="274"/>
      <c r="C602" s="207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</row>
    <row r="603" spans="1:27">
      <c r="A603" s="273">
        <v>205</v>
      </c>
      <c r="B603" s="274">
        <v>68</v>
      </c>
      <c r="C603" s="207" t="s">
        <v>376</v>
      </c>
      <c r="D603" s="275" t="s">
        <v>434</v>
      </c>
      <c r="E603" s="275" t="s">
        <v>435</v>
      </c>
      <c r="F603" s="275" t="s">
        <v>436</v>
      </c>
      <c r="G603" s="275" t="s">
        <v>437</v>
      </c>
      <c r="H603" s="275" t="s">
        <v>438</v>
      </c>
      <c r="I603" s="275" t="s">
        <v>439</v>
      </c>
      <c r="J603" s="275" t="s">
        <v>440</v>
      </c>
      <c r="K603" s="275" t="s">
        <v>441</v>
      </c>
      <c r="L603" s="275" t="s">
        <v>442</v>
      </c>
      <c r="M603" s="275" t="s">
        <v>443</v>
      </c>
      <c r="N603" s="275" t="s">
        <v>444</v>
      </c>
      <c r="O603" s="275" t="s">
        <v>445</v>
      </c>
      <c r="P603" s="275" t="s">
        <v>446</v>
      </c>
      <c r="Q603" s="275" t="s">
        <v>447</v>
      </c>
      <c r="R603" s="275" t="s">
        <v>448</v>
      </c>
      <c r="S603" s="275" t="s">
        <v>449</v>
      </c>
      <c r="T603" s="275" t="s">
        <v>450</v>
      </c>
      <c r="U603" s="275"/>
      <c r="V603" s="275"/>
      <c r="W603" s="275"/>
      <c r="X603" s="275"/>
      <c r="Y603" s="275"/>
      <c r="Z603" s="275"/>
      <c r="AA603" s="275"/>
    </row>
    <row r="604" spans="1:27">
      <c r="A604" s="273"/>
      <c r="B604" s="274"/>
      <c r="C604" s="207"/>
      <c r="D604" s="275">
        <v>-2124.2914700000001</v>
      </c>
      <c r="E604" s="275">
        <v>-362.82988999999998</v>
      </c>
      <c r="F604" s="275">
        <v>-344.76659999999998</v>
      </c>
      <c r="G604" s="275">
        <v>-310.93504999999999</v>
      </c>
      <c r="H604" s="275">
        <v>-84.288719999999998</v>
      </c>
      <c r="I604" s="275">
        <v>-76.395529999999994</v>
      </c>
      <c r="J604" s="275">
        <v>-69.170050000000003</v>
      </c>
      <c r="K604" s="275">
        <v>-55.85378</v>
      </c>
      <c r="L604" s="275">
        <v>-54.287739999999999</v>
      </c>
      <c r="M604" s="275">
        <v>-18.609449999999999</v>
      </c>
      <c r="N604" s="275">
        <v>-15.399190000000001</v>
      </c>
      <c r="O604" s="275">
        <v>-13.755850000000001</v>
      </c>
      <c r="P604" s="275">
        <v>-8.4407099999999993</v>
      </c>
      <c r="Q604" s="275">
        <v>-8.13504</v>
      </c>
      <c r="R604" s="275">
        <v>-3.4374199999999999</v>
      </c>
      <c r="S604" s="275">
        <v>-2.4394300000000002</v>
      </c>
      <c r="T604" s="275">
        <v>-2.2118600000000002</v>
      </c>
      <c r="U604" s="275"/>
      <c r="V604" s="275"/>
      <c r="W604" s="275"/>
      <c r="X604" s="275"/>
      <c r="Y604" s="275"/>
      <c r="Z604" s="275"/>
      <c r="AA604" s="275"/>
    </row>
    <row r="605" spans="1:27">
      <c r="A605" s="273"/>
      <c r="B605" s="274"/>
      <c r="C605" s="207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</row>
    <row r="606" spans="1:27">
      <c r="A606" s="273">
        <v>206</v>
      </c>
      <c r="B606" s="274">
        <v>69</v>
      </c>
      <c r="C606" s="207" t="s">
        <v>377</v>
      </c>
      <c r="D606" s="275" t="s">
        <v>434</v>
      </c>
      <c r="E606" s="275" t="s">
        <v>435</v>
      </c>
      <c r="F606" s="275" t="s">
        <v>436</v>
      </c>
      <c r="G606" s="275" t="s">
        <v>437</v>
      </c>
      <c r="H606" s="275" t="s">
        <v>438</v>
      </c>
      <c r="I606" s="275" t="s">
        <v>439</v>
      </c>
      <c r="J606" s="275" t="s">
        <v>440</v>
      </c>
      <c r="K606" s="275" t="s">
        <v>441</v>
      </c>
      <c r="L606" s="275" t="s">
        <v>442</v>
      </c>
      <c r="M606" s="275" t="s">
        <v>443</v>
      </c>
      <c r="N606" s="275" t="s">
        <v>444</v>
      </c>
      <c r="O606" s="275" t="s">
        <v>445</v>
      </c>
      <c r="P606" s="275" t="s">
        <v>446</v>
      </c>
      <c r="Q606" s="275" t="s">
        <v>447</v>
      </c>
      <c r="R606" s="275" t="s">
        <v>448</v>
      </c>
      <c r="S606" s="275" t="s">
        <v>449</v>
      </c>
      <c r="T606" s="275" t="s">
        <v>450</v>
      </c>
      <c r="U606" s="275"/>
      <c r="V606" s="275"/>
      <c r="W606" s="275"/>
      <c r="X606" s="275"/>
      <c r="Y606" s="275"/>
      <c r="Z606" s="275"/>
      <c r="AA606" s="275"/>
    </row>
    <row r="607" spans="1:27">
      <c r="A607" s="273"/>
      <c r="B607" s="274"/>
      <c r="C607" s="207"/>
      <c r="D607" s="275">
        <v>-2193.8842</v>
      </c>
      <c r="E607" s="275">
        <v>-375.58094999999997</v>
      </c>
      <c r="F607" s="275">
        <v>-357.10840999999999</v>
      </c>
      <c r="G607" s="275">
        <v>-320.94204000000002</v>
      </c>
      <c r="H607" s="275">
        <v>-86.840900000000005</v>
      </c>
      <c r="I607" s="275">
        <v>-78.752319999999997</v>
      </c>
      <c r="J607" s="275">
        <v>-70.988550000000004</v>
      </c>
      <c r="K607" s="275">
        <v>-57.380749999999999</v>
      </c>
      <c r="L607" s="275">
        <v>-55.696399999999997</v>
      </c>
      <c r="M607" s="275">
        <v>-18.51934</v>
      </c>
      <c r="N607" s="275">
        <v>-15.21973</v>
      </c>
      <c r="O607" s="275">
        <v>-13.45332</v>
      </c>
      <c r="P607" s="275">
        <v>-8.00746</v>
      </c>
      <c r="Q607" s="275">
        <v>-7.67746</v>
      </c>
      <c r="R607" s="275">
        <v>-2.8932600000000002</v>
      </c>
      <c r="S607" s="275">
        <v>-1.90351</v>
      </c>
      <c r="T607" s="275">
        <v>-1.6801900000000001</v>
      </c>
      <c r="U607" s="275"/>
      <c r="V607" s="275"/>
      <c r="W607" s="275"/>
      <c r="X607" s="275"/>
      <c r="Y607" s="275"/>
      <c r="Z607" s="275"/>
      <c r="AA607" s="275"/>
    </row>
    <row r="608" spans="1:27">
      <c r="A608" s="273"/>
      <c r="B608" s="274"/>
      <c r="C608" s="207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</row>
    <row r="609" spans="1:27">
      <c r="A609" s="273">
        <v>207</v>
      </c>
      <c r="B609" s="274">
        <v>69</v>
      </c>
      <c r="C609" s="207" t="s">
        <v>155</v>
      </c>
      <c r="D609" s="275" t="s">
        <v>434</v>
      </c>
      <c r="E609" s="275" t="s">
        <v>435</v>
      </c>
      <c r="F609" s="275" t="s">
        <v>436</v>
      </c>
      <c r="G609" s="275" t="s">
        <v>437</v>
      </c>
      <c r="H609" s="275" t="s">
        <v>438</v>
      </c>
      <c r="I609" s="275" t="s">
        <v>439</v>
      </c>
      <c r="J609" s="275" t="s">
        <v>440</v>
      </c>
      <c r="K609" s="275" t="s">
        <v>441</v>
      </c>
      <c r="L609" s="275" t="s">
        <v>442</v>
      </c>
      <c r="M609" s="275" t="s">
        <v>443</v>
      </c>
      <c r="N609" s="275" t="s">
        <v>444</v>
      </c>
      <c r="O609" s="275" t="s">
        <v>445</v>
      </c>
      <c r="P609" s="275" t="s">
        <v>446</v>
      </c>
      <c r="Q609" s="275" t="s">
        <v>447</v>
      </c>
      <c r="R609" s="275" t="s">
        <v>448</v>
      </c>
      <c r="S609" s="275" t="s">
        <v>449</v>
      </c>
      <c r="T609" s="275" t="s">
        <v>450</v>
      </c>
      <c r="U609" s="275"/>
      <c r="V609" s="275"/>
      <c r="W609" s="275"/>
      <c r="X609" s="275"/>
      <c r="Y609" s="275"/>
      <c r="Z609" s="275"/>
      <c r="AA609" s="275"/>
    </row>
    <row r="610" spans="1:27">
      <c r="A610" s="273"/>
      <c r="B610" s="274"/>
      <c r="C610" s="207"/>
      <c r="D610" s="275">
        <v>-2194.6882099999998</v>
      </c>
      <c r="E610" s="275">
        <v>-376.32029</v>
      </c>
      <c r="F610" s="275">
        <v>-357.84325000000001</v>
      </c>
      <c r="G610" s="275">
        <v>-321.67946999999998</v>
      </c>
      <c r="H610" s="275">
        <v>-87.609179999999995</v>
      </c>
      <c r="I610" s="275">
        <v>-79.518240000000006</v>
      </c>
      <c r="J610" s="275">
        <v>-71.756180000000001</v>
      </c>
      <c r="K610" s="275">
        <v>-58.14199</v>
      </c>
      <c r="L610" s="275">
        <v>-56.45919</v>
      </c>
      <c r="M610" s="275">
        <v>-19.279039999999998</v>
      </c>
      <c r="N610" s="275">
        <v>-15.97381</v>
      </c>
      <c r="O610" s="275">
        <v>-14.20307</v>
      </c>
      <c r="P610" s="275">
        <v>-8.7397799999999997</v>
      </c>
      <c r="Q610" s="275">
        <v>-8.4097200000000001</v>
      </c>
      <c r="R610" s="275">
        <v>-3.5114000000000001</v>
      </c>
      <c r="S610" s="275">
        <v>-2.4851899999999998</v>
      </c>
      <c r="T610" s="275">
        <v>-2.2429199999999998</v>
      </c>
      <c r="U610" s="275"/>
      <c r="V610" s="275"/>
      <c r="W610" s="275"/>
      <c r="X610" s="275"/>
      <c r="Y610" s="275"/>
      <c r="Z610" s="275"/>
      <c r="AA610" s="275"/>
    </row>
    <row r="611" spans="1:27">
      <c r="A611" s="273"/>
      <c r="B611" s="274"/>
      <c r="C611" s="207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</row>
    <row r="612" spans="1:27">
      <c r="A612" s="273">
        <v>208</v>
      </c>
      <c r="B612" s="274">
        <v>70</v>
      </c>
      <c r="C612" s="207" t="s">
        <v>378</v>
      </c>
      <c r="D612" s="275" t="s">
        <v>434</v>
      </c>
      <c r="E612" s="275" t="s">
        <v>435</v>
      </c>
      <c r="F612" s="275" t="s">
        <v>436</v>
      </c>
      <c r="G612" s="275" t="s">
        <v>437</v>
      </c>
      <c r="H612" s="275" t="s">
        <v>438</v>
      </c>
      <c r="I612" s="275" t="s">
        <v>439</v>
      </c>
      <c r="J612" s="275" t="s">
        <v>440</v>
      </c>
      <c r="K612" s="275" t="s">
        <v>441</v>
      </c>
      <c r="L612" s="275" t="s">
        <v>442</v>
      </c>
      <c r="M612" s="275" t="s">
        <v>443</v>
      </c>
      <c r="N612" s="275" t="s">
        <v>444</v>
      </c>
      <c r="O612" s="275" t="s">
        <v>445</v>
      </c>
      <c r="P612" s="275" t="s">
        <v>446</v>
      </c>
      <c r="Q612" s="275" t="s">
        <v>447</v>
      </c>
      <c r="R612" s="275" t="s">
        <v>448</v>
      </c>
      <c r="S612" s="275" t="s">
        <v>449</v>
      </c>
      <c r="T612" s="275" t="s">
        <v>450</v>
      </c>
      <c r="U612" s="275"/>
      <c r="V612" s="275"/>
      <c r="W612" s="275"/>
      <c r="X612" s="275"/>
      <c r="Y612" s="275"/>
      <c r="Z612" s="275"/>
      <c r="AA612" s="275"/>
    </row>
    <row r="613" spans="1:27">
      <c r="A613" s="273"/>
      <c r="B613" s="274"/>
      <c r="C613" s="207"/>
      <c r="D613" s="275">
        <v>-2265.7787899999998</v>
      </c>
      <c r="E613" s="275">
        <v>-389.38569999999999</v>
      </c>
      <c r="F613" s="275">
        <v>-370.49779000000001</v>
      </c>
      <c r="G613" s="275">
        <v>-331.86944999999997</v>
      </c>
      <c r="H613" s="275">
        <v>-90.23339</v>
      </c>
      <c r="I613" s="275">
        <v>-81.945800000000006</v>
      </c>
      <c r="J613" s="275">
        <v>-73.613460000000003</v>
      </c>
      <c r="K613" s="275">
        <v>-59.705880000000001</v>
      </c>
      <c r="L613" s="275">
        <v>-57.898139999999998</v>
      </c>
      <c r="M613" s="275">
        <v>-19.19661</v>
      </c>
      <c r="N613" s="275">
        <v>-15.800739999999999</v>
      </c>
      <c r="O613" s="275">
        <v>-13.89913</v>
      </c>
      <c r="P613" s="275">
        <v>-8.3034400000000002</v>
      </c>
      <c r="Q613" s="275">
        <v>-7.9473900000000004</v>
      </c>
      <c r="R613" s="275">
        <v>-2.9601600000000001</v>
      </c>
      <c r="S613" s="275">
        <v>-1.9419299999999999</v>
      </c>
      <c r="T613" s="275">
        <v>-1.7040900000000001</v>
      </c>
      <c r="U613" s="275"/>
      <c r="V613" s="275"/>
      <c r="W613" s="275"/>
      <c r="X613" s="275"/>
      <c r="Y613" s="275"/>
      <c r="Z613" s="275"/>
      <c r="AA613" s="275"/>
    </row>
    <row r="614" spans="1:27">
      <c r="A614" s="273"/>
      <c r="B614" s="274"/>
      <c r="C614" s="207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</row>
    <row r="615" spans="1:27">
      <c r="A615" s="273">
        <v>209</v>
      </c>
      <c r="B615" s="274">
        <v>70</v>
      </c>
      <c r="C615" s="207" t="s">
        <v>156</v>
      </c>
      <c r="D615" s="275" t="s">
        <v>434</v>
      </c>
      <c r="E615" s="275" t="s">
        <v>435</v>
      </c>
      <c r="F615" s="275" t="s">
        <v>436</v>
      </c>
      <c r="G615" s="275" t="s">
        <v>437</v>
      </c>
      <c r="H615" s="275" t="s">
        <v>438</v>
      </c>
      <c r="I615" s="275" t="s">
        <v>439</v>
      </c>
      <c r="J615" s="275" t="s">
        <v>440</v>
      </c>
      <c r="K615" s="275" t="s">
        <v>441</v>
      </c>
      <c r="L615" s="275" t="s">
        <v>442</v>
      </c>
      <c r="M615" s="275" t="s">
        <v>443</v>
      </c>
      <c r="N615" s="275" t="s">
        <v>444</v>
      </c>
      <c r="O615" s="275" t="s">
        <v>445</v>
      </c>
      <c r="P615" s="275" t="s">
        <v>446</v>
      </c>
      <c r="Q615" s="275" t="s">
        <v>447</v>
      </c>
      <c r="R615" s="275" t="s">
        <v>448</v>
      </c>
      <c r="S615" s="275" t="s">
        <v>449</v>
      </c>
      <c r="T615" s="275" t="s">
        <v>450</v>
      </c>
      <c r="U615" s="275"/>
      <c r="V615" s="275"/>
      <c r="W615" s="275"/>
      <c r="X615" s="275"/>
      <c r="Y615" s="275"/>
      <c r="Z615" s="275"/>
      <c r="AA615" s="275"/>
    </row>
    <row r="616" spans="1:27">
      <c r="A616" s="273"/>
      <c r="B616" s="274"/>
      <c r="C616" s="207"/>
      <c r="D616" s="275">
        <v>-2266.4878100000001</v>
      </c>
      <c r="E616" s="275">
        <v>-390.1266</v>
      </c>
      <c r="F616" s="275">
        <v>-371.23415999999997</v>
      </c>
      <c r="G616" s="275">
        <v>-332.60849999999999</v>
      </c>
      <c r="H616" s="275">
        <v>-91.007689999999997</v>
      </c>
      <c r="I616" s="275">
        <v>-82.717209999999994</v>
      </c>
      <c r="J616" s="275">
        <v>-74.387</v>
      </c>
      <c r="K616" s="275">
        <v>-60.472839999999998</v>
      </c>
      <c r="L616" s="275">
        <v>-58.666809999999998</v>
      </c>
      <c r="M616" s="275">
        <v>-19.963100000000001</v>
      </c>
      <c r="N616" s="275">
        <v>-16.56165</v>
      </c>
      <c r="O616" s="275">
        <v>-14.65584</v>
      </c>
      <c r="P616" s="275">
        <v>-9.04284</v>
      </c>
      <c r="Q616" s="275">
        <v>-8.6869800000000001</v>
      </c>
      <c r="R616" s="275">
        <v>-3.5862799999999999</v>
      </c>
      <c r="S616" s="275">
        <v>-2.53138</v>
      </c>
      <c r="T616" s="275">
        <v>-2.2736700000000001</v>
      </c>
      <c r="U616" s="275"/>
      <c r="V616" s="275"/>
      <c r="W616" s="275"/>
      <c r="X616" s="275"/>
      <c r="Y616" s="275"/>
      <c r="Z616" s="275"/>
      <c r="AA616" s="275"/>
    </row>
    <row r="617" spans="1:27">
      <c r="A617" s="273"/>
      <c r="B617" s="274"/>
      <c r="C617" s="207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</row>
    <row r="618" spans="1:27">
      <c r="A618" s="273">
        <v>210</v>
      </c>
      <c r="B618" s="274">
        <v>71</v>
      </c>
      <c r="C618" s="207" t="s">
        <v>379</v>
      </c>
      <c r="D618" s="275" t="s">
        <v>434</v>
      </c>
      <c r="E618" s="275" t="s">
        <v>435</v>
      </c>
      <c r="F618" s="275" t="s">
        <v>436</v>
      </c>
      <c r="G618" s="275" t="s">
        <v>437</v>
      </c>
      <c r="H618" s="275" t="s">
        <v>438</v>
      </c>
      <c r="I618" s="275" t="s">
        <v>439</v>
      </c>
      <c r="J618" s="275" t="s">
        <v>440</v>
      </c>
      <c r="K618" s="275" t="s">
        <v>441</v>
      </c>
      <c r="L618" s="275" t="s">
        <v>442</v>
      </c>
      <c r="M618" s="275" t="s">
        <v>443</v>
      </c>
      <c r="N618" s="275" t="s">
        <v>444</v>
      </c>
      <c r="O618" s="275" t="s">
        <v>445</v>
      </c>
      <c r="P618" s="275" t="s">
        <v>446</v>
      </c>
      <c r="Q618" s="275" t="s">
        <v>447</v>
      </c>
      <c r="R618" s="275" t="s">
        <v>448</v>
      </c>
      <c r="S618" s="275" t="s">
        <v>449</v>
      </c>
      <c r="T618" s="275" t="s">
        <v>450</v>
      </c>
      <c r="U618" s="275"/>
      <c r="V618" s="275"/>
      <c r="W618" s="275"/>
      <c r="X618" s="275"/>
      <c r="Y618" s="275"/>
      <c r="Z618" s="275"/>
      <c r="AA618" s="275"/>
    </row>
    <row r="619" spans="1:27">
      <c r="A619" s="273"/>
      <c r="B619" s="274"/>
      <c r="C619" s="207"/>
      <c r="D619" s="275">
        <v>-2339.7523900000001</v>
      </c>
      <c r="E619" s="275">
        <v>-404.25943999999998</v>
      </c>
      <c r="F619" s="275">
        <v>-384.94463000000002</v>
      </c>
      <c r="G619" s="275">
        <v>-343.72127999999998</v>
      </c>
      <c r="H619" s="275">
        <v>-94.487030000000004</v>
      </c>
      <c r="I619" s="275">
        <v>-85.994669999999999</v>
      </c>
      <c r="J619" s="275">
        <v>-77.063019999999995</v>
      </c>
      <c r="K619" s="275">
        <v>-62.846899999999998</v>
      </c>
      <c r="L619" s="275">
        <v>-60.91093</v>
      </c>
      <c r="M619" s="275">
        <v>-20.662579999999998</v>
      </c>
      <c r="N619" s="275">
        <v>-17.163350000000001</v>
      </c>
      <c r="O619" s="275">
        <v>-15.11436</v>
      </c>
      <c r="P619" s="275">
        <v>-9.3500700000000005</v>
      </c>
      <c r="Q619" s="275">
        <v>-8.9669399999999992</v>
      </c>
      <c r="R619" s="275">
        <v>-3.6622400000000002</v>
      </c>
      <c r="S619" s="275">
        <v>-2.5780699999999999</v>
      </c>
      <c r="T619" s="275">
        <v>-2.3041499999999999</v>
      </c>
      <c r="U619" s="275"/>
      <c r="V619" s="275"/>
      <c r="W619" s="275"/>
      <c r="X619" s="275"/>
      <c r="Y619" s="275"/>
      <c r="Z619" s="275"/>
      <c r="AA619" s="275"/>
    </row>
    <row r="620" spans="1:27">
      <c r="A620" s="273"/>
      <c r="B620" s="274"/>
      <c r="C620" s="207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</row>
    <row r="621" spans="1:27">
      <c r="A621" s="273">
        <v>211</v>
      </c>
      <c r="B621" s="274">
        <v>72</v>
      </c>
      <c r="C621" s="207" t="s">
        <v>380</v>
      </c>
      <c r="D621" s="275" t="s">
        <v>434</v>
      </c>
      <c r="E621" s="275" t="s">
        <v>435</v>
      </c>
      <c r="F621" s="275" t="s">
        <v>436</v>
      </c>
      <c r="G621" s="275" t="s">
        <v>437</v>
      </c>
      <c r="H621" s="275" t="s">
        <v>438</v>
      </c>
      <c r="I621" s="275" t="s">
        <v>439</v>
      </c>
      <c r="J621" s="275" t="s">
        <v>440</v>
      </c>
      <c r="K621" s="275" t="s">
        <v>441</v>
      </c>
      <c r="L621" s="275" t="s">
        <v>442</v>
      </c>
      <c r="M621" s="275" t="s">
        <v>443</v>
      </c>
      <c r="N621" s="275" t="s">
        <v>444</v>
      </c>
      <c r="O621" s="275" t="s">
        <v>445</v>
      </c>
      <c r="P621" s="275" t="s">
        <v>446</v>
      </c>
      <c r="Q621" s="275" t="s">
        <v>447</v>
      </c>
      <c r="R621" s="275" t="s">
        <v>448</v>
      </c>
      <c r="S621" s="275" t="s">
        <v>449</v>
      </c>
      <c r="T621" s="275" t="s">
        <v>450</v>
      </c>
      <c r="U621" s="275"/>
      <c r="V621" s="275"/>
      <c r="W621" s="275"/>
      <c r="X621" s="275"/>
      <c r="Y621" s="275"/>
      <c r="Z621" s="275"/>
      <c r="AA621" s="275"/>
    </row>
    <row r="622" spans="1:27">
      <c r="A622" s="273"/>
      <c r="B622" s="274"/>
      <c r="C622" s="207"/>
      <c r="D622" s="275">
        <v>-2414.3504600000001</v>
      </c>
      <c r="E622" s="275">
        <v>-418.62500999999997</v>
      </c>
      <c r="F622" s="275">
        <v>-398.87369999999999</v>
      </c>
      <c r="G622" s="275">
        <v>-354.91386</v>
      </c>
      <c r="H622" s="275">
        <v>-97.985519999999994</v>
      </c>
      <c r="I622" s="275">
        <v>-89.284610000000001</v>
      </c>
      <c r="J622" s="275">
        <v>-79.719229999999996</v>
      </c>
      <c r="K622" s="275">
        <v>-65.191730000000007</v>
      </c>
      <c r="L622" s="275">
        <v>-63.120620000000002</v>
      </c>
      <c r="M622" s="275">
        <v>-21.296610000000001</v>
      </c>
      <c r="N622" s="275">
        <v>-17.691859999999998</v>
      </c>
      <c r="O622" s="275">
        <v>-15.482799999999999</v>
      </c>
      <c r="P622" s="275">
        <v>-9.5477799999999995</v>
      </c>
      <c r="Q622" s="275">
        <v>-9.1341199999999994</v>
      </c>
      <c r="R622" s="275">
        <v>-3.4912399999999999</v>
      </c>
      <c r="S622" s="275">
        <v>-2.36714</v>
      </c>
      <c r="T622" s="275">
        <v>-2.0644900000000002</v>
      </c>
      <c r="U622" s="275"/>
      <c r="V622" s="275"/>
      <c r="W622" s="275"/>
      <c r="X622" s="275"/>
      <c r="Y622" s="275"/>
      <c r="Z622" s="275"/>
      <c r="AA622" s="275"/>
    </row>
    <row r="623" spans="1:27">
      <c r="A623" s="273"/>
      <c r="B623" s="274"/>
      <c r="C623" s="207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</row>
    <row r="624" spans="1:27">
      <c r="A624" s="273">
        <v>212</v>
      </c>
      <c r="B624" s="274">
        <v>72</v>
      </c>
      <c r="C624" s="207" t="s">
        <v>157</v>
      </c>
      <c r="D624" s="275" t="s">
        <v>434</v>
      </c>
      <c r="E624" s="275" t="s">
        <v>435</v>
      </c>
      <c r="F624" s="275" t="s">
        <v>436</v>
      </c>
      <c r="G624" s="275" t="s">
        <v>437</v>
      </c>
      <c r="H624" s="275" t="s">
        <v>438</v>
      </c>
      <c r="I624" s="275" t="s">
        <v>439</v>
      </c>
      <c r="J624" s="275" t="s">
        <v>440</v>
      </c>
      <c r="K624" s="275" t="s">
        <v>441</v>
      </c>
      <c r="L624" s="275" t="s">
        <v>442</v>
      </c>
      <c r="M624" s="275" t="s">
        <v>443</v>
      </c>
      <c r="N624" s="275" t="s">
        <v>444</v>
      </c>
      <c r="O624" s="275" t="s">
        <v>445</v>
      </c>
      <c r="P624" s="275" t="s">
        <v>446</v>
      </c>
      <c r="Q624" s="275" t="s">
        <v>447</v>
      </c>
      <c r="R624" s="275" t="s">
        <v>448</v>
      </c>
      <c r="S624" s="275" t="s">
        <v>449</v>
      </c>
      <c r="T624" s="275" t="s">
        <v>450</v>
      </c>
      <c r="U624" s="275"/>
      <c r="V624" s="275"/>
      <c r="W624" s="275"/>
      <c r="X624" s="275"/>
      <c r="Y624" s="275"/>
      <c r="Z624" s="275"/>
      <c r="AA624" s="275"/>
    </row>
    <row r="625" spans="1:27">
      <c r="A625" s="273"/>
      <c r="B625" s="274"/>
      <c r="C625" s="207"/>
      <c r="D625" s="275">
        <v>-2414.8037100000001</v>
      </c>
      <c r="E625" s="275">
        <v>-419.08242000000001</v>
      </c>
      <c r="F625" s="275">
        <v>-399.33105999999998</v>
      </c>
      <c r="G625" s="275">
        <v>-355.37126000000001</v>
      </c>
      <c r="H625" s="275">
        <v>-98.437889999999996</v>
      </c>
      <c r="I625" s="275">
        <v>-89.73715</v>
      </c>
      <c r="J625" s="275">
        <v>-80.171660000000003</v>
      </c>
      <c r="K625" s="275">
        <v>-65.644139999999993</v>
      </c>
      <c r="L625" s="275">
        <v>-63.573050000000002</v>
      </c>
      <c r="M625" s="275">
        <v>-21.749549999999999</v>
      </c>
      <c r="N625" s="275">
        <v>-18.144590000000001</v>
      </c>
      <c r="O625" s="275">
        <v>-15.936199999999999</v>
      </c>
      <c r="P625" s="275">
        <v>-10.00027</v>
      </c>
      <c r="Q625" s="275">
        <v>-9.5869300000000006</v>
      </c>
      <c r="R625" s="275">
        <v>-3.9390000000000001</v>
      </c>
      <c r="S625" s="275">
        <v>-2.8017699999999999</v>
      </c>
      <c r="T625" s="275">
        <v>-2.4937</v>
      </c>
      <c r="U625" s="275"/>
      <c r="V625" s="275"/>
      <c r="W625" s="275"/>
      <c r="X625" s="275"/>
      <c r="Y625" s="275"/>
      <c r="Z625" s="275"/>
      <c r="AA625" s="275"/>
    </row>
    <row r="626" spans="1:27">
      <c r="A626" s="273"/>
      <c r="B626" s="274"/>
      <c r="C626" s="207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</row>
    <row r="627" spans="1:27">
      <c r="A627" s="273">
        <v>213</v>
      </c>
      <c r="B627" s="274">
        <v>72</v>
      </c>
      <c r="C627" s="207" t="s">
        <v>158</v>
      </c>
      <c r="D627" s="275" t="s">
        <v>434</v>
      </c>
      <c r="E627" s="275" t="s">
        <v>435</v>
      </c>
      <c r="F627" s="275" t="s">
        <v>436</v>
      </c>
      <c r="G627" s="275" t="s">
        <v>437</v>
      </c>
      <c r="H627" s="275" t="s">
        <v>438</v>
      </c>
      <c r="I627" s="275" t="s">
        <v>439</v>
      </c>
      <c r="J627" s="275" t="s">
        <v>440</v>
      </c>
      <c r="K627" s="275" t="s">
        <v>441</v>
      </c>
      <c r="L627" s="275" t="s">
        <v>442</v>
      </c>
      <c r="M627" s="275" t="s">
        <v>443</v>
      </c>
      <c r="N627" s="275" t="s">
        <v>444</v>
      </c>
      <c r="O627" s="275" t="s">
        <v>445</v>
      </c>
      <c r="P627" s="275" t="s">
        <v>446</v>
      </c>
      <c r="Q627" s="275" t="s">
        <v>447</v>
      </c>
      <c r="R627" s="275" t="s">
        <v>448</v>
      </c>
      <c r="S627" s="275" t="s">
        <v>449</v>
      </c>
      <c r="T627" s="275" t="s">
        <v>450</v>
      </c>
      <c r="U627" s="275"/>
      <c r="V627" s="275"/>
      <c r="W627" s="275"/>
      <c r="X627" s="275"/>
      <c r="Y627" s="275"/>
      <c r="Z627" s="275"/>
      <c r="AA627" s="275"/>
    </row>
    <row r="628" spans="1:27">
      <c r="A628" s="273"/>
      <c r="B628" s="274"/>
      <c r="C628" s="207"/>
      <c r="D628" s="275">
        <v>-2415.3166999999999</v>
      </c>
      <c r="E628" s="275">
        <v>-419.5949</v>
      </c>
      <c r="F628" s="275">
        <v>-399.84352999999999</v>
      </c>
      <c r="G628" s="275">
        <v>-355.88371999999998</v>
      </c>
      <c r="H628" s="275">
        <v>-98.947180000000003</v>
      </c>
      <c r="I628" s="275">
        <v>-90.246719999999996</v>
      </c>
      <c r="J628" s="275">
        <v>-80.680989999999994</v>
      </c>
      <c r="K628" s="275">
        <v>-66.153580000000005</v>
      </c>
      <c r="L628" s="275">
        <v>-64.082449999999994</v>
      </c>
      <c r="M628" s="275">
        <v>-22.258579999999998</v>
      </c>
      <c r="N628" s="275">
        <v>-18.65333</v>
      </c>
      <c r="O628" s="275">
        <v>-16.445699999999999</v>
      </c>
      <c r="P628" s="275">
        <v>-10.50855</v>
      </c>
      <c r="Q628" s="275">
        <v>-10.09554</v>
      </c>
      <c r="R628" s="275">
        <v>-4.4366000000000003</v>
      </c>
      <c r="S628" s="275">
        <v>-3.28267</v>
      </c>
      <c r="T628" s="275">
        <v>-2.9672700000000001</v>
      </c>
      <c r="U628" s="275"/>
      <c r="V628" s="275"/>
      <c r="W628" s="275"/>
      <c r="X628" s="275"/>
      <c r="Y628" s="275"/>
      <c r="Z628" s="275"/>
      <c r="AA628" s="275"/>
    </row>
    <row r="629" spans="1:27">
      <c r="A629" s="273"/>
      <c r="B629" s="274"/>
      <c r="C629" s="207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</row>
    <row r="630" spans="1:27">
      <c r="A630" s="273">
        <v>214</v>
      </c>
      <c r="B630" s="274">
        <v>73</v>
      </c>
      <c r="C630" s="207" t="s">
        <v>381</v>
      </c>
      <c r="D630" s="275" t="s">
        <v>434</v>
      </c>
      <c r="E630" s="275" t="s">
        <v>435</v>
      </c>
      <c r="F630" s="275" t="s">
        <v>436</v>
      </c>
      <c r="G630" s="275" t="s">
        <v>437</v>
      </c>
      <c r="H630" s="275" t="s">
        <v>438</v>
      </c>
      <c r="I630" s="275" t="s">
        <v>439</v>
      </c>
      <c r="J630" s="275" t="s">
        <v>440</v>
      </c>
      <c r="K630" s="275" t="s">
        <v>441</v>
      </c>
      <c r="L630" s="275" t="s">
        <v>442</v>
      </c>
      <c r="M630" s="275" t="s">
        <v>443</v>
      </c>
      <c r="N630" s="275" t="s">
        <v>444</v>
      </c>
      <c r="O630" s="275" t="s">
        <v>445</v>
      </c>
      <c r="P630" s="275" t="s">
        <v>446</v>
      </c>
      <c r="Q630" s="275" t="s">
        <v>447</v>
      </c>
      <c r="R630" s="275" t="s">
        <v>448</v>
      </c>
      <c r="S630" s="275" t="s">
        <v>449</v>
      </c>
      <c r="T630" s="275" t="s">
        <v>450</v>
      </c>
      <c r="U630" s="275"/>
      <c r="V630" s="275"/>
      <c r="W630" s="275"/>
      <c r="X630" s="275"/>
      <c r="Y630" s="275"/>
      <c r="Z630" s="275"/>
      <c r="AA630" s="275"/>
    </row>
    <row r="631" spans="1:27">
      <c r="A631" s="273"/>
      <c r="B631" s="274"/>
      <c r="C631" s="207"/>
      <c r="D631" s="275">
        <v>-2490.9153700000002</v>
      </c>
      <c r="E631" s="275">
        <v>-433.79946999999999</v>
      </c>
      <c r="F631" s="275">
        <v>-413.60622000000001</v>
      </c>
      <c r="G631" s="275">
        <v>-366.76220999999998</v>
      </c>
      <c r="H631" s="275">
        <v>-102.04134999999999</v>
      </c>
      <c r="I631" s="275">
        <v>-93.129390000000001</v>
      </c>
      <c r="J631" s="275">
        <v>-82.893919999999994</v>
      </c>
      <c r="K631" s="275">
        <v>-68.052149999999997</v>
      </c>
      <c r="L631" s="275">
        <v>-65.839010000000002</v>
      </c>
      <c r="M631" s="275">
        <v>-22.413399999999999</v>
      </c>
      <c r="N631" s="275">
        <v>-18.70091</v>
      </c>
      <c r="O631" s="275">
        <v>-16.321269999999998</v>
      </c>
      <c r="P631" s="275">
        <v>-10.211790000000001</v>
      </c>
      <c r="Q631" s="275">
        <v>-9.7655799999999999</v>
      </c>
      <c r="R631" s="275">
        <v>-3.76146</v>
      </c>
      <c r="S631" s="275">
        <v>-2.5837699999999999</v>
      </c>
      <c r="T631" s="275">
        <v>-2.2439800000000001</v>
      </c>
      <c r="U631" s="275"/>
      <c r="V631" s="275"/>
      <c r="W631" s="275"/>
      <c r="X631" s="275"/>
      <c r="Y631" s="275"/>
      <c r="Z631" s="275"/>
      <c r="AA631" s="275"/>
    </row>
    <row r="632" spans="1:27">
      <c r="A632" s="273"/>
      <c r="B632" s="274"/>
      <c r="C632" s="207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</row>
    <row r="633" spans="1:27">
      <c r="A633" s="273">
        <v>215</v>
      </c>
      <c r="B633" s="274">
        <v>73</v>
      </c>
      <c r="C633" s="207" t="s">
        <v>159</v>
      </c>
      <c r="D633" s="275" t="s">
        <v>434</v>
      </c>
      <c r="E633" s="275" t="s">
        <v>435</v>
      </c>
      <c r="F633" s="275" t="s">
        <v>436</v>
      </c>
      <c r="G633" s="275" t="s">
        <v>437</v>
      </c>
      <c r="H633" s="275" t="s">
        <v>438</v>
      </c>
      <c r="I633" s="275" t="s">
        <v>439</v>
      </c>
      <c r="J633" s="275" t="s">
        <v>440</v>
      </c>
      <c r="K633" s="275" t="s">
        <v>441</v>
      </c>
      <c r="L633" s="275" t="s">
        <v>442</v>
      </c>
      <c r="M633" s="275" t="s">
        <v>443</v>
      </c>
      <c r="N633" s="275" t="s">
        <v>444</v>
      </c>
      <c r="O633" s="275" t="s">
        <v>445</v>
      </c>
      <c r="P633" s="275" t="s">
        <v>446</v>
      </c>
      <c r="Q633" s="275" t="s">
        <v>447</v>
      </c>
      <c r="R633" s="275" t="s">
        <v>448</v>
      </c>
      <c r="S633" s="275" t="s">
        <v>449</v>
      </c>
      <c r="T633" s="275" t="s">
        <v>450</v>
      </c>
      <c r="U633" s="275"/>
      <c r="V633" s="275"/>
      <c r="W633" s="275"/>
      <c r="X633" s="275"/>
      <c r="Y633" s="275"/>
      <c r="Z633" s="275"/>
      <c r="AA633" s="275"/>
    </row>
    <row r="634" spans="1:27">
      <c r="A634" s="273"/>
      <c r="B634" s="274"/>
      <c r="C634" s="207"/>
      <c r="D634" s="275">
        <v>-2491.5122500000002</v>
      </c>
      <c r="E634" s="275">
        <v>-434.26907999999997</v>
      </c>
      <c r="F634" s="275">
        <v>-414.07569000000001</v>
      </c>
      <c r="G634" s="275">
        <v>-367.23178000000001</v>
      </c>
      <c r="H634" s="275">
        <v>-102.50859</v>
      </c>
      <c r="I634" s="275">
        <v>-93.596860000000007</v>
      </c>
      <c r="J634" s="275">
        <v>-83.361249999999998</v>
      </c>
      <c r="K634" s="275">
        <v>-68.519409999999993</v>
      </c>
      <c r="L634" s="275">
        <v>-66.306169999999995</v>
      </c>
      <c r="M634" s="275">
        <v>-22.88062</v>
      </c>
      <c r="N634" s="275">
        <v>-19.167850000000001</v>
      </c>
      <c r="O634" s="275">
        <v>-16.78876</v>
      </c>
      <c r="P634" s="275">
        <v>-10.67825</v>
      </c>
      <c r="Q634" s="275">
        <v>-10.23231</v>
      </c>
      <c r="R634" s="275">
        <v>-4.22105</v>
      </c>
      <c r="S634" s="275">
        <v>-3.0303499999999999</v>
      </c>
      <c r="T634" s="275">
        <v>-2.68499</v>
      </c>
      <c r="U634" s="275"/>
      <c r="V634" s="275"/>
      <c r="W634" s="275"/>
      <c r="X634" s="275"/>
      <c r="Y634" s="275"/>
      <c r="Z634" s="275"/>
      <c r="AA634" s="275"/>
    </row>
    <row r="635" spans="1:27">
      <c r="A635" s="273"/>
      <c r="B635" s="274"/>
      <c r="C635" s="207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</row>
    <row r="636" spans="1:27">
      <c r="A636" s="273">
        <v>216</v>
      </c>
      <c r="B636" s="274">
        <v>73</v>
      </c>
      <c r="C636" s="207" t="s">
        <v>160</v>
      </c>
      <c r="D636" s="275" t="s">
        <v>434</v>
      </c>
      <c r="E636" s="275" t="s">
        <v>435</v>
      </c>
      <c r="F636" s="275" t="s">
        <v>436</v>
      </c>
      <c r="G636" s="275" t="s">
        <v>437</v>
      </c>
      <c r="H636" s="275" t="s">
        <v>438</v>
      </c>
      <c r="I636" s="275" t="s">
        <v>439</v>
      </c>
      <c r="J636" s="275" t="s">
        <v>440</v>
      </c>
      <c r="K636" s="275" t="s">
        <v>441</v>
      </c>
      <c r="L636" s="275" t="s">
        <v>442</v>
      </c>
      <c r="M636" s="275" t="s">
        <v>443</v>
      </c>
      <c r="N636" s="275" t="s">
        <v>444</v>
      </c>
      <c r="O636" s="275" t="s">
        <v>445</v>
      </c>
      <c r="P636" s="275" t="s">
        <v>446</v>
      </c>
      <c r="Q636" s="275" t="s">
        <v>447</v>
      </c>
      <c r="R636" s="275" t="s">
        <v>448</v>
      </c>
      <c r="S636" s="275" t="s">
        <v>449</v>
      </c>
      <c r="T636" s="275" t="s">
        <v>450</v>
      </c>
      <c r="U636" s="275"/>
      <c r="V636" s="275"/>
      <c r="W636" s="275"/>
      <c r="X636" s="275"/>
      <c r="Y636" s="275"/>
      <c r="Z636" s="275"/>
      <c r="AA636" s="275"/>
    </row>
    <row r="637" spans="1:27">
      <c r="A637" s="273"/>
      <c r="B637" s="274"/>
      <c r="C637" s="207"/>
      <c r="D637" s="275">
        <v>-2491.9115900000002</v>
      </c>
      <c r="E637" s="275">
        <v>-434.79428999999999</v>
      </c>
      <c r="F637" s="275">
        <v>-414.60082</v>
      </c>
      <c r="G637" s="275">
        <v>-367.75695999999999</v>
      </c>
      <c r="H637" s="275">
        <v>-103.03162</v>
      </c>
      <c r="I637" s="275">
        <v>-94.120069999999998</v>
      </c>
      <c r="J637" s="275">
        <v>-83.884240000000005</v>
      </c>
      <c r="K637" s="275">
        <v>-69.042500000000004</v>
      </c>
      <c r="L637" s="275">
        <v>-66.829229999999995</v>
      </c>
      <c r="M637" s="275">
        <v>-23.40277</v>
      </c>
      <c r="N637" s="275">
        <v>-19.68965</v>
      </c>
      <c r="O637" s="275">
        <v>-17.311170000000001</v>
      </c>
      <c r="P637" s="275">
        <v>-11.199260000000001</v>
      </c>
      <c r="Q637" s="275">
        <v>-10.753590000000001</v>
      </c>
      <c r="R637" s="275">
        <v>-4.7289199999999996</v>
      </c>
      <c r="S637" s="275">
        <v>-3.5218799999999999</v>
      </c>
      <c r="T637" s="275">
        <v>-3.1690200000000002</v>
      </c>
      <c r="U637" s="275"/>
      <c r="V637" s="275"/>
      <c r="W637" s="275"/>
      <c r="X637" s="275"/>
      <c r="Y637" s="275"/>
      <c r="Z637" s="275"/>
      <c r="AA637" s="275"/>
    </row>
    <row r="638" spans="1:27">
      <c r="A638" s="273"/>
      <c r="B638" s="274"/>
      <c r="C638" s="207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</row>
    <row r="639" spans="1:27">
      <c r="A639" s="273">
        <v>217</v>
      </c>
      <c r="B639" s="274">
        <v>73</v>
      </c>
      <c r="C639" s="207" t="s">
        <v>161</v>
      </c>
      <c r="D639" s="275" t="s">
        <v>434</v>
      </c>
      <c r="E639" s="275" t="s">
        <v>435</v>
      </c>
      <c r="F639" s="275" t="s">
        <v>436</v>
      </c>
      <c r="G639" s="275" t="s">
        <v>437</v>
      </c>
      <c r="H639" s="275" t="s">
        <v>438</v>
      </c>
      <c r="I639" s="275" t="s">
        <v>439</v>
      </c>
      <c r="J639" s="275" t="s">
        <v>440</v>
      </c>
      <c r="K639" s="275" t="s">
        <v>441</v>
      </c>
      <c r="L639" s="275" t="s">
        <v>442</v>
      </c>
      <c r="M639" s="275" t="s">
        <v>443</v>
      </c>
      <c r="N639" s="275" t="s">
        <v>444</v>
      </c>
      <c r="O639" s="275" t="s">
        <v>445</v>
      </c>
      <c r="P639" s="275" t="s">
        <v>446</v>
      </c>
      <c r="Q639" s="275" t="s">
        <v>447</v>
      </c>
      <c r="R639" s="275" t="s">
        <v>448</v>
      </c>
      <c r="S639" s="275" t="s">
        <v>449</v>
      </c>
      <c r="T639" s="275" t="s">
        <v>450</v>
      </c>
      <c r="U639" s="275"/>
      <c r="V639" s="275"/>
      <c r="W639" s="275"/>
      <c r="X639" s="275"/>
      <c r="Y639" s="275"/>
      <c r="Z639" s="275"/>
      <c r="AA639" s="275"/>
    </row>
    <row r="640" spans="1:27">
      <c r="A640" s="273"/>
      <c r="B640" s="274"/>
      <c r="C640" s="207"/>
      <c r="D640" s="275">
        <v>-2492.4855499999999</v>
      </c>
      <c r="E640" s="275">
        <v>-435.37252999999998</v>
      </c>
      <c r="F640" s="275">
        <v>-415.17917</v>
      </c>
      <c r="G640" s="275">
        <v>-368.33519999999999</v>
      </c>
      <c r="H640" s="275">
        <v>-103.60135</v>
      </c>
      <c r="I640" s="275">
        <v>-94.690200000000004</v>
      </c>
      <c r="J640" s="275">
        <v>-84.453959999999995</v>
      </c>
      <c r="K640" s="275">
        <v>-69.612549999999999</v>
      </c>
      <c r="L640" s="275">
        <v>-67.399180000000001</v>
      </c>
      <c r="M640" s="275">
        <v>-23.970569999999999</v>
      </c>
      <c r="N640" s="275">
        <v>-20.257010000000001</v>
      </c>
      <c r="O640" s="275">
        <v>-17.87913</v>
      </c>
      <c r="P640" s="275">
        <v>-11.765459999999999</v>
      </c>
      <c r="Q640" s="275">
        <v>-11.32001</v>
      </c>
      <c r="R640" s="275">
        <v>-5.2750500000000002</v>
      </c>
      <c r="S640" s="275">
        <v>-4.04908</v>
      </c>
      <c r="T640" s="275">
        <v>-3.6871800000000001</v>
      </c>
      <c r="U640" s="275"/>
      <c r="V640" s="275"/>
      <c r="W640" s="275"/>
      <c r="X640" s="275"/>
      <c r="Y640" s="275"/>
      <c r="Z640" s="275"/>
      <c r="AA640" s="275"/>
    </row>
    <row r="641" spans="1:27">
      <c r="A641" s="273"/>
      <c r="B641" s="274"/>
      <c r="C641" s="207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</row>
    <row r="642" spans="1:27">
      <c r="A642" s="273">
        <v>218</v>
      </c>
      <c r="B642" s="274">
        <v>74</v>
      </c>
      <c r="C642" s="207" t="s">
        <v>162</v>
      </c>
      <c r="D642" s="275" t="s">
        <v>434</v>
      </c>
      <c r="E642" s="275" t="s">
        <v>435</v>
      </c>
      <c r="F642" s="275" t="s">
        <v>436</v>
      </c>
      <c r="G642" s="275" t="s">
        <v>437</v>
      </c>
      <c r="H642" s="275" t="s">
        <v>438</v>
      </c>
      <c r="I642" s="275" t="s">
        <v>439</v>
      </c>
      <c r="J642" s="275" t="s">
        <v>440</v>
      </c>
      <c r="K642" s="275" t="s">
        <v>441</v>
      </c>
      <c r="L642" s="275" t="s">
        <v>442</v>
      </c>
      <c r="M642" s="275" t="s">
        <v>443</v>
      </c>
      <c r="N642" s="275" t="s">
        <v>444</v>
      </c>
      <c r="O642" s="275" t="s">
        <v>445</v>
      </c>
      <c r="P642" s="275" t="s">
        <v>446</v>
      </c>
      <c r="Q642" s="275" t="s">
        <v>447</v>
      </c>
      <c r="R642" s="275" t="s">
        <v>448</v>
      </c>
      <c r="S642" s="275" t="s">
        <v>449</v>
      </c>
      <c r="T642" s="275" t="s">
        <v>450</v>
      </c>
      <c r="U642" s="275"/>
      <c r="V642" s="275"/>
      <c r="W642" s="275"/>
      <c r="X642" s="275"/>
      <c r="Y642" s="275"/>
      <c r="Z642" s="275"/>
      <c r="AA642" s="275"/>
    </row>
    <row r="643" spans="1:27">
      <c r="A643" s="273"/>
      <c r="B643" s="274"/>
      <c r="C643" s="207"/>
      <c r="D643" s="275">
        <v>-2568.6887000000002</v>
      </c>
      <c r="E643" s="275">
        <v>-449.03332999999998</v>
      </c>
      <c r="F643" s="275">
        <v>-428.39033999999998</v>
      </c>
      <c r="G643" s="275">
        <v>-378.50776000000002</v>
      </c>
      <c r="H643" s="275">
        <v>-105.90304</v>
      </c>
      <c r="I643" s="275">
        <v>-96.776219999999995</v>
      </c>
      <c r="J643" s="275">
        <v>-85.832560000000001</v>
      </c>
      <c r="K643" s="275">
        <v>-70.673569999999998</v>
      </c>
      <c r="L643" s="275">
        <v>-68.310839999999999</v>
      </c>
      <c r="M643" s="275">
        <v>-23.25873</v>
      </c>
      <c r="N643" s="275">
        <v>-19.435040000000001</v>
      </c>
      <c r="O643" s="275">
        <v>-16.87302</v>
      </c>
      <c r="P643" s="275">
        <v>-10.586169999999999</v>
      </c>
      <c r="Q643" s="275">
        <v>-10.104950000000001</v>
      </c>
      <c r="R643" s="275">
        <v>-3.7265199999999998</v>
      </c>
      <c r="S643" s="275">
        <v>-2.49058</v>
      </c>
      <c r="T643" s="275">
        <v>-2.1105999999999998</v>
      </c>
      <c r="U643" s="275"/>
      <c r="V643" s="275"/>
      <c r="W643" s="275"/>
      <c r="X643" s="275"/>
      <c r="Y643" s="275"/>
      <c r="Z643" s="275"/>
      <c r="AA643" s="275"/>
    </row>
    <row r="644" spans="1:27">
      <c r="A644" s="273"/>
      <c r="B644" s="274"/>
      <c r="C644" s="207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</row>
    <row r="645" spans="1:27">
      <c r="A645" s="273">
        <v>219</v>
      </c>
      <c r="B645" s="274">
        <v>74</v>
      </c>
      <c r="C645" s="207" t="s">
        <v>163</v>
      </c>
      <c r="D645" s="275" t="s">
        <v>434</v>
      </c>
      <c r="E645" s="275" t="s">
        <v>435</v>
      </c>
      <c r="F645" s="275" t="s">
        <v>436</v>
      </c>
      <c r="G645" s="275" t="s">
        <v>437</v>
      </c>
      <c r="H645" s="275" t="s">
        <v>438</v>
      </c>
      <c r="I645" s="275" t="s">
        <v>439</v>
      </c>
      <c r="J645" s="275" t="s">
        <v>440</v>
      </c>
      <c r="K645" s="275" t="s">
        <v>441</v>
      </c>
      <c r="L645" s="275" t="s">
        <v>442</v>
      </c>
      <c r="M645" s="275" t="s">
        <v>443</v>
      </c>
      <c r="N645" s="275" t="s">
        <v>444</v>
      </c>
      <c r="O645" s="275" t="s">
        <v>445</v>
      </c>
      <c r="P645" s="275" t="s">
        <v>446</v>
      </c>
      <c r="Q645" s="275" t="s">
        <v>447</v>
      </c>
      <c r="R645" s="275" t="s">
        <v>448</v>
      </c>
      <c r="S645" s="275" t="s">
        <v>449</v>
      </c>
      <c r="T645" s="275" t="s">
        <v>450</v>
      </c>
      <c r="U645" s="275"/>
      <c r="V645" s="275"/>
      <c r="W645" s="275"/>
      <c r="X645" s="275"/>
      <c r="Y645" s="275"/>
      <c r="Z645" s="275"/>
      <c r="AA645" s="275"/>
    </row>
    <row r="646" spans="1:27">
      <c r="A646" s="273"/>
      <c r="B646" s="274"/>
      <c r="C646" s="207"/>
      <c r="D646" s="275">
        <v>-2569.00693</v>
      </c>
      <c r="E646" s="275">
        <v>-449.34699999999998</v>
      </c>
      <c r="F646" s="275">
        <v>-428.70479999999998</v>
      </c>
      <c r="G646" s="275">
        <v>-378.82211999999998</v>
      </c>
      <c r="H646" s="275">
        <v>-106.21622000000001</v>
      </c>
      <c r="I646" s="275">
        <v>-97.090140000000005</v>
      </c>
      <c r="J646" s="275">
        <v>-86.146540000000002</v>
      </c>
      <c r="K646" s="275">
        <v>-70.987729999999999</v>
      </c>
      <c r="L646" s="275">
        <v>-68.625039999999998</v>
      </c>
      <c r="M646" s="275">
        <v>-23.57123</v>
      </c>
      <c r="N646" s="275">
        <v>-19.748919999999998</v>
      </c>
      <c r="O646" s="275">
        <v>-17.186869999999999</v>
      </c>
      <c r="P646" s="275">
        <v>-10.90035</v>
      </c>
      <c r="Q646" s="275">
        <v>-10.41916</v>
      </c>
      <c r="R646" s="275">
        <v>-4.0356500000000004</v>
      </c>
      <c r="S646" s="275">
        <v>-2.8042400000000001</v>
      </c>
      <c r="T646" s="275">
        <v>-2.4241700000000002</v>
      </c>
      <c r="U646" s="275"/>
      <c r="V646" s="275"/>
      <c r="W646" s="275"/>
      <c r="X646" s="275"/>
      <c r="Y646" s="275"/>
      <c r="Z646" s="275"/>
      <c r="AA646" s="275"/>
    </row>
    <row r="647" spans="1:27">
      <c r="A647" s="273"/>
      <c r="B647" s="274"/>
      <c r="C647" s="207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</row>
    <row r="648" spans="1:27">
      <c r="A648" s="273">
        <v>220</v>
      </c>
      <c r="B648" s="274">
        <v>74</v>
      </c>
      <c r="C648" s="207" t="s">
        <v>164</v>
      </c>
      <c r="D648" s="275" t="s">
        <v>434</v>
      </c>
      <c r="E648" s="275" t="s">
        <v>435</v>
      </c>
      <c r="F648" s="275" t="s">
        <v>436</v>
      </c>
      <c r="G648" s="275" t="s">
        <v>437</v>
      </c>
      <c r="H648" s="275" t="s">
        <v>438</v>
      </c>
      <c r="I648" s="275" t="s">
        <v>439</v>
      </c>
      <c r="J648" s="275" t="s">
        <v>440</v>
      </c>
      <c r="K648" s="275" t="s">
        <v>441</v>
      </c>
      <c r="L648" s="275" t="s">
        <v>442</v>
      </c>
      <c r="M648" s="275" t="s">
        <v>443</v>
      </c>
      <c r="N648" s="275" t="s">
        <v>444</v>
      </c>
      <c r="O648" s="275" t="s">
        <v>445</v>
      </c>
      <c r="P648" s="275" t="s">
        <v>446</v>
      </c>
      <c r="Q648" s="275" t="s">
        <v>447</v>
      </c>
      <c r="R648" s="275" t="s">
        <v>448</v>
      </c>
      <c r="S648" s="275" t="s">
        <v>449</v>
      </c>
      <c r="T648" s="275" t="s">
        <v>450</v>
      </c>
      <c r="U648" s="275"/>
      <c r="V648" s="275"/>
      <c r="W648" s="275"/>
      <c r="X648" s="275"/>
      <c r="Y648" s="275"/>
      <c r="Z648" s="275"/>
      <c r="AA648" s="275"/>
    </row>
    <row r="649" spans="1:27">
      <c r="A649" s="273"/>
      <c r="B649" s="274"/>
      <c r="C649" s="207"/>
      <c r="D649" s="275">
        <v>-2569.48999</v>
      </c>
      <c r="E649" s="275">
        <v>-449.83037000000002</v>
      </c>
      <c r="F649" s="275">
        <v>-429.18797000000001</v>
      </c>
      <c r="G649" s="275">
        <v>-379.30543999999998</v>
      </c>
      <c r="H649" s="275">
        <v>-106.69866</v>
      </c>
      <c r="I649" s="275">
        <v>-97.572720000000004</v>
      </c>
      <c r="J649" s="275">
        <v>-86.629009999999994</v>
      </c>
      <c r="K649" s="275">
        <v>-71.470100000000002</v>
      </c>
      <c r="L649" s="275">
        <v>-69.107280000000003</v>
      </c>
      <c r="M649" s="275">
        <v>-24.053190000000001</v>
      </c>
      <c r="N649" s="275">
        <v>-20.23058</v>
      </c>
      <c r="O649" s="275">
        <v>-17.66901</v>
      </c>
      <c r="P649" s="275">
        <v>-11.38133</v>
      </c>
      <c r="Q649" s="275">
        <v>-10.900399999999999</v>
      </c>
      <c r="R649" s="275">
        <v>-4.5081199999999999</v>
      </c>
      <c r="S649" s="275">
        <v>-3.2637499999999999</v>
      </c>
      <c r="T649" s="275">
        <v>-2.8779599999999999</v>
      </c>
      <c r="U649" s="275"/>
      <c r="V649" s="275"/>
      <c r="W649" s="275"/>
      <c r="X649" s="275"/>
      <c r="Y649" s="275"/>
      <c r="Z649" s="275"/>
      <c r="AA649" s="275"/>
    </row>
    <row r="650" spans="1:27">
      <c r="A650" s="273"/>
      <c r="B650" s="274"/>
      <c r="C650" s="207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</row>
    <row r="651" spans="1:27">
      <c r="A651" s="273">
        <v>221</v>
      </c>
      <c r="B651" s="274">
        <v>74</v>
      </c>
      <c r="C651" s="207" t="s">
        <v>165</v>
      </c>
      <c r="D651" s="275" t="s">
        <v>434</v>
      </c>
      <c r="E651" s="275" t="s">
        <v>435</v>
      </c>
      <c r="F651" s="275" t="s">
        <v>436</v>
      </c>
      <c r="G651" s="275" t="s">
        <v>437</v>
      </c>
      <c r="H651" s="275" t="s">
        <v>438</v>
      </c>
      <c r="I651" s="275" t="s">
        <v>439</v>
      </c>
      <c r="J651" s="275" t="s">
        <v>440</v>
      </c>
      <c r="K651" s="275" t="s">
        <v>441</v>
      </c>
      <c r="L651" s="275" t="s">
        <v>442</v>
      </c>
      <c r="M651" s="275" t="s">
        <v>443</v>
      </c>
      <c r="N651" s="275" t="s">
        <v>444</v>
      </c>
      <c r="O651" s="275" t="s">
        <v>445</v>
      </c>
      <c r="P651" s="275" t="s">
        <v>446</v>
      </c>
      <c r="Q651" s="275" t="s">
        <v>447</v>
      </c>
      <c r="R651" s="275" t="s">
        <v>448</v>
      </c>
      <c r="S651" s="275" t="s">
        <v>449</v>
      </c>
      <c r="T651" s="275" t="s">
        <v>450</v>
      </c>
      <c r="U651" s="275"/>
      <c r="V651" s="275"/>
      <c r="W651" s="275"/>
      <c r="X651" s="275"/>
      <c r="Y651" s="275"/>
      <c r="Z651" s="275"/>
      <c r="AA651" s="275"/>
    </row>
    <row r="652" spans="1:27">
      <c r="A652" s="273"/>
      <c r="B652" s="274"/>
      <c r="C652" s="207"/>
      <c r="D652" s="275">
        <v>-2570.0288599999999</v>
      </c>
      <c r="E652" s="275">
        <v>-450.37168000000003</v>
      </c>
      <c r="F652" s="275">
        <v>-429.72919000000002</v>
      </c>
      <c r="G652" s="275">
        <v>-379.84670999999997</v>
      </c>
      <c r="H652" s="275">
        <v>-107.23544</v>
      </c>
      <c r="I652" s="275">
        <v>-98.109750000000005</v>
      </c>
      <c r="J652" s="275">
        <v>-87.165790000000001</v>
      </c>
      <c r="K652" s="275">
        <v>-72.006950000000003</v>
      </c>
      <c r="L652" s="275">
        <v>-69.644260000000003</v>
      </c>
      <c r="M652" s="275">
        <v>-24.588889999999999</v>
      </c>
      <c r="N652" s="275">
        <v>-20.76586</v>
      </c>
      <c r="O652" s="275">
        <v>-18.204789999999999</v>
      </c>
      <c r="P652" s="275">
        <v>-11.91558</v>
      </c>
      <c r="Q652" s="275">
        <v>-11.43488</v>
      </c>
      <c r="R652" s="275">
        <v>-5.0273500000000002</v>
      </c>
      <c r="S652" s="275">
        <v>-3.7669000000000001</v>
      </c>
      <c r="T652" s="275">
        <v>-3.3734199999999999</v>
      </c>
      <c r="U652" s="275"/>
      <c r="V652" s="275"/>
      <c r="W652" s="275"/>
      <c r="X652" s="275"/>
      <c r="Y652" s="275"/>
      <c r="Z652" s="275"/>
      <c r="AA652" s="275"/>
    </row>
    <row r="653" spans="1:27">
      <c r="A653" s="273"/>
      <c r="B653" s="274"/>
      <c r="C653" s="207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</row>
    <row r="654" spans="1:27">
      <c r="A654" s="273">
        <v>222</v>
      </c>
      <c r="B654" s="274">
        <v>74</v>
      </c>
      <c r="C654" s="207" t="s">
        <v>166</v>
      </c>
      <c r="D654" s="275" t="s">
        <v>434</v>
      </c>
      <c r="E654" s="275" t="s">
        <v>435</v>
      </c>
      <c r="F654" s="275" t="s">
        <v>436</v>
      </c>
      <c r="G654" s="275" t="s">
        <v>437</v>
      </c>
      <c r="H654" s="275" t="s">
        <v>438</v>
      </c>
      <c r="I654" s="275" t="s">
        <v>439</v>
      </c>
      <c r="J654" s="275" t="s">
        <v>440</v>
      </c>
      <c r="K654" s="275" t="s">
        <v>441</v>
      </c>
      <c r="L654" s="275" t="s">
        <v>442</v>
      </c>
      <c r="M654" s="275" t="s">
        <v>443</v>
      </c>
      <c r="N654" s="275" t="s">
        <v>444</v>
      </c>
      <c r="O654" s="275" t="s">
        <v>445</v>
      </c>
      <c r="P654" s="275" t="s">
        <v>446</v>
      </c>
      <c r="Q654" s="275" t="s">
        <v>447</v>
      </c>
      <c r="R654" s="275" t="s">
        <v>448</v>
      </c>
      <c r="S654" s="275" t="s">
        <v>449</v>
      </c>
      <c r="T654" s="275" t="s">
        <v>450</v>
      </c>
      <c r="U654" s="275"/>
      <c r="V654" s="275"/>
      <c r="W654" s="275"/>
      <c r="X654" s="275"/>
      <c r="Y654" s="275"/>
      <c r="Z654" s="275"/>
      <c r="AA654" s="275"/>
    </row>
    <row r="655" spans="1:27">
      <c r="A655" s="273"/>
      <c r="B655" s="274"/>
      <c r="C655" s="207"/>
      <c r="D655" s="275">
        <v>-2570.6160300000001</v>
      </c>
      <c r="E655" s="275">
        <v>-450.96235000000001</v>
      </c>
      <c r="F655" s="275">
        <v>-430.31990000000002</v>
      </c>
      <c r="G655" s="275">
        <v>-380.43736000000001</v>
      </c>
      <c r="H655" s="275">
        <v>-107.81892999999999</v>
      </c>
      <c r="I655" s="275">
        <v>-98.693619999999996</v>
      </c>
      <c r="J655" s="275">
        <v>-87.74924</v>
      </c>
      <c r="K655" s="275">
        <v>-72.590699999999998</v>
      </c>
      <c r="L655" s="275">
        <v>-70.227950000000007</v>
      </c>
      <c r="M655" s="275">
        <v>-25.169910000000002</v>
      </c>
      <c r="N655" s="275">
        <v>-21.34639</v>
      </c>
      <c r="O655" s="275">
        <v>-18.785769999999999</v>
      </c>
      <c r="P655" s="275">
        <v>-12.49466</v>
      </c>
      <c r="Q655" s="275">
        <v>-12.014139999999999</v>
      </c>
      <c r="R655" s="275">
        <v>-5.5843800000000003</v>
      </c>
      <c r="S655" s="275">
        <v>-4.3053900000000001</v>
      </c>
      <c r="T655" s="275">
        <v>-3.9026299999999998</v>
      </c>
      <c r="U655" s="275"/>
      <c r="V655" s="275"/>
      <c r="W655" s="275"/>
      <c r="X655" s="275"/>
      <c r="Y655" s="275"/>
      <c r="Z655" s="275"/>
      <c r="AA655" s="275"/>
    </row>
    <row r="656" spans="1:27">
      <c r="A656" s="273"/>
      <c r="B656" s="274"/>
      <c r="C656" s="207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</row>
    <row r="657" spans="1:27">
      <c r="A657" s="273">
        <v>223</v>
      </c>
      <c r="B657" s="274">
        <v>74</v>
      </c>
      <c r="C657" s="207" t="s">
        <v>167</v>
      </c>
      <c r="D657" s="275" t="s">
        <v>434</v>
      </c>
      <c r="E657" s="275" t="s">
        <v>435</v>
      </c>
      <c r="F657" s="275" t="s">
        <v>436</v>
      </c>
      <c r="G657" s="275" t="s">
        <v>437</v>
      </c>
      <c r="H657" s="275" t="s">
        <v>438</v>
      </c>
      <c r="I657" s="275" t="s">
        <v>439</v>
      </c>
      <c r="J657" s="275" t="s">
        <v>440</v>
      </c>
      <c r="K657" s="275" t="s">
        <v>441</v>
      </c>
      <c r="L657" s="275" t="s">
        <v>442</v>
      </c>
      <c r="M657" s="275" t="s">
        <v>443</v>
      </c>
      <c r="N657" s="275" t="s">
        <v>444</v>
      </c>
      <c r="O657" s="275" t="s">
        <v>445</v>
      </c>
      <c r="P657" s="275" t="s">
        <v>446</v>
      </c>
      <c r="Q657" s="275" t="s">
        <v>447</v>
      </c>
      <c r="R657" s="275" t="s">
        <v>448</v>
      </c>
      <c r="S657" s="275" t="s">
        <v>449</v>
      </c>
      <c r="T657" s="275" t="s">
        <v>450</v>
      </c>
      <c r="U657" s="275"/>
      <c r="V657" s="275"/>
      <c r="W657" s="275"/>
      <c r="X657" s="275"/>
      <c r="Y657" s="275"/>
      <c r="Z657" s="275"/>
      <c r="AA657" s="275"/>
    </row>
    <row r="658" spans="1:27">
      <c r="A658" s="273"/>
      <c r="B658" s="274"/>
      <c r="C658" s="207"/>
      <c r="D658" s="275">
        <v>-2571.2467000000001</v>
      </c>
      <c r="E658" s="275">
        <v>-451.59559999999999</v>
      </c>
      <c r="F658" s="275">
        <v>-430.95330000000001</v>
      </c>
      <c r="G658" s="275">
        <v>-381.07060000000001</v>
      </c>
      <c r="H658" s="275">
        <v>-108.44383999999999</v>
      </c>
      <c r="I658" s="275">
        <v>-99.319040000000001</v>
      </c>
      <c r="J658" s="275">
        <v>-88.374080000000006</v>
      </c>
      <c r="K658" s="275">
        <v>-73.216089999999994</v>
      </c>
      <c r="L658" s="275">
        <v>-70.853160000000003</v>
      </c>
      <c r="M658" s="275">
        <v>-25.79081</v>
      </c>
      <c r="N658" s="275">
        <v>-21.966699999999999</v>
      </c>
      <c r="O658" s="275">
        <v>-19.40645</v>
      </c>
      <c r="P658" s="275">
        <v>-13.11307</v>
      </c>
      <c r="Q658" s="275">
        <v>-12.63265</v>
      </c>
      <c r="R658" s="275">
        <v>-6.1733799999999999</v>
      </c>
      <c r="S658" s="275">
        <v>-4.8738599999999996</v>
      </c>
      <c r="T658" s="275">
        <v>-4.4605100000000002</v>
      </c>
      <c r="U658" s="275"/>
      <c r="V658" s="275"/>
      <c r="W658" s="275"/>
      <c r="X658" s="275"/>
      <c r="Y658" s="275"/>
      <c r="Z658" s="275"/>
      <c r="AA658" s="275"/>
    </row>
    <row r="659" spans="1:27">
      <c r="A659" s="273"/>
      <c r="B659" s="274"/>
      <c r="C659" s="207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</row>
    <row r="660" spans="1:27">
      <c r="A660" s="273">
        <v>224</v>
      </c>
      <c r="B660" s="274">
        <v>75</v>
      </c>
      <c r="C660" s="207" t="s">
        <v>168</v>
      </c>
      <c r="D660" s="275" t="s">
        <v>434</v>
      </c>
      <c r="E660" s="275" t="s">
        <v>435</v>
      </c>
      <c r="F660" s="275" t="s">
        <v>436</v>
      </c>
      <c r="G660" s="275" t="s">
        <v>437</v>
      </c>
      <c r="H660" s="275" t="s">
        <v>438</v>
      </c>
      <c r="I660" s="275" t="s">
        <v>439</v>
      </c>
      <c r="J660" s="275" t="s">
        <v>440</v>
      </c>
      <c r="K660" s="275" t="s">
        <v>441</v>
      </c>
      <c r="L660" s="275" t="s">
        <v>442</v>
      </c>
      <c r="M660" s="275" t="s">
        <v>443</v>
      </c>
      <c r="N660" s="275" t="s">
        <v>444</v>
      </c>
      <c r="O660" s="275" t="s">
        <v>445</v>
      </c>
      <c r="P660" s="275" t="s">
        <v>446</v>
      </c>
      <c r="Q660" s="275" t="s">
        <v>447</v>
      </c>
      <c r="R660" s="275" t="s">
        <v>448</v>
      </c>
      <c r="S660" s="275" t="s">
        <v>449</v>
      </c>
      <c r="T660" s="275" t="s">
        <v>450</v>
      </c>
      <c r="U660" s="275"/>
      <c r="V660" s="275"/>
      <c r="W660" s="275"/>
      <c r="X660" s="275"/>
      <c r="Y660" s="275"/>
      <c r="Z660" s="275"/>
      <c r="AA660" s="275"/>
    </row>
    <row r="661" spans="1:27">
      <c r="A661" s="273"/>
      <c r="B661" s="274"/>
      <c r="C661" s="207"/>
      <c r="D661" s="275">
        <v>-2648.3405899999998</v>
      </c>
      <c r="E661" s="275">
        <v>-464.95305999999999</v>
      </c>
      <c r="F661" s="275">
        <v>-443.85286000000002</v>
      </c>
      <c r="G661" s="275">
        <v>-390.77</v>
      </c>
      <c r="H661" s="275">
        <v>-110.18810999999999</v>
      </c>
      <c r="I661" s="275">
        <v>-100.8438</v>
      </c>
      <c r="J661" s="275">
        <v>-89.152109999999993</v>
      </c>
      <c r="K661" s="275">
        <v>-73.673330000000007</v>
      </c>
      <c r="L661" s="275">
        <v>-71.153630000000007</v>
      </c>
      <c r="M661" s="275">
        <v>-24.447369999999999</v>
      </c>
      <c r="N661" s="275">
        <v>-20.51174</v>
      </c>
      <c r="O661" s="275">
        <v>-17.75498</v>
      </c>
      <c r="P661" s="275">
        <v>-11.2887</v>
      </c>
      <c r="Q661" s="275">
        <v>-10.77003</v>
      </c>
      <c r="R661" s="275">
        <v>-3.99593</v>
      </c>
      <c r="S661" s="275">
        <v>-2.7058900000000001</v>
      </c>
      <c r="T661" s="275">
        <v>-2.28226</v>
      </c>
      <c r="U661" s="275"/>
      <c r="V661" s="275"/>
      <c r="W661" s="275"/>
      <c r="X661" s="275"/>
      <c r="Y661" s="275"/>
      <c r="Z661" s="275"/>
      <c r="AA661" s="275"/>
    </row>
    <row r="662" spans="1:27">
      <c r="A662" s="273"/>
      <c r="B662" s="274"/>
      <c r="C662" s="207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</row>
    <row r="663" spans="1:27">
      <c r="A663" s="273">
        <v>225</v>
      </c>
      <c r="B663" s="274">
        <v>75</v>
      </c>
      <c r="C663" s="207" t="s">
        <v>169</v>
      </c>
      <c r="D663" s="275" t="s">
        <v>434</v>
      </c>
      <c r="E663" s="275" t="s">
        <v>435</v>
      </c>
      <c r="F663" s="275" t="s">
        <v>436</v>
      </c>
      <c r="G663" s="275" t="s">
        <v>437</v>
      </c>
      <c r="H663" s="275" t="s">
        <v>438</v>
      </c>
      <c r="I663" s="275" t="s">
        <v>439</v>
      </c>
      <c r="J663" s="275" t="s">
        <v>440</v>
      </c>
      <c r="K663" s="275" t="s">
        <v>441</v>
      </c>
      <c r="L663" s="275" t="s">
        <v>442</v>
      </c>
      <c r="M663" s="275" t="s">
        <v>443</v>
      </c>
      <c r="N663" s="275" t="s">
        <v>444</v>
      </c>
      <c r="O663" s="275" t="s">
        <v>445</v>
      </c>
      <c r="P663" s="275" t="s">
        <v>446</v>
      </c>
      <c r="Q663" s="275" t="s">
        <v>447</v>
      </c>
      <c r="R663" s="275" t="s">
        <v>448</v>
      </c>
      <c r="S663" s="275" t="s">
        <v>449</v>
      </c>
      <c r="T663" s="275" t="s">
        <v>450</v>
      </c>
      <c r="U663" s="275"/>
      <c r="V663" s="275"/>
      <c r="W663" s="275"/>
      <c r="X663" s="275"/>
      <c r="Y663" s="275"/>
      <c r="Z663" s="275"/>
      <c r="AA663" s="275"/>
    </row>
    <row r="664" spans="1:27">
      <c r="A664" s="273"/>
      <c r="B664" s="274"/>
      <c r="C664" s="207"/>
      <c r="D664" s="275">
        <v>-2648.6663600000002</v>
      </c>
      <c r="E664" s="275">
        <v>-465.27569</v>
      </c>
      <c r="F664" s="275">
        <v>-444.17631999999998</v>
      </c>
      <c r="G664" s="275">
        <v>-391.09334999999999</v>
      </c>
      <c r="H664" s="275">
        <v>-110.51039</v>
      </c>
      <c r="I664" s="275">
        <v>-101.16688000000001</v>
      </c>
      <c r="J664" s="275">
        <v>-89.475260000000006</v>
      </c>
      <c r="K664" s="275">
        <v>-73.996539999999996</v>
      </c>
      <c r="L664" s="275">
        <v>-71.476889999999997</v>
      </c>
      <c r="M664" s="275">
        <v>-24.76887</v>
      </c>
      <c r="N664" s="275">
        <v>-20.834689999999998</v>
      </c>
      <c r="O664" s="275">
        <v>-18.077909999999999</v>
      </c>
      <c r="P664" s="275">
        <v>-11.612</v>
      </c>
      <c r="Q664" s="275">
        <v>-11.09338</v>
      </c>
      <c r="R664" s="275">
        <v>-4.3143700000000003</v>
      </c>
      <c r="S664" s="275">
        <v>-3.0291700000000001</v>
      </c>
      <c r="T664" s="275">
        <v>-2.6055899999999999</v>
      </c>
      <c r="U664" s="275"/>
      <c r="V664" s="275"/>
      <c r="W664" s="275"/>
      <c r="X664" s="275"/>
      <c r="Y664" s="275"/>
      <c r="Z664" s="275"/>
      <c r="AA664" s="275"/>
    </row>
    <row r="665" spans="1:27">
      <c r="A665" s="273"/>
      <c r="B665" s="274"/>
      <c r="C665" s="207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</row>
    <row r="666" spans="1:27">
      <c r="A666" s="273">
        <v>226</v>
      </c>
      <c r="B666" s="274">
        <v>75</v>
      </c>
      <c r="C666" s="207" t="s">
        <v>170</v>
      </c>
      <c r="D666" s="275" t="s">
        <v>434</v>
      </c>
      <c r="E666" s="275" t="s">
        <v>435</v>
      </c>
      <c r="F666" s="275" t="s">
        <v>436</v>
      </c>
      <c r="G666" s="275" t="s">
        <v>437</v>
      </c>
      <c r="H666" s="275" t="s">
        <v>438</v>
      </c>
      <c r="I666" s="275" t="s">
        <v>439</v>
      </c>
      <c r="J666" s="275" t="s">
        <v>440</v>
      </c>
      <c r="K666" s="275" t="s">
        <v>441</v>
      </c>
      <c r="L666" s="275" t="s">
        <v>442</v>
      </c>
      <c r="M666" s="275" t="s">
        <v>443</v>
      </c>
      <c r="N666" s="275" t="s">
        <v>444</v>
      </c>
      <c r="O666" s="275" t="s">
        <v>445</v>
      </c>
      <c r="P666" s="275" t="s">
        <v>446</v>
      </c>
      <c r="Q666" s="275" t="s">
        <v>447</v>
      </c>
      <c r="R666" s="275" t="s">
        <v>448</v>
      </c>
      <c r="S666" s="275" t="s">
        <v>449</v>
      </c>
      <c r="T666" s="275" t="s">
        <v>450</v>
      </c>
      <c r="U666" s="275"/>
      <c r="V666" s="275"/>
      <c r="W666" s="275"/>
      <c r="X666" s="275"/>
      <c r="Y666" s="275"/>
      <c r="Z666" s="275"/>
      <c r="AA666" s="275"/>
    </row>
    <row r="667" spans="1:27">
      <c r="A667" s="273"/>
      <c r="B667" s="274"/>
      <c r="C667" s="207"/>
      <c r="D667" s="275">
        <v>-2649.1640499999999</v>
      </c>
      <c r="E667" s="275">
        <v>-465.77555999999998</v>
      </c>
      <c r="F667" s="275">
        <v>-444.67599000000001</v>
      </c>
      <c r="G667" s="275">
        <v>-391.59318999999999</v>
      </c>
      <c r="H667" s="275">
        <v>-111.00789</v>
      </c>
      <c r="I667" s="275">
        <v>-101.6645</v>
      </c>
      <c r="J667" s="275">
        <v>-89.972769999999997</v>
      </c>
      <c r="K667" s="275">
        <v>-74.494039999999998</v>
      </c>
      <c r="L667" s="275">
        <v>-71.974440000000001</v>
      </c>
      <c r="M667" s="275">
        <v>-25.26585</v>
      </c>
      <c r="N667" s="275">
        <v>-21.331320000000002</v>
      </c>
      <c r="O667" s="275">
        <v>-18.574960000000001</v>
      </c>
      <c r="P667" s="275">
        <v>-12.10779</v>
      </c>
      <c r="Q667" s="275">
        <v>-11.58944</v>
      </c>
      <c r="R667" s="275">
        <v>-4.8003299999999998</v>
      </c>
      <c r="S667" s="275">
        <v>-3.5021399999999998</v>
      </c>
      <c r="T667" s="275">
        <v>-3.0726900000000001</v>
      </c>
      <c r="U667" s="275"/>
      <c r="V667" s="275"/>
      <c r="W667" s="275"/>
      <c r="X667" s="275"/>
      <c r="Y667" s="275"/>
      <c r="Z667" s="275"/>
      <c r="AA667" s="275"/>
    </row>
    <row r="668" spans="1:27">
      <c r="A668" s="273"/>
      <c r="B668" s="274"/>
      <c r="C668" s="207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</row>
    <row r="669" spans="1:27">
      <c r="A669" s="273">
        <v>227</v>
      </c>
      <c r="B669" s="274">
        <v>75</v>
      </c>
      <c r="C669" s="207" t="s">
        <v>171</v>
      </c>
      <c r="D669" s="275" t="s">
        <v>434</v>
      </c>
      <c r="E669" s="275" t="s">
        <v>435</v>
      </c>
      <c r="F669" s="275" t="s">
        <v>436</v>
      </c>
      <c r="G669" s="275" t="s">
        <v>437</v>
      </c>
      <c r="H669" s="275" t="s">
        <v>438</v>
      </c>
      <c r="I669" s="275" t="s">
        <v>439</v>
      </c>
      <c r="J669" s="275" t="s">
        <v>440</v>
      </c>
      <c r="K669" s="275" t="s">
        <v>441</v>
      </c>
      <c r="L669" s="275" t="s">
        <v>442</v>
      </c>
      <c r="M669" s="275" t="s">
        <v>443</v>
      </c>
      <c r="N669" s="275" t="s">
        <v>444</v>
      </c>
      <c r="O669" s="275" t="s">
        <v>445</v>
      </c>
      <c r="P669" s="275" t="s">
        <v>446</v>
      </c>
      <c r="Q669" s="275" t="s">
        <v>447</v>
      </c>
      <c r="R669" s="275" t="s">
        <v>448</v>
      </c>
      <c r="S669" s="275" t="s">
        <v>449</v>
      </c>
      <c r="T669" s="275" t="s">
        <v>450</v>
      </c>
      <c r="U669" s="275"/>
      <c r="V669" s="275"/>
      <c r="W669" s="275"/>
      <c r="X669" s="275"/>
      <c r="Y669" s="275"/>
      <c r="Z669" s="275"/>
      <c r="AA669" s="275"/>
    </row>
    <row r="670" spans="1:27">
      <c r="A670" s="273"/>
      <c r="B670" s="274"/>
      <c r="C670" s="207"/>
      <c r="D670" s="275">
        <v>-2649.7166900000002</v>
      </c>
      <c r="E670" s="275">
        <v>-466.33078</v>
      </c>
      <c r="F670" s="275">
        <v>-445.23108999999999</v>
      </c>
      <c r="G670" s="275">
        <v>-392.14837</v>
      </c>
      <c r="H670" s="275">
        <v>-111.55898999999999</v>
      </c>
      <c r="I670" s="275">
        <v>-102.21583</v>
      </c>
      <c r="J670" s="275">
        <v>-90.523849999999996</v>
      </c>
      <c r="K670" s="275">
        <v>-75.045169999999999</v>
      </c>
      <c r="L670" s="275">
        <v>-72.525549999999996</v>
      </c>
      <c r="M670" s="275">
        <v>-25.815349999999999</v>
      </c>
      <c r="N670" s="275">
        <v>-21.880369999999999</v>
      </c>
      <c r="O670" s="275">
        <v>-19.12443</v>
      </c>
      <c r="P670" s="275">
        <v>-12.655620000000001</v>
      </c>
      <c r="Q670" s="275">
        <v>-12.13749</v>
      </c>
      <c r="R670" s="275">
        <v>-5.3316499999999998</v>
      </c>
      <c r="S670" s="275">
        <v>-4.0175900000000002</v>
      </c>
      <c r="T670" s="275">
        <v>-3.5802399999999999</v>
      </c>
      <c r="U670" s="275"/>
      <c r="V670" s="275"/>
      <c r="W670" s="275"/>
      <c r="X670" s="275"/>
      <c r="Y670" s="275"/>
      <c r="Z670" s="275"/>
      <c r="AA670" s="275"/>
    </row>
    <row r="671" spans="1:27">
      <c r="A671" s="273"/>
      <c r="B671" s="274"/>
      <c r="C671" s="207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</row>
    <row r="672" spans="1:27">
      <c r="A672" s="273">
        <v>228</v>
      </c>
      <c r="B672" s="274">
        <v>75</v>
      </c>
      <c r="C672" s="207" t="s">
        <v>172</v>
      </c>
      <c r="D672" s="275" t="s">
        <v>434</v>
      </c>
      <c r="E672" s="275" t="s">
        <v>435</v>
      </c>
      <c r="F672" s="275" t="s">
        <v>436</v>
      </c>
      <c r="G672" s="275" t="s">
        <v>437</v>
      </c>
      <c r="H672" s="275" t="s">
        <v>438</v>
      </c>
      <c r="I672" s="275" t="s">
        <v>439</v>
      </c>
      <c r="J672" s="275" t="s">
        <v>440</v>
      </c>
      <c r="K672" s="275" t="s">
        <v>441</v>
      </c>
      <c r="L672" s="275" t="s">
        <v>442</v>
      </c>
      <c r="M672" s="275" t="s">
        <v>443</v>
      </c>
      <c r="N672" s="275" t="s">
        <v>444</v>
      </c>
      <c r="O672" s="275" t="s">
        <v>445</v>
      </c>
      <c r="P672" s="275" t="s">
        <v>446</v>
      </c>
      <c r="Q672" s="275" t="s">
        <v>447</v>
      </c>
      <c r="R672" s="275" t="s">
        <v>448</v>
      </c>
      <c r="S672" s="275" t="s">
        <v>449</v>
      </c>
      <c r="T672" s="275" t="s">
        <v>450</v>
      </c>
      <c r="U672" s="275"/>
      <c r="V672" s="275"/>
      <c r="W672" s="275"/>
      <c r="X672" s="275"/>
      <c r="Y672" s="275"/>
      <c r="Z672" s="275"/>
      <c r="AA672" s="275"/>
    </row>
    <row r="673" spans="1:27">
      <c r="A673" s="273"/>
      <c r="B673" s="274"/>
      <c r="C673" s="207"/>
      <c r="D673" s="275">
        <v>-2650.3173999999999</v>
      </c>
      <c r="E673" s="275">
        <v>-466.93418000000003</v>
      </c>
      <c r="F673" s="275">
        <v>-445.83447000000001</v>
      </c>
      <c r="G673" s="275">
        <v>-392.75173000000001</v>
      </c>
      <c r="H673" s="275">
        <v>-112.15634</v>
      </c>
      <c r="I673" s="275">
        <v>-102.81354</v>
      </c>
      <c r="J673" s="275">
        <v>-91.121139999999997</v>
      </c>
      <c r="K673" s="275">
        <v>-75.642740000000003</v>
      </c>
      <c r="L673" s="275">
        <v>-73.123040000000003</v>
      </c>
      <c r="M673" s="275">
        <v>-26.409749999999999</v>
      </c>
      <c r="N673" s="275">
        <v>-22.474240000000002</v>
      </c>
      <c r="O673" s="275">
        <v>-19.718630000000001</v>
      </c>
      <c r="P673" s="275">
        <v>-13.24784</v>
      </c>
      <c r="Q673" s="275">
        <v>-12.729850000000001</v>
      </c>
      <c r="R673" s="275">
        <v>-5.9002299999999996</v>
      </c>
      <c r="S673" s="275">
        <v>-4.5679299999999996</v>
      </c>
      <c r="T673" s="275">
        <v>-4.1210500000000003</v>
      </c>
      <c r="U673" s="275"/>
      <c r="V673" s="275"/>
      <c r="W673" s="275"/>
      <c r="X673" s="275"/>
      <c r="Y673" s="275"/>
      <c r="Z673" s="275"/>
      <c r="AA673" s="275"/>
    </row>
    <row r="674" spans="1:27">
      <c r="A674" s="273"/>
      <c r="B674" s="274"/>
      <c r="C674" s="207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</row>
    <row r="675" spans="1:27">
      <c r="A675" s="273">
        <v>229</v>
      </c>
      <c r="B675" s="274">
        <v>75</v>
      </c>
      <c r="C675" s="207" t="s">
        <v>173</v>
      </c>
      <c r="D675" s="275" t="s">
        <v>434</v>
      </c>
      <c r="E675" s="275" t="s">
        <v>435</v>
      </c>
      <c r="F675" s="275" t="s">
        <v>436</v>
      </c>
      <c r="G675" s="275" t="s">
        <v>437</v>
      </c>
      <c r="H675" s="275" t="s">
        <v>438</v>
      </c>
      <c r="I675" s="275" t="s">
        <v>439</v>
      </c>
      <c r="J675" s="275" t="s">
        <v>440</v>
      </c>
      <c r="K675" s="275" t="s">
        <v>441</v>
      </c>
      <c r="L675" s="275" t="s">
        <v>442</v>
      </c>
      <c r="M675" s="275" t="s">
        <v>443</v>
      </c>
      <c r="N675" s="275" t="s">
        <v>444</v>
      </c>
      <c r="O675" s="275" t="s">
        <v>445</v>
      </c>
      <c r="P675" s="275" t="s">
        <v>446</v>
      </c>
      <c r="Q675" s="275" t="s">
        <v>447</v>
      </c>
      <c r="R675" s="275" t="s">
        <v>448</v>
      </c>
      <c r="S675" s="275" t="s">
        <v>449</v>
      </c>
      <c r="T675" s="275" t="s">
        <v>450</v>
      </c>
      <c r="U675" s="275"/>
      <c r="V675" s="275"/>
      <c r="W675" s="275"/>
      <c r="X675" s="275"/>
      <c r="Y675" s="275"/>
      <c r="Z675" s="275"/>
      <c r="AA675" s="275"/>
    </row>
    <row r="676" spans="1:27">
      <c r="A676" s="273"/>
      <c r="B676" s="274"/>
      <c r="C676" s="207"/>
      <c r="D676" s="275">
        <v>-2650.96164</v>
      </c>
      <c r="E676" s="275">
        <v>-467.58328</v>
      </c>
      <c r="F676" s="275">
        <v>-446.48372000000001</v>
      </c>
      <c r="G676" s="275">
        <v>-393.40082000000001</v>
      </c>
      <c r="H676" s="275">
        <v>-112.79507</v>
      </c>
      <c r="I676" s="275">
        <v>-103.45277</v>
      </c>
      <c r="J676" s="275">
        <v>-91.759770000000003</v>
      </c>
      <c r="K676" s="275">
        <v>-76.281899999999993</v>
      </c>
      <c r="L676" s="275">
        <v>-73.762050000000002</v>
      </c>
      <c r="M676" s="275">
        <v>-27.043949999999999</v>
      </c>
      <c r="N676" s="275">
        <v>-23.107800000000001</v>
      </c>
      <c r="O676" s="275">
        <v>-20.352429999999998</v>
      </c>
      <c r="P676" s="275">
        <v>-13.87926</v>
      </c>
      <c r="Q676" s="275">
        <v>-13.36134</v>
      </c>
      <c r="R676" s="275">
        <v>-6.5006399999999998</v>
      </c>
      <c r="S676" s="275">
        <v>-5.14818</v>
      </c>
      <c r="T676" s="275">
        <v>-4.6904199999999996</v>
      </c>
      <c r="U676" s="275"/>
      <c r="V676" s="275"/>
      <c r="W676" s="275"/>
      <c r="X676" s="275"/>
      <c r="Y676" s="275"/>
      <c r="Z676" s="275"/>
      <c r="AA676" s="275"/>
    </row>
    <row r="677" spans="1:27">
      <c r="A677" s="273"/>
      <c r="B677" s="274"/>
      <c r="C677" s="207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</row>
    <row r="678" spans="1:27">
      <c r="A678" s="273">
        <v>230</v>
      </c>
      <c r="B678" s="274">
        <v>75</v>
      </c>
      <c r="C678" s="207" t="s">
        <v>174</v>
      </c>
      <c r="D678" s="275" t="s">
        <v>434</v>
      </c>
      <c r="E678" s="275" t="s">
        <v>435</v>
      </c>
      <c r="F678" s="275" t="s">
        <v>436</v>
      </c>
      <c r="G678" s="275" t="s">
        <v>437</v>
      </c>
      <c r="H678" s="275" t="s">
        <v>438</v>
      </c>
      <c r="I678" s="275" t="s">
        <v>439</v>
      </c>
      <c r="J678" s="275" t="s">
        <v>440</v>
      </c>
      <c r="K678" s="275" t="s">
        <v>441</v>
      </c>
      <c r="L678" s="275" t="s">
        <v>442</v>
      </c>
      <c r="M678" s="275" t="s">
        <v>443</v>
      </c>
      <c r="N678" s="275" t="s">
        <v>444</v>
      </c>
      <c r="O678" s="275" t="s">
        <v>445</v>
      </c>
      <c r="P678" s="275" t="s">
        <v>446</v>
      </c>
      <c r="Q678" s="275" t="s">
        <v>447</v>
      </c>
      <c r="R678" s="275" t="s">
        <v>448</v>
      </c>
      <c r="S678" s="275" t="s">
        <v>449</v>
      </c>
      <c r="T678" s="275" t="s">
        <v>450</v>
      </c>
      <c r="U678" s="275"/>
      <c r="V678" s="275"/>
      <c r="W678" s="275"/>
      <c r="X678" s="275"/>
      <c r="Y678" s="275"/>
      <c r="Z678" s="275"/>
      <c r="AA678" s="275"/>
    </row>
    <row r="679" spans="1:27">
      <c r="A679" s="273"/>
      <c r="B679" s="274"/>
      <c r="C679" s="207"/>
      <c r="D679" s="275">
        <v>-2651.6463100000001</v>
      </c>
      <c r="E679" s="275">
        <v>-468.26810999999998</v>
      </c>
      <c r="F679" s="275">
        <v>-447.16876000000002</v>
      </c>
      <c r="G679" s="275">
        <v>-394.08562999999998</v>
      </c>
      <c r="H679" s="275">
        <v>-113.47181</v>
      </c>
      <c r="I679" s="275">
        <v>-104.13015</v>
      </c>
      <c r="J679" s="275">
        <v>-92.436359999999993</v>
      </c>
      <c r="K679" s="275">
        <v>-76.959299999999999</v>
      </c>
      <c r="L679" s="275">
        <v>-74.439220000000006</v>
      </c>
      <c r="M679" s="275">
        <v>-27.714310000000001</v>
      </c>
      <c r="N679" s="275">
        <v>-23.777429999999999</v>
      </c>
      <c r="O679" s="275">
        <v>-21.02215</v>
      </c>
      <c r="P679" s="275">
        <v>-14.546239999999999</v>
      </c>
      <c r="Q679" s="275">
        <v>-14.02829</v>
      </c>
      <c r="R679" s="275">
        <v>-7.1290699999999996</v>
      </c>
      <c r="S679" s="275">
        <v>-5.7548599999999999</v>
      </c>
      <c r="T679" s="275">
        <v>-5.2850700000000002</v>
      </c>
      <c r="U679" s="275"/>
      <c r="V679" s="275"/>
      <c r="W679" s="275"/>
      <c r="X679" s="275"/>
      <c r="Y679" s="275"/>
      <c r="Z679" s="275"/>
      <c r="AA679" s="275"/>
    </row>
    <row r="680" spans="1:27">
      <c r="A680" s="273"/>
      <c r="B680" s="274"/>
      <c r="C680" s="207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</row>
    <row r="681" spans="1:27">
      <c r="A681" s="273">
        <v>231</v>
      </c>
      <c r="B681" s="274">
        <v>76</v>
      </c>
      <c r="C681" s="207" t="s">
        <v>175</v>
      </c>
      <c r="D681" s="275" t="s">
        <v>434</v>
      </c>
      <c r="E681" s="275" t="s">
        <v>435</v>
      </c>
      <c r="F681" s="275" t="s">
        <v>436</v>
      </c>
      <c r="G681" s="275" t="s">
        <v>437</v>
      </c>
      <c r="H681" s="275" t="s">
        <v>438</v>
      </c>
      <c r="I681" s="275" t="s">
        <v>439</v>
      </c>
      <c r="J681" s="275" t="s">
        <v>440</v>
      </c>
      <c r="K681" s="275" t="s">
        <v>441</v>
      </c>
      <c r="L681" s="275" t="s">
        <v>442</v>
      </c>
      <c r="M681" s="275" t="s">
        <v>443</v>
      </c>
      <c r="N681" s="275" t="s">
        <v>444</v>
      </c>
      <c r="O681" s="275" t="s">
        <v>445</v>
      </c>
      <c r="P681" s="275" t="s">
        <v>446</v>
      </c>
      <c r="Q681" s="275" t="s">
        <v>447</v>
      </c>
      <c r="R681" s="275" t="s">
        <v>448</v>
      </c>
      <c r="S681" s="275" t="s">
        <v>449</v>
      </c>
      <c r="T681" s="275" t="s">
        <v>450</v>
      </c>
      <c r="U681" s="275"/>
      <c r="V681" s="275"/>
      <c r="W681" s="275"/>
      <c r="X681" s="275"/>
      <c r="Y681" s="275"/>
      <c r="Z681" s="275"/>
      <c r="AA681" s="275"/>
    </row>
    <row r="682" spans="1:27">
      <c r="A682" s="273"/>
      <c r="B682" s="274"/>
      <c r="C682" s="207"/>
      <c r="D682" s="275">
        <v>-2729.5554499999998</v>
      </c>
      <c r="E682" s="275">
        <v>-481.25826000000001</v>
      </c>
      <c r="F682" s="275">
        <v>-459.69672000000003</v>
      </c>
      <c r="G682" s="275">
        <v>-403.2448</v>
      </c>
      <c r="H682" s="275">
        <v>-114.59229999999999</v>
      </c>
      <c r="I682" s="275">
        <v>-105.02809000000001</v>
      </c>
      <c r="J682" s="275">
        <v>-92.546629999999993</v>
      </c>
      <c r="K682" s="275">
        <v>-76.745249999999999</v>
      </c>
      <c r="L682" s="275">
        <v>-74.060789999999997</v>
      </c>
      <c r="M682" s="275">
        <v>-25.674810000000001</v>
      </c>
      <c r="N682" s="275">
        <v>-21.62546</v>
      </c>
      <c r="O682" s="275">
        <v>-18.661090000000002</v>
      </c>
      <c r="P682" s="275">
        <v>-12.01327</v>
      </c>
      <c r="Q682" s="275">
        <v>-11.454660000000001</v>
      </c>
      <c r="R682" s="275">
        <v>-4.2702400000000003</v>
      </c>
      <c r="S682" s="275">
        <v>-2.9261400000000002</v>
      </c>
      <c r="T682" s="275">
        <v>-2.4555500000000001</v>
      </c>
      <c r="U682" s="275"/>
      <c r="V682" s="275"/>
      <c r="W682" s="275"/>
      <c r="X682" s="275"/>
      <c r="Y682" s="275"/>
      <c r="Z682" s="275"/>
      <c r="AA682" s="275"/>
    </row>
    <row r="683" spans="1:27">
      <c r="A683" s="273"/>
      <c r="B683" s="274"/>
      <c r="C683" s="207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</row>
    <row r="684" spans="1:27">
      <c r="A684" s="273">
        <v>232</v>
      </c>
      <c r="B684" s="274">
        <v>76</v>
      </c>
      <c r="C684" s="207" t="s">
        <v>176</v>
      </c>
      <c r="D684" s="275" t="s">
        <v>434</v>
      </c>
      <c r="E684" s="275" t="s">
        <v>435</v>
      </c>
      <c r="F684" s="275" t="s">
        <v>436</v>
      </c>
      <c r="G684" s="275" t="s">
        <v>437</v>
      </c>
      <c r="H684" s="275" t="s">
        <v>438</v>
      </c>
      <c r="I684" s="275" t="s">
        <v>439</v>
      </c>
      <c r="J684" s="275" t="s">
        <v>440</v>
      </c>
      <c r="K684" s="275" t="s">
        <v>441</v>
      </c>
      <c r="L684" s="275" t="s">
        <v>442</v>
      </c>
      <c r="M684" s="275" t="s">
        <v>443</v>
      </c>
      <c r="N684" s="275" t="s">
        <v>444</v>
      </c>
      <c r="O684" s="275" t="s">
        <v>445</v>
      </c>
      <c r="P684" s="275" t="s">
        <v>446</v>
      </c>
      <c r="Q684" s="275" t="s">
        <v>447</v>
      </c>
      <c r="R684" s="275" t="s">
        <v>448</v>
      </c>
      <c r="S684" s="275" t="s">
        <v>449</v>
      </c>
      <c r="T684" s="275" t="s">
        <v>450</v>
      </c>
      <c r="U684" s="275"/>
      <c r="V684" s="275"/>
      <c r="W684" s="275"/>
      <c r="X684" s="275"/>
      <c r="Y684" s="275"/>
      <c r="Z684" s="275"/>
      <c r="AA684" s="275"/>
    </row>
    <row r="685" spans="1:27">
      <c r="A685" s="273"/>
      <c r="B685" s="274"/>
      <c r="C685" s="207"/>
      <c r="D685" s="275">
        <v>-2729.8903300000002</v>
      </c>
      <c r="E685" s="275">
        <v>-481.58989000000003</v>
      </c>
      <c r="F685" s="275">
        <v>-460.02924000000002</v>
      </c>
      <c r="G685" s="275">
        <v>-403.57720999999998</v>
      </c>
      <c r="H685" s="275">
        <v>-114.92350999999999</v>
      </c>
      <c r="I685" s="275">
        <v>-105.36011999999999</v>
      </c>
      <c r="J685" s="275">
        <v>-92.878749999999997</v>
      </c>
      <c r="K685" s="275">
        <v>-77.077629999999999</v>
      </c>
      <c r="L685" s="275">
        <v>-74.393150000000006</v>
      </c>
      <c r="M685" s="275">
        <v>-26.005389999999998</v>
      </c>
      <c r="N685" s="275">
        <v>-21.95757</v>
      </c>
      <c r="O685" s="275">
        <v>-18.99316</v>
      </c>
      <c r="P685" s="275">
        <v>-12.345750000000001</v>
      </c>
      <c r="Q685" s="275">
        <v>-11.7872</v>
      </c>
      <c r="R685" s="275">
        <v>-4.5980699999999999</v>
      </c>
      <c r="S685" s="275">
        <v>-3.2590599999999998</v>
      </c>
      <c r="T685" s="275">
        <v>-2.78864</v>
      </c>
      <c r="U685" s="275"/>
      <c r="V685" s="275"/>
      <c r="W685" s="275"/>
      <c r="X685" s="275"/>
      <c r="Y685" s="275"/>
      <c r="Z685" s="275"/>
      <c r="AA685" s="275"/>
    </row>
    <row r="686" spans="1:27">
      <c r="A686" s="273"/>
      <c r="B686" s="274"/>
      <c r="C686" s="207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</row>
    <row r="687" spans="1:27">
      <c r="A687" s="273">
        <v>233</v>
      </c>
      <c r="B687" s="274">
        <v>76</v>
      </c>
      <c r="C687" s="207" t="s">
        <v>177</v>
      </c>
      <c r="D687" s="275" t="s">
        <v>434</v>
      </c>
      <c r="E687" s="275" t="s">
        <v>435</v>
      </c>
      <c r="F687" s="275" t="s">
        <v>436</v>
      </c>
      <c r="G687" s="275" t="s">
        <v>437</v>
      </c>
      <c r="H687" s="275" t="s">
        <v>438</v>
      </c>
      <c r="I687" s="275" t="s">
        <v>439</v>
      </c>
      <c r="J687" s="275" t="s">
        <v>440</v>
      </c>
      <c r="K687" s="275" t="s">
        <v>441</v>
      </c>
      <c r="L687" s="275" t="s">
        <v>442</v>
      </c>
      <c r="M687" s="275" t="s">
        <v>443</v>
      </c>
      <c r="N687" s="275" t="s">
        <v>444</v>
      </c>
      <c r="O687" s="275" t="s">
        <v>445</v>
      </c>
      <c r="P687" s="275" t="s">
        <v>446</v>
      </c>
      <c r="Q687" s="275" t="s">
        <v>447</v>
      </c>
      <c r="R687" s="275" t="s">
        <v>448</v>
      </c>
      <c r="S687" s="275" t="s">
        <v>449</v>
      </c>
      <c r="T687" s="275" t="s">
        <v>450</v>
      </c>
      <c r="U687" s="275"/>
      <c r="V687" s="275"/>
      <c r="W687" s="275"/>
      <c r="X687" s="275"/>
      <c r="Y687" s="275"/>
      <c r="Z687" s="275"/>
      <c r="AA687" s="275"/>
    </row>
    <row r="688" spans="1:27">
      <c r="A688" s="273"/>
      <c r="B688" s="274"/>
      <c r="C688" s="207"/>
      <c r="D688" s="275">
        <v>-2730.40301</v>
      </c>
      <c r="E688" s="275">
        <v>-482.10498000000001</v>
      </c>
      <c r="F688" s="275">
        <v>-460.54410000000001</v>
      </c>
      <c r="G688" s="275">
        <v>-404.09226000000001</v>
      </c>
      <c r="H688" s="275">
        <v>-115.43634</v>
      </c>
      <c r="I688" s="275">
        <v>-105.87307</v>
      </c>
      <c r="J688" s="275">
        <v>-93.391589999999994</v>
      </c>
      <c r="K688" s="275">
        <v>-77.590320000000006</v>
      </c>
      <c r="L688" s="275">
        <v>-74.90598</v>
      </c>
      <c r="M688" s="275">
        <v>-26.517469999999999</v>
      </c>
      <c r="N688" s="275">
        <v>-22.469259999999998</v>
      </c>
      <c r="O688" s="275">
        <v>-19.50525</v>
      </c>
      <c r="P688" s="275">
        <v>-12.8565</v>
      </c>
      <c r="Q688" s="275">
        <v>-12.298249999999999</v>
      </c>
      <c r="R688" s="275">
        <v>-5.0978700000000003</v>
      </c>
      <c r="S688" s="275">
        <v>-3.7458200000000001</v>
      </c>
      <c r="T688" s="275">
        <v>-3.2693400000000001</v>
      </c>
      <c r="U688" s="275"/>
      <c r="V688" s="275"/>
      <c r="W688" s="275"/>
      <c r="X688" s="275"/>
      <c r="Y688" s="275"/>
      <c r="Z688" s="275"/>
      <c r="AA688" s="275"/>
    </row>
    <row r="689" spans="1:27">
      <c r="A689" s="273"/>
      <c r="B689" s="274"/>
      <c r="C689" s="207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</row>
    <row r="690" spans="1:27">
      <c r="A690" s="273">
        <v>234</v>
      </c>
      <c r="B690" s="274">
        <v>76</v>
      </c>
      <c r="C690" s="207" t="s">
        <v>178</v>
      </c>
      <c r="D690" s="275" t="s">
        <v>434</v>
      </c>
      <c r="E690" s="275" t="s">
        <v>435</v>
      </c>
      <c r="F690" s="275" t="s">
        <v>436</v>
      </c>
      <c r="G690" s="275" t="s">
        <v>437</v>
      </c>
      <c r="H690" s="275" t="s">
        <v>438</v>
      </c>
      <c r="I690" s="275" t="s">
        <v>439</v>
      </c>
      <c r="J690" s="275" t="s">
        <v>440</v>
      </c>
      <c r="K690" s="275" t="s">
        <v>441</v>
      </c>
      <c r="L690" s="275" t="s">
        <v>442</v>
      </c>
      <c r="M690" s="275" t="s">
        <v>443</v>
      </c>
      <c r="N690" s="275" t="s">
        <v>444</v>
      </c>
      <c r="O690" s="275" t="s">
        <v>445</v>
      </c>
      <c r="P690" s="275" t="s">
        <v>446</v>
      </c>
      <c r="Q690" s="275" t="s">
        <v>447</v>
      </c>
      <c r="R690" s="275" t="s">
        <v>448</v>
      </c>
      <c r="S690" s="275" t="s">
        <v>449</v>
      </c>
      <c r="T690" s="275" t="s">
        <v>450</v>
      </c>
      <c r="U690" s="275"/>
      <c r="V690" s="275"/>
      <c r="W690" s="275"/>
      <c r="X690" s="275"/>
      <c r="Y690" s="275"/>
      <c r="Z690" s="275"/>
      <c r="AA690" s="275"/>
    </row>
    <row r="691" spans="1:27">
      <c r="A691" s="273"/>
      <c r="B691" s="274"/>
      <c r="C691" s="207"/>
      <c r="D691" s="275">
        <v>-2730.96974</v>
      </c>
      <c r="E691" s="275">
        <v>-482.67435999999998</v>
      </c>
      <c r="F691" s="275">
        <v>-461.11331000000001</v>
      </c>
      <c r="G691" s="275">
        <v>-404.66158999999999</v>
      </c>
      <c r="H691" s="275">
        <v>-116.0018</v>
      </c>
      <c r="I691" s="275">
        <v>-106.43875</v>
      </c>
      <c r="J691" s="275">
        <v>-93.957009999999997</v>
      </c>
      <c r="K691" s="275">
        <v>-78.155770000000004</v>
      </c>
      <c r="L691" s="275">
        <v>-75.471440000000001</v>
      </c>
      <c r="M691" s="275">
        <v>-27.08098</v>
      </c>
      <c r="N691" s="275">
        <v>-23.03229</v>
      </c>
      <c r="O691" s="275">
        <v>-20.068629999999999</v>
      </c>
      <c r="P691" s="275">
        <v>-13.41817</v>
      </c>
      <c r="Q691" s="275">
        <v>-12.860139999999999</v>
      </c>
      <c r="R691" s="275">
        <v>-5.6417999999999999</v>
      </c>
      <c r="S691" s="275">
        <v>-4.274</v>
      </c>
      <c r="T691" s="275">
        <v>-3.7894100000000002</v>
      </c>
      <c r="U691" s="275"/>
      <c r="V691" s="275"/>
      <c r="W691" s="275"/>
      <c r="X691" s="275"/>
      <c r="Y691" s="275"/>
      <c r="Z691" s="275"/>
      <c r="AA691" s="275"/>
    </row>
    <row r="692" spans="1:27">
      <c r="A692" s="273"/>
      <c r="B692" s="274"/>
      <c r="C692" s="207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</row>
    <row r="693" spans="1:27">
      <c r="A693" s="273">
        <v>235</v>
      </c>
      <c r="B693" s="274">
        <v>76</v>
      </c>
      <c r="C693" s="207" t="s">
        <v>179</v>
      </c>
      <c r="D693" s="275" t="s">
        <v>434</v>
      </c>
      <c r="E693" s="275" t="s">
        <v>435</v>
      </c>
      <c r="F693" s="275" t="s">
        <v>436</v>
      </c>
      <c r="G693" s="275" t="s">
        <v>437</v>
      </c>
      <c r="H693" s="275" t="s">
        <v>438</v>
      </c>
      <c r="I693" s="275" t="s">
        <v>439</v>
      </c>
      <c r="J693" s="275" t="s">
        <v>440</v>
      </c>
      <c r="K693" s="275" t="s">
        <v>441</v>
      </c>
      <c r="L693" s="275" t="s">
        <v>442</v>
      </c>
      <c r="M693" s="275" t="s">
        <v>443</v>
      </c>
      <c r="N693" s="275" t="s">
        <v>444</v>
      </c>
      <c r="O693" s="275" t="s">
        <v>445</v>
      </c>
      <c r="P693" s="275" t="s">
        <v>446</v>
      </c>
      <c r="Q693" s="275" t="s">
        <v>447</v>
      </c>
      <c r="R693" s="275" t="s">
        <v>448</v>
      </c>
      <c r="S693" s="275" t="s">
        <v>449</v>
      </c>
      <c r="T693" s="275" t="s">
        <v>450</v>
      </c>
      <c r="U693" s="275"/>
      <c r="V693" s="275"/>
      <c r="W693" s="275"/>
      <c r="X693" s="275"/>
      <c r="Y693" s="275"/>
      <c r="Z693" s="275"/>
      <c r="AA693" s="275"/>
    </row>
    <row r="694" spans="1:27">
      <c r="A694" s="273"/>
      <c r="B694" s="274"/>
      <c r="C694" s="207"/>
      <c r="D694" s="275">
        <v>-2731.5841700000001</v>
      </c>
      <c r="E694" s="275">
        <v>-483.29145999999997</v>
      </c>
      <c r="F694" s="275">
        <v>-461.73034999999999</v>
      </c>
      <c r="G694" s="275">
        <v>-405.27865000000003</v>
      </c>
      <c r="H694" s="275">
        <v>-116.61311000000001</v>
      </c>
      <c r="I694" s="275">
        <v>-107.05041</v>
      </c>
      <c r="J694" s="275">
        <v>-94.568240000000003</v>
      </c>
      <c r="K694" s="275">
        <v>-78.767259999999993</v>
      </c>
      <c r="L694" s="275">
        <v>-76.082849999999993</v>
      </c>
      <c r="M694" s="275">
        <v>-27.688929999999999</v>
      </c>
      <c r="N694" s="275">
        <v>-23.639669999999999</v>
      </c>
      <c r="O694" s="275">
        <v>-20.67625</v>
      </c>
      <c r="P694" s="275">
        <v>-14.023709999999999</v>
      </c>
      <c r="Q694" s="275">
        <v>-13.465820000000001</v>
      </c>
      <c r="R694" s="275">
        <v>-6.2224199999999996</v>
      </c>
      <c r="S694" s="275">
        <v>-4.8366300000000004</v>
      </c>
      <c r="T694" s="275">
        <v>-4.3422499999999999</v>
      </c>
      <c r="U694" s="275"/>
      <c r="V694" s="275"/>
      <c r="W694" s="275"/>
      <c r="X694" s="275"/>
      <c r="Y694" s="275"/>
      <c r="Z694" s="275"/>
      <c r="AA694" s="275"/>
    </row>
    <row r="695" spans="1:27">
      <c r="A695" s="273"/>
      <c r="B695" s="274"/>
      <c r="C695" s="207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</row>
    <row r="696" spans="1:27">
      <c r="A696" s="273">
        <v>236</v>
      </c>
      <c r="B696" s="274">
        <v>76</v>
      </c>
      <c r="C696" s="207" t="s">
        <v>180</v>
      </c>
      <c r="D696" s="275" t="s">
        <v>434</v>
      </c>
      <c r="E696" s="275" t="s">
        <v>435</v>
      </c>
      <c r="F696" s="275" t="s">
        <v>436</v>
      </c>
      <c r="G696" s="275" t="s">
        <v>437</v>
      </c>
      <c r="H696" s="275" t="s">
        <v>438</v>
      </c>
      <c r="I696" s="275" t="s">
        <v>439</v>
      </c>
      <c r="J696" s="275" t="s">
        <v>440</v>
      </c>
      <c r="K696" s="275" t="s">
        <v>441</v>
      </c>
      <c r="L696" s="275" t="s">
        <v>442</v>
      </c>
      <c r="M696" s="275" t="s">
        <v>443</v>
      </c>
      <c r="N696" s="275" t="s">
        <v>444</v>
      </c>
      <c r="O696" s="275" t="s">
        <v>445</v>
      </c>
      <c r="P696" s="275" t="s">
        <v>446</v>
      </c>
      <c r="Q696" s="275" t="s">
        <v>447</v>
      </c>
      <c r="R696" s="275" t="s">
        <v>448</v>
      </c>
      <c r="S696" s="275" t="s">
        <v>449</v>
      </c>
      <c r="T696" s="275" t="s">
        <v>450</v>
      </c>
      <c r="U696" s="275"/>
      <c r="V696" s="275"/>
      <c r="W696" s="275"/>
      <c r="X696" s="275"/>
      <c r="Y696" s="275"/>
      <c r="Z696" s="275"/>
      <c r="AA696" s="275"/>
    </row>
    <row r="697" spans="1:27">
      <c r="A697" s="273"/>
      <c r="B697" s="274"/>
      <c r="C697" s="207"/>
      <c r="D697" s="275">
        <v>-2732.2420000000002</v>
      </c>
      <c r="E697" s="275">
        <v>-483.95337999999998</v>
      </c>
      <c r="F697" s="275">
        <v>-462.39238</v>
      </c>
      <c r="G697" s="275">
        <v>-405.94054</v>
      </c>
      <c r="H697" s="275">
        <v>-117.26569000000001</v>
      </c>
      <c r="I697" s="275">
        <v>-107.70348</v>
      </c>
      <c r="J697" s="275">
        <v>-95.220690000000005</v>
      </c>
      <c r="K697" s="275">
        <v>-79.420230000000004</v>
      </c>
      <c r="L697" s="275">
        <v>-76.735669999999999</v>
      </c>
      <c r="M697" s="275">
        <v>-28.336469999999998</v>
      </c>
      <c r="N697" s="275">
        <v>-24.286539999999999</v>
      </c>
      <c r="O697" s="275">
        <v>-21.323239999999998</v>
      </c>
      <c r="P697" s="275">
        <v>-14.668279999999999</v>
      </c>
      <c r="Q697" s="275">
        <v>-14.11042</v>
      </c>
      <c r="R697" s="275">
        <v>-6.8346600000000004</v>
      </c>
      <c r="S697" s="275">
        <v>-5.4290200000000004</v>
      </c>
      <c r="T697" s="275">
        <v>-4.9234499999999999</v>
      </c>
      <c r="U697" s="275"/>
      <c r="V697" s="275"/>
      <c r="W697" s="275"/>
      <c r="X697" s="275"/>
      <c r="Y697" s="275"/>
      <c r="Z697" s="275"/>
      <c r="AA697" s="275"/>
    </row>
    <row r="698" spans="1:27">
      <c r="A698" s="273"/>
      <c r="B698" s="274"/>
      <c r="C698" s="207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</row>
    <row r="699" spans="1:27">
      <c r="A699" s="273">
        <v>237</v>
      </c>
      <c r="B699" s="274">
        <v>76</v>
      </c>
      <c r="C699" s="207" t="s">
        <v>181</v>
      </c>
      <c r="D699" s="275" t="s">
        <v>434</v>
      </c>
      <c r="E699" s="275" t="s">
        <v>435</v>
      </c>
      <c r="F699" s="275" t="s">
        <v>436</v>
      </c>
      <c r="G699" s="275" t="s">
        <v>437</v>
      </c>
      <c r="H699" s="275" t="s">
        <v>438</v>
      </c>
      <c r="I699" s="275" t="s">
        <v>439</v>
      </c>
      <c r="J699" s="275" t="s">
        <v>440</v>
      </c>
      <c r="K699" s="275" t="s">
        <v>441</v>
      </c>
      <c r="L699" s="275" t="s">
        <v>442</v>
      </c>
      <c r="M699" s="275" t="s">
        <v>443</v>
      </c>
      <c r="N699" s="275" t="s">
        <v>444</v>
      </c>
      <c r="O699" s="275" t="s">
        <v>445</v>
      </c>
      <c r="P699" s="275" t="s">
        <v>446</v>
      </c>
      <c r="Q699" s="275" t="s">
        <v>447</v>
      </c>
      <c r="R699" s="275" t="s">
        <v>448</v>
      </c>
      <c r="S699" s="275" t="s">
        <v>449</v>
      </c>
      <c r="T699" s="275" t="s">
        <v>450</v>
      </c>
      <c r="U699" s="275"/>
      <c r="V699" s="275"/>
      <c r="W699" s="275"/>
      <c r="X699" s="275"/>
      <c r="Y699" s="275"/>
      <c r="Z699" s="275"/>
      <c r="AA699" s="275"/>
    </row>
    <row r="700" spans="1:27">
      <c r="A700" s="273"/>
      <c r="B700" s="274"/>
      <c r="C700" s="207"/>
      <c r="D700" s="275">
        <v>-2732.9383800000001</v>
      </c>
      <c r="E700" s="275">
        <v>-484.65244000000001</v>
      </c>
      <c r="F700" s="275">
        <v>-463.09161</v>
      </c>
      <c r="G700" s="275">
        <v>-406.63958000000002</v>
      </c>
      <c r="H700" s="275">
        <v>-117.95632999999999</v>
      </c>
      <c r="I700" s="275">
        <v>-108.39475</v>
      </c>
      <c r="J700" s="275">
        <v>-95.91113</v>
      </c>
      <c r="K700" s="275">
        <v>-80.111450000000005</v>
      </c>
      <c r="L700" s="275">
        <v>-77.426680000000005</v>
      </c>
      <c r="M700" s="275">
        <v>-29.02017</v>
      </c>
      <c r="N700" s="275">
        <v>-24.969470000000001</v>
      </c>
      <c r="O700" s="275">
        <v>-22.006129999999999</v>
      </c>
      <c r="P700" s="275">
        <v>-15.34835</v>
      </c>
      <c r="Q700" s="275">
        <v>-14.79044</v>
      </c>
      <c r="R700" s="275">
        <v>-7.4748900000000003</v>
      </c>
      <c r="S700" s="275">
        <v>-6.0478500000000004</v>
      </c>
      <c r="T700" s="275">
        <v>-5.52989</v>
      </c>
      <c r="U700" s="275"/>
      <c r="V700" s="275"/>
      <c r="W700" s="275"/>
      <c r="X700" s="275"/>
      <c r="Y700" s="275"/>
      <c r="Z700" s="275"/>
      <c r="AA700" s="275"/>
    </row>
    <row r="701" spans="1:27">
      <c r="A701" s="273"/>
      <c r="B701" s="274"/>
      <c r="C701" s="207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</row>
    <row r="702" spans="1:27">
      <c r="A702" s="273">
        <v>238</v>
      </c>
      <c r="B702" s="274">
        <v>76</v>
      </c>
      <c r="C702" s="207" t="s">
        <v>182</v>
      </c>
      <c r="D702" s="275" t="s">
        <v>434</v>
      </c>
      <c r="E702" s="275" t="s">
        <v>435</v>
      </c>
      <c r="F702" s="275" t="s">
        <v>436</v>
      </c>
      <c r="G702" s="275" t="s">
        <v>437</v>
      </c>
      <c r="H702" s="275" t="s">
        <v>438</v>
      </c>
      <c r="I702" s="275" t="s">
        <v>439</v>
      </c>
      <c r="J702" s="275" t="s">
        <v>440</v>
      </c>
      <c r="K702" s="275" t="s">
        <v>441</v>
      </c>
      <c r="L702" s="275" t="s">
        <v>442</v>
      </c>
      <c r="M702" s="275" t="s">
        <v>443</v>
      </c>
      <c r="N702" s="275" t="s">
        <v>444</v>
      </c>
      <c r="O702" s="275" t="s">
        <v>445</v>
      </c>
      <c r="P702" s="275" t="s">
        <v>446</v>
      </c>
      <c r="Q702" s="275" t="s">
        <v>447</v>
      </c>
      <c r="R702" s="275" t="s">
        <v>448</v>
      </c>
      <c r="S702" s="275" t="s">
        <v>449</v>
      </c>
      <c r="T702" s="275" t="s">
        <v>450</v>
      </c>
      <c r="U702" s="275"/>
      <c r="V702" s="275"/>
      <c r="W702" s="275"/>
      <c r="X702" s="275"/>
      <c r="Y702" s="275"/>
      <c r="Z702" s="275"/>
      <c r="AA702" s="275"/>
    </row>
    <row r="703" spans="1:27">
      <c r="A703" s="273"/>
      <c r="B703" s="274"/>
      <c r="C703" s="207"/>
      <c r="D703" s="275">
        <v>-2733.66732</v>
      </c>
      <c r="E703" s="275">
        <v>-485.39094999999998</v>
      </c>
      <c r="F703" s="275">
        <v>-463.83046999999999</v>
      </c>
      <c r="G703" s="275">
        <v>-407.37808000000001</v>
      </c>
      <c r="H703" s="275">
        <v>-118.68259</v>
      </c>
      <c r="I703" s="275">
        <v>-109.12178</v>
      </c>
      <c r="J703" s="275">
        <v>-96.637169999999998</v>
      </c>
      <c r="K703" s="275">
        <v>-80.838589999999996</v>
      </c>
      <c r="L703" s="275">
        <v>-78.15352</v>
      </c>
      <c r="M703" s="275">
        <v>-29.73743</v>
      </c>
      <c r="N703" s="275">
        <v>-25.685870000000001</v>
      </c>
      <c r="O703" s="275">
        <v>-22.722280000000001</v>
      </c>
      <c r="P703" s="275">
        <v>-16.061319999999998</v>
      </c>
      <c r="Q703" s="275">
        <v>-15.50324</v>
      </c>
      <c r="R703" s="275">
        <v>-8.1404300000000003</v>
      </c>
      <c r="S703" s="275">
        <v>-6.69069</v>
      </c>
      <c r="T703" s="275">
        <v>-6.1593200000000001</v>
      </c>
      <c r="U703" s="275"/>
      <c r="V703" s="275"/>
      <c r="W703" s="275"/>
      <c r="X703" s="275"/>
      <c r="Y703" s="275"/>
      <c r="Z703" s="275"/>
      <c r="AA703" s="275"/>
    </row>
    <row r="704" spans="1:27">
      <c r="A704" s="273"/>
      <c r="B704" s="274"/>
      <c r="C704" s="207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</row>
    <row r="705" spans="1:27">
      <c r="A705" s="273">
        <v>239</v>
      </c>
      <c r="B705" s="274">
        <v>77</v>
      </c>
      <c r="C705" s="207" t="s">
        <v>183</v>
      </c>
      <c r="D705" s="275" t="s">
        <v>434</v>
      </c>
      <c r="E705" s="275" t="s">
        <v>435</v>
      </c>
      <c r="F705" s="275" t="s">
        <v>436</v>
      </c>
      <c r="G705" s="275" t="s">
        <v>437</v>
      </c>
      <c r="H705" s="275" t="s">
        <v>438</v>
      </c>
      <c r="I705" s="275" t="s">
        <v>439</v>
      </c>
      <c r="J705" s="275" t="s">
        <v>440</v>
      </c>
      <c r="K705" s="275" t="s">
        <v>441</v>
      </c>
      <c r="L705" s="275" t="s">
        <v>442</v>
      </c>
      <c r="M705" s="275" t="s">
        <v>443</v>
      </c>
      <c r="N705" s="275" t="s">
        <v>444</v>
      </c>
      <c r="O705" s="275" t="s">
        <v>445</v>
      </c>
      <c r="P705" s="275" t="s">
        <v>446</v>
      </c>
      <c r="Q705" s="275" t="s">
        <v>447</v>
      </c>
      <c r="R705" s="275" t="s">
        <v>448</v>
      </c>
      <c r="S705" s="275" t="s">
        <v>449</v>
      </c>
      <c r="T705" s="275" t="s">
        <v>450</v>
      </c>
      <c r="U705" s="275"/>
      <c r="V705" s="275"/>
      <c r="W705" s="275"/>
      <c r="X705" s="275"/>
      <c r="Y705" s="275"/>
      <c r="Z705" s="275"/>
      <c r="AA705" s="275"/>
    </row>
    <row r="706" spans="1:27">
      <c r="A706" s="273"/>
      <c r="B706" s="274"/>
      <c r="C706" s="207"/>
      <c r="D706" s="275">
        <v>-2812.4086699999998</v>
      </c>
      <c r="E706" s="275">
        <v>-497.96208999999999</v>
      </c>
      <c r="F706" s="275">
        <v>-475.92813000000001</v>
      </c>
      <c r="G706" s="275">
        <v>-415.93029999999999</v>
      </c>
      <c r="H706" s="275">
        <v>-119.1183</v>
      </c>
      <c r="I706" s="275">
        <v>-109.33018</v>
      </c>
      <c r="J706" s="275">
        <v>-96.015100000000004</v>
      </c>
      <c r="K706" s="275">
        <v>-79.888599999999997</v>
      </c>
      <c r="L706" s="275">
        <v>-77.031270000000006</v>
      </c>
      <c r="M706" s="275">
        <v>-26.94117</v>
      </c>
      <c r="N706" s="275">
        <v>-22.776</v>
      </c>
      <c r="O706" s="275">
        <v>-19.590509999999998</v>
      </c>
      <c r="P706" s="275">
        <v>-12.759219999999999</v>
      </c>
      <c r="Q706" s="275">
        <v>-12.15812</v>
      </c>
      <c r="R706" s="275">
        <v>-4.5500499999999997</v>
      </c>
      <c r="S706" s="275">
        <v>-3.15185</v>
      </c>
      <c r="T706" s="275">
        <v>-2.6307999999999998</v>
      </c>
      <c r="U706" s="275"/>
      <c r="V706" s="275"/>
      <c r="W706" s="275"/>
      <c r="X706" s="275"/>
      <c r="Y706" s="275"/>
      <c r="Z706" s="275"/>
      <c r="AA706" s="275"/>
    </row>
    <row r="707" spans="1:27">
      <c r="A707" s="273"/>
      <c r="B707" s="274"/>
      <c r="C707" s="207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</row>
    <row r="708" spans="1:27">
      <c r="A708" s="273">
        <v>240</v>
      </c>
      <c r="B708" s="274">
        <v>77</v>
      </c>
      <c r="C708" s="207" t="s">
        <v>184</v>
      </c>
      <c r="D708" s="275" t="s">
        <v>434</v>
      </c>
      <c r="E708" s="275" t="s">
        <v>435</v>
      </c>
      <c r="F708" s="275" t="s">
        <v>436</v>
      </c>
      <c r="G708" s="275" t="s">
        <v>437</v>
      </c>
      <c r="H708" s="275" t="s">
        <v>438</v>
      </c>
      <c r="I708" s="275" t="s">
        <v>439</v>
      </c>
      <c r="J708" s="275" t="s">
        <v>440</v>
      </c>
      <c r="K708" s="275" t="s">
        <v>441</v>
      </c>
      <c r="L708" s="275" t="s">
        <v>442</v>
      </c>
      <c r="M708" s="275" t="s">
        <v>443</v>
      </c>
      <c r="N708" s="275" t="s">
        <v>444</v>
      </c>
      <c r="O708" s="275" t="s">
        <v>445</v>
      </c>
      <c r="P708" s="275" t="s">
        <v>446</v>
      </c>
      <c r="Q708" s="275" t="s">
        <v>447</v>
      </c>
      <c r="R708" s="275" t="s">
        <v>448</v>
      </c>
      <c r="S708" s="275" t="s">
        <v>449</v>
      </c>
      <c r="T708" s="275" t="s">
        <v>450</v>
      </c>
      <c r="U708" s="275"/>
      <c r="V708" s="275"/>
      <c r="W708" s="275"/>
      <c r="X708" s="275"/>
      <c r="Y708" s="275"/>
      <c r="Z708" s="275"/>
      <c r="AA708" s="275"/>
    </row>
    <row r="709" spans="1:27">
      <c r="A709" s="273"/>
      <c r="B709" s="274"/>
      <c r="C709" s="207"/>
      <c r="D709" s="275">
        <v>-2812.7526899999998</v>
      </c>
      <c r="E709" s="275">
        <v>-498.30273</v>
      </c>
      <c r="F709" s="275">
        <v>-476.26970999999998</v>
      </c>
      <c r="G709" s="275">
        <v>-416.27175</v>
      </c>
      <c r="H709" s="275">
        <v>-119.45855</v>
      </c>
      <c r="I709" s="275">
        <v>-109.67129</v>
      </c>
      <c r="J709" s="275">
        <v>-96.356319999999997</v>
      </c>
      <c r="K709" s="275">
        <v>-80.229979999999998</v>
      </c>
      <c r="L709" s="275">
        <v>-77.372770000000003</v>
      </c>
      <c r="M709" s="275">
        <v>-27.280830000000002</v>
      </c>
      <c r="N709" s="275">
        <v>-23.117249999999999</v>
      </c>
      <c r="O709" s="275">
        <v>-19.931730000000002</v>
      </c>
      <c r="P709" s="275">
        <v>-13.10089</v>
      </c>
      <c r="Q709" s="275">
        <v>-12.49987</v>
      </c>
      <c r="R709" s="275">
        <v>-4.8872799999999996</v>
      </c>
      <c r="S709" s="275">
        <v>-3.4943599999999999</v>
      </c>
      <c r="T709" s="275">
        <v>-2.9736099999999999</v>
      </c>
      <c r="U709" s="275"/>
      <c r="V709" s="275"/>
      <c r="W709" s="275"/>
      <c r="X709" s="275"/>
      <c r="Y709" s="275"/>
      <c r="Z709" s="275"/>
      <c r="AA709" s="275"/>
    </row>
    <row r="710" spans="1:27">
      <c r="A710" s="273"/>
      <c r="B710" s="274"/>
      <c r="C710" s="207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</row>
    <row r="711" spans="1:27">
      <c r="A711" s="273">
        <v>241</v>
      </c>
      <c r="B711" s="274">
        <v>77</v>
      </c>
      <c r="C711" s="207" t="s">
        <v>185</v>
      </c>
      <c r="D711" s="275" t="s">
        <v>434</v>
      </c>
      <c r="E711" s="275" t="s">
        <v>435</v>
      </c>
      <c r="F711" s="275" t="s">
        <v>436</v>
      </c>
      <c r="G711" s="275" t="s">
        <v>437</v>
      </c>
      <c r="H711" s="275" t="s">
        <v>438</v>
      </c>
      <c r="I711" s="275" t="s">
        <v>439</v>
      </c>
      <c r="J711" s="275" t="s">
        <v>440</v>
      </c>
      <c r="K711" s="275" t="s">
        <v>441</v>
      </c>
      <c r="L711" s="275" t="s">
        <v>442</v>
      </c>
      <c r="M711" s="275" t="s">
        <v>443</v>
      </c>
      <c r="N711" s="275" t="s">
        <v>444</v>
      </c>
      <c r="O711" s="275" t="s">
        <v>445</v>
      </c>
      <c r="P711" s="275" t="s">
        <v>446</v>
      </c>
      <c r="Q711" s="275" t="s">
        <v>447</v>
      </c>
      <c r="R711" s="275" t="s">
        <v>448</v>
      </c>
      <c r="S711" s="275" t="s">
        <v>449</v>
      </c>
      <c r="T711" s="275" t="s">
        <v>450</v>
      </c>
      <c r="U711" s="275"/>
      <c r="V711" s="275"/>
      <c r="W711" s="275"/>
      <c r="X711" s="275"/>
      <c r="Y711" s="275"/>
      <c r="Z711" s="275"/>
      <c r="AA711" s="275"/>
    </row>
    <row r="712" spans="1:27">
      <c r="A712" s="273"/>
      <c r="B712" s="274"/>
      <c r="C712" s="207"/>
      <c r="D712" s="275">
        <v>-2813.2804599999999</v>
      </c>
      <c r="E712" s="275">
        <v>-498.83307000000002</v>
      </c>
      <c r="F712" s="275">
        <v>-476.79978</v>
      </c>
      <c r="G712" s="275">
        <v>-416.80205999999998</v>
      </c>
      <c r="H712" s="275">
        <v>-119.98672999999999</v>
      </c>
      <c r="I712" s="275">
        <v>-110.19956000000001</v>
      </c>
      <c r="J712" s="275">
        <v>-96.884479999999996</v>
      </c>
      <c r="K712" s="275">
        <v>-80.757980000000003</v>
      </c>
      <c r="L712" s="275">
        <v>-77.900869999999998</v>
      </c>
      <c r="M712" s="275">
        <v>-27.808029999999999</v>
      </c>
      <c r="N712" s="275">
        <v>-23.64404</v>
      </c>
      <c r="O712" s="275">
        <v>-20.4589</v>
      </c>
      <c r="P712" s="275">
        <v>-13.62664</v>
      </c>
      <c r="Q712" s="275">
        <v>-13.02595</v>
      </c>
      <c r="R712" s="275">
        <v>-5.4011300000000002</v>
      </c>
      <c r="S712" s="275">
        <v>-3.9950700000000001</v>
      </c>
      <c r="T712" s="275">
        <v>-3.46807</v>
      </c>
      <c r="U712" s="275"/>
      <c r="V712" s="275"/>
      <c r="W712" s="275"/>
      <c r="X712" s="275"/>
      <c r="Y712" s="275"/>
      <c r="Z712" s="275"/>
      <c r="AA712" s="275"/>
    </row>
    <row r="713" spans="1:27">
      <c r="A713" s="273"/>
      <c r="B713" s="274"/>
      <c r="C713" s="207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</row>
    <row r="714" spans="1:27">
      <c r="A714" s="273">
        <v>242</v>
      </c>
      <c r="B714" s="274">
        <v>77</v>
      </c>
      <c r="C714" s="207" t="s">
        <v>186</v>
      </c>
      <c r="D714" s="275" t="s">
        <v>434</v>
      </c>
      <c r="E714" s="275" t="s">
        <v>435</v>
      </c>
      <c r="F714" s="275" t="s">
        <v>436</v>
      </c>
      <c r="G714" s="275" t="s">
        <v>437</v>
      </c>
      <c r="H714" s="275" t="s">
        <v>438</v>
      </c>
      <c r="I714" s="275" t="s">
        <v>439</v>
      </c>
      <c r="J714" s="275" t="s">
        <v>440</v>
      </c>
      <c r="K714" s="275" t="s">
        <v>441</v>
      </c>
      <c r="L714" s="275" t="s">
        <v>442</v>
      </c>
      <c r="M714" s="275" t="s">
        <v>443</v>
      </c>
      <c r="N714" s="275" t="s">
        <v>444</v>
      </c>
      <c r="O714" s="275" t="s">
        <v>445</v>
      </c>
      <c r="P714" s="275" t="s">
        <v>446</v>
      </c>
      <c r="Q714" s="275" t="s">
        <v>447</v>
      </c>
      <c r="R714" s="275" t="s">
        <v>448</v>
      </c>
      <c r="S714" s="275" t="s">
        <v>449</v>
      </c>
      <c r="T714" s="275" t="s">
        <v>450</v>
      </c>
      <c r="U714" s="275"/>
      <c r="V714" s="275"/>
      <c r="W714" s="275"/>
      <c r="X714" s="275"/>
      <c r="Y714" s="275"/>
      <c r="Z714" s="275"/>
      <c r="AA714" s="275"/>
    </row>
    <row r="715" spans="1:27">
      <c r="A715" s="273"/>
      <c r="B715" s="274"/>
      <c r="C715" s="207"/>
      <c r="D715" s="275">
        <v>-2813.8614600000001</v>
      </c>
      <c r="E715" s="275">
        <v>-499.41674999999998</v>
      </c>
      <c r="F715" s="275">
        <v>-477.38326999999998</v>
      </c>
      <c r="G715" s="275">
        <v>-417.38569999999999</v>
      </c>
      <c r="H715" s="275">
        <v>-120.56663</v>
      </c>
      <c r="I715" s="275">
        <v>-110.77968</v>
      </c>
      <c r="J715" s="275">
        <v>-97.464330000000004</v>
      </c>
      <c r="K715" s="275">
        <v>-81.337850000000003</v>
      </c>
      <c r="L715" s="275">
        <v>-78.48075</v>
      </c>
      <c r="M715" s="275">
        <v>-28.38571</v>
      </c>
      <c r="N715" s="275">
        <v>-24.221209999999999</v>
      </c>
      <c r="O715" s="275">
        <v>-21.036349999999999</v>
      </c>
      <c r="P715" s="275">
        <v>-14.20232</v>
      </c>
      <c r="Q715" s="275">
        <v>-13.60186</v>
      </c>
      <c r="R715" s="275">
        <v>-5.9580200000000003</v>
      </c>
      <c r="S715" s="275">
        <v>-4.5362900000000002</v>
      </c>
      <c r="T715" s="275">
        <v>-4.0009600000000001</v>
      </c>
      <c r="U715" s="275"/>
      <c r="V715" s="275"/>
      <c r="W715" s="275"/>
      <c r="X715" s="275"/>
      <c r="Y715" s="275"/>
      <c r="Z715" s="275"/>
      <c r="AA715" s="275"/>
    </row>
    <row r="716" spans="1:27">
      <c r="A716" s="273"/>
      <c r="B716" s="274"/>
      <c r="C716" s="207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</row>
    <row r="717" spans="1:27">
      <c r="A717" s="273">
        <v>243</v>
      </c>
      <c r="B717" s="274">
        <v>77</v>
      </c>
      <c r="C717" s="207" t="s">
        <v>187</v>
      </c>
      <c r="D717" s="275" t="s">
        <v>434</v>
      </c>
      <c r="E717" s="275" t="s">
        <v>435</v>
      </c>
      <c r="F717" s="275" t="s">
        <v>436</v>
      </c>
      <c r="G717" s="275" t="s">
        <v>437</v>
      </c>
      <c r="H717" s="275" t="s">
        <v>438</v>
      </c>
      <c r="I717" s="275" t="s">
        <v>439</v>
      </c>
      <c r="J717" s="275" t="s">
        <v>440</v>
      </c>
      <c r="K717" s="275" t="s">
        <v>441</v>
      </c>
      <c r="L717" s="275" t="s">
        <v>442</v>
      </c>
      <c r="M717" s="275" t="s">
        <v>443</v>
      </c>
      <c r="N717" s="275" t="s">
        <v>444</v>
      </c>
      <c r="O717" s="275" t="s">
        <v>445</v>
      </c>
      <c r="P717" s="275" t="s">
        <v>446</v>
      </c>
      <c r="Q717" s="275" t="s">
        <v>447</v>
      </c>
      <c r="R717" s="275" t="s">
        <v>448</v>
      </c>
      <c r="S717" s="275" t="s">
        <v>449</v>
      </c>
      <c r="T717" s="275" t="s">
        <v>450</v>
      </c>
      <c r="U717" s="275"/>
      <c r="V717" s="275"/>
      <c r="W717" s="275"/>
      <c r="X717" s="275"/>
      <c r="Y717" s="275"/>
      <c r="Z717" s="275"/>
      <c r="AA717" s="275"/>
    </row>
    <row r="718" spans="1:27">
      <c r="A718" s="273"/>
      <c r="B718" s="274"/>
      <c r="C718" s="207"/>
      <c r="D718" s="275">
        <v>-2814.4897299999998</v>
      </c>
      <c r="E718" s="275">
        <v>-500.04768999999999</v>
      </c>
      <c r="F718" s="275">
        <v>-478.01411999999999</v>
      </c>
      <c r="G718" s="275">
        <v>-418.01659999999998</v>
      </c>
      <c r="H718" s="275">
        <v>-121.19185</v>
      </c>
      <c r="I718" s="275">
        <v>-111.40524000000001</v>
      </c>
      <c r="J718" s="275">
        <v>-98.089449999999999</v>
      </c>
      <c r="K718" s="275">
        <v>-81.963340000000002</v>
      </c>
      <c r="L718" s="275">
        <v>-79.106179999999995</v>
      </c>
      <c r="M718" s="275">
        <v>-29.007300000000001</v>
      </c>
      <c r="N718" s="275">
        <v>-24.842199999999998</v>
      </c>
      <c r="O718" s="275">
        <v>-21.657509999999998</v>
      </c>
      <c r="P718" s="275">
        <v>-14.82137</v>
      </c>
      <c r="Q718" s="275">
        <v>-14.221030000000001</v>
      </c>
      <c r="R718" s="275">
        <v>-6.5510599999999997</v>
      </c>
      <c r="S718" s="275">
        <v>-5.1115399999999998</v>
      </c>
      <c r="T718" s="275">
        <v>-4.5661399999999999</v>
      </c>
      <c r="U718" s="275"/>
      <c r="V718" s="275"/>
      <c r="W718" s="275"/>
      <c r="X718" s="275"/>
      <c r="Y718" s="275"/>
      <c r="Z718" s="275"/>
      <c r="AA718" s="275"/>
    </row>
    <row r="719" spans="1:27">
      <c r="A719" s="273"/>
      <c r="B719" s="274"/>
      <c r="C719" s="207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</row>
    <row r="720" spans="1:27">
      <c r="A720" s="273">
        <v>244</v>
      </c>
      <c r="B720" s="274">
        <v>77</v>
      </c>
      <c r="C720" s="207" t="s">
        <v>188</v>
      </c>
      <c r="D720" s="275" t="s">
        <v>434</v>
      </c>
      <c r="E720" s="275" t="s">
        <v>435</v>
      </c>
      <c r="F720" s="275" t="s">
        <v>436</v>
      </c>
      <c r="G720" s="275" t="s">
        <v>437</v>
      </c>
      <c r="H720" s="275" t="s">
        <v>438</v>
      </c>
      <c r="I720" s="275" t="s">
        <v>439</v>
      </c>
      <c r="J720" s="275" t="s">
        <v>440</v>
      </c>
      <c r="K720" s="275" t="s">
        <v>441</v>
      </c>
      <c r="L720" s="275" t="s">
        <v>442</v>
      </c>
      <c r="M720" s="275" t="s">
        <v>443</v>
      </c>
      <c r="N720" s="275" t="s">
        <v>444</v>
      </c>
      <c r="O720" s="275" t="s">
        <v>445</v>
      </c>
      <c r="P720" s="275" t="s">
        <v>446</v>
      </c>
      <c r="Q720" s="275" t="s">
        <v>447</v>
      </c>
      <c r="R720" s="275" t="s">
        <v>448</v>
      </c>
      <c r="S720" s="275" t="s">
        <v>449</v>
      </c>
      <c r="T720" s="275" t="s">
        <v>450</v>
      </c>
      <c r="U720" s="275"/>
      <c r="V720" s="275"/>
      <c r="W720" s="275"/>
      <c r="X720" s="275"/>
      <c r="Y720" s="275"/>
      <c r="Z720" s="275"/>
      <c r="AA720" s="275"/>
    </row>
    <row r="721" spans="1:27">
      <c r="A721" s="273"/>
      <c r="B721" s="274"/>
      <c r="C721" s="207"/>
      <c r="D721" s="275">
        <v>-2815.1586499999999</v>
      </c>
      <c r="E721" s="275">
        <v>-500.72287</v>
      </c>
      <c r="F721" s="275">
        <v>-478.68936000000002</v>
      </c>
      <c r="G721" s="275">
        <v>-418.69173999999998</v>
      </c>
      <c r="H721" s="275">
        <v>-121.85835</v>
      </c>
      <c r="I721" s="275">
        <v>-112.0723</v>
      </c>
      <c r="J721" s="275">
        <v>-98.755880000000005</v>
      </c>
      <c r="K721" s="275">
        <v>-82.630139999999997</v>
      </c>
      <c r="L721" s="275">
        <v>-79.772850000000005</v>
      </c>
      <c r="M721" s="275">
        <v>-29.668289999999999</v>
      </c>
      <c r="N721" s="275">
        <v>-25.502490000000002</v>
      </c>
      <c r="O721" s="275">
        <v>-22.317820000000001</v>
      </c>
      <c r="P721" s="275">
        <v>-15.479200000000001</v>
      </c>
      <c r="Q721" s="275">
        <v>-14.87889</v>
      </c>
      <c r="R721" s="275">
        <v>-7.1754800000000003</v>
      </c>
      <c r="S721" s="275">
        <v>-5.7163599999999999</v>
      </c>
      <c r="T721" s="275">
        <v>-5.15944</v>
      </c>
      <c r="U721" s="275"/>
      <c r="V721" s="275"/>
      <c r="W721" s="275"/>
      <c r="X721" s="275"/>
      <c r="Y721" s="275"/>
      <c r="Z721" s="275"/>
      <c r="AA721" s="275"/>
    </row>
    <row r="722" spans="1:27">
      <c r="A722" s="273"/>
      <c r="B722" s="274"/>
      <c r="C722" s="207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</row>
    <row r="723" spans="1:27">
      <c r="A723" s="273">
        <v>245</v>
      </c>
      <c r="B723" s="274">
        <v>78</v>
      </c>
      <c r="C723" s="207" t="s">
        <v>382</v>
      </c>
      <c r="D723" s="275" t="s">
        <v>434</v>
      </c>
      <c r="E723" s="275" t="s">
        <v>435</v>
      </c>
      <c r="F723" s="275" t="s">
        <v>436</v>
      </c>
      <c r="G723" s="275" t="s">
        <v>437</v>
      </c>
      <c r="H723" s="275" t="s">
        <v>438</v>
      </c>
      <c r="I723" s="275" t="s">
        <v>439</v>
      </c>
      <c r="J723" s="275" t="s">
        <v>440</v>
      </c>
      <c r="K723" s="275" t="s">
        <v>441</v>
      </c>
      <c r="L723" s="275" t="s">
        <v>442</v>
      </c>
      <c r="M723" s="275" t="s">
        <v>443</v>
      </c>
      <c r="N723" s="275" t="s">
        <v>444</v>
      </c>
      <c r="O723" s="275" t="s">
        <v>445</v>
      </c>
      <c r="P723" s="275" t="s">
        <v>446</v>
      </c>
      <c r="Q723" s="275" t="s">
        <v>447</v>
      </c>
      <c r="R723" s="275" t="s">
        <v>448</v>
      </c>
      <c r="S723" s="275" t="s">
        <v>449</v>
      </c>
      <c r="T723" s="275" t="s">
        <v>450</v>
      </c>
      <c r="U723" s="275"/>
      <c r="V723" s="275"/>
      <c r="W723" s="275"/>
      <c r="X723" s="275"/>
      <c r="Y723" s="275"/>
      <c r="Z723" s="275"/>
      <c r="AA723" s="275"/>
    </row>
    <row r="724" spans="1:27">
      <c r="A724" s="273"/>
      <c r="B724" s="274"/>
      <c r="C724" s="207"/>
      <c r="D724" s="275">
        <v>-2897.2364200000002</v>
      </c>
      <c r="E724" s="275">
        <v>-515.41576999999995</v>
      </c>
      <c r="F724" s="275">
        <v>-492.90548999999999</v>
      </c>
      <c r="G724" s="275">
        <v>-429.17709000000002</v>
      </c>
      <c r="H724" s="275">
        <v>-124.11562000000001</v>
      </c>
      <c r="I724" s="275">
        <v>-114.10186</v>
      </c>
      <c r="J724" s="275">
        <v>-99.907439999999994</v>
      </c>
      <c r="K724" s="275">
        <v>-83.453209999999999</v>
      </c>
      <c r="L724" s="275">
        <v>-80.414879999999997</v>
      </c>
      <c r="M724" s="275">
        <v>-28.59478</v>
      </c>
      <c r="N724" s="275">
        <v>-24.31373</v>
      </c>
      <c r="O724" s="275">
        <v>-20.892980000000001</v>
      </c>
      <c r="P724" s="275">
        <v>-13.87693</v>
      </c>
      <c r="Q724" s="275">
        <v>-13.230790000000001</v>
      </c>
      <c r="R724" s="275">
        <v>-5.1823600000000001</v>
      </c>
      <c r="S724" s="275">
        <v>-3.7354599999999998</v>
      </c>
      <c r="T724" s="275">
        <v>-3.16073</v>
      </c>
      <c r="U724" s="275"/>
      <c r="V724" s="275"/>
      <c r="W724" s="275"/>
      <c r="X724" s="275"/>
      <c r="Y724" s="275"/>
      <c r="Z724" s="275"/>
      <c r="AA724" s="275"/>
    </row>
    <row r="725" spans="1:27">
      <c r="A725" s="273"/>
      <c r="B725" s="274"/>
      <c r="C725" s="207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</row>
    <row r="726" spans="1:27">
      <c r="A726" s="273">
        <v>246</v>
      </c>
      <c r="B726" s="274">
        <v>78</v>
      </c>
      <c r="C726" s="207" t="s">
        <v>383</v>
      </c>
      <c r="D726" s="275" t="s">
        <v>434</v>
      </c>
      <c r="E726" s="275" t="s">
        <v>435</v>
      </c>
      <c r="F726" s="275" t="s">
        <v>436</v>
      </c>
      <c r="G726" s="275" t="s">
        <v>437</v>
      </c>
      <c r="H726" s="275" t="s">
        <v>438</v>
      </c>
      <c r="I726" s="275" t="s">
        <v>439</v>
      </c>
      <c r="J726" s="275" t="s">
        <v>440</v>
      </c>
      <c r="K726" s="275" t="s">
        <v>441</v>
      </c>
      <c r="L726" s="275" t="s">
        <v>442</v>
      </c>
      <c r="M726" s="275" t="s">
        <v>443</v>
      </c>
      <c r="N726" s="275" t="s">
        <v>444</v>
      </c>
      <c r="O726" s="275" t="s">
        <v>445</v>
      </c>
      <c r="P726" s="275" t="s">
        <v>446</v>
      </c>
      <c r="Q726" s="275" t="s">
        <v>447</v>
      </c>
      <c r="R726" s="275" t="s">
        <v>448</v>
      </c>
      <c r="S726" s="275" t="s">
        <v>449</v>
      </c>
      <c r="T726" s="275" t="s">
        <v>450</v>
      </c>
      <c r="U726" s="275"/>
      <c r="V726" s="275"/>
      <c r="W726" s="275"/>
      <c r="X726" s="275"/>
      <c r="Y726" s="275"/>
      <c r="Z726" s="275"/>
      <c r="AA726" s="275"/>
    </row>
    <row r="727" spans="1:27">
      <c r="A727" s="273"/>
      <c r="B727" s="274"/>
      <c r="C727" s="207"/>
      <c r="D727" s="275">
        <v>-2898.3701000000001</v>
      </c>
      <c r="E727" s="275">
        <v>-516.55943000000002</v>
      </c>
      <c r="F727" s="275">
        <v>-494.04863999999998</v>
      </c>
      <c r="G727" s="275">
        <v>-430.32069999999999</v>
      </c>
      <c r="H727" s="275">
        <v>-125.2535</v>
      </c>
      <c r="I727" s="275">
        <v>-115.24003999999999</v>
      </c>
      <c r="J727" s="275">
        <v>-101.04524000000001</v>
      </c>
      <c r="K727" s="275">
        <v>-84.590829999999997</v>
      </c>
      <c r="L727" s="275">
        <v>-81.55265</v>
      </c>
      <c r="M727" s="275">
        <v>-29.729019999999998</v>
      </c>
      <c r="N727" s="275">
        <v>-25.44699</v>
      </c>
      <c r="O727" s="275">
        <v>-22.02685</v>
      </c>
      <c r="P727" s="275">
        <v>-15.007490000000001</v>
      </c>
      <c r="Q727" s="275">
        <v>-14.361969999999999</v>
      </c>
      <c r="R727" s="275">
        <v>-6.2804799999999998</v>
      </c>
      <c r="S727" s="275">
        <v>-4.8047000000000004</v>
      </c>
      <c r="T727" s="275">
        <v>-4.2149400000000004</v>
      </c>
      <c r="U727" s="275"/>
      <c r="V727" s="275"/>
      <c r="W727" s="275"/>
      <c r="X727" s="275"/>
      <c r="Y727" s="275"/>
      <c r="Z727" s="275"/>
      <c r="AA727" s="275"/>
    </row>
    <row r="728" spans="1:27">
      <c r="A728" s="273"/>
      <c r="B728" s="274"/>
      <c r="C728" s="207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</row>
    <row r="729" spans="1:27">
      <c r="A729" s="273">
        <v>247</v>
      </c>
      <c r="B729" s="274">
        <v>78</v>
      </c>
      <c r="C729" s="207" t="s">
        <v>189</v>
      </c>
      <c r="D729" s="275" t="s">
        <v>434</v>
      </c>
      <c r="E729" s="275" t="s">
        <v>435</v>
      </c>
      <c r="F729" s="275" t="s">
        <v>436</v>
      </c>
      <c r="G729" s="275" t="s">
        <v>437</v>
      </c>
      <c r="H729" s="275" t="s">
        <v>438</v>
      </c>
      <c r="I729" s="275" t="s">
        <v>439</v>
      </c>
      <c r="J729" s="275" t="s">
        <v>440</v>
      </c>
      <c r="K729" s="275" t="s">
        <v>441</v>
      </c>
      <c r="L729" s="275" t="s">
        <v>442</v>
      </c>
      <c r="M729" s="275" t="s">
        <v>443</v>
      </c>
      <c r="N729" s="275" t="s">
        <v>444</v>
      </c>
      <c r="O729" s="275" t="s">
        <v>445</v>
      </c>
      <c r="P729" s="275" t="s">
        <v>446</v>
      </c>
      <c r="Q729" s="275" t="s">
        <v>447</v>
      </c>
      <c r="R729" s="275" t="s">
        <v>448</v>
      </c>
      <c r="S729" s="275" t="s">
        <v>449</v>
      </c>
      <c r="T729" s="275" t="s">
        <v>450</v>
      </c>
      <c r="U729" s="275"/>
      <c r="V729" s="275"/>
      <c r="W729" s="275"/>
      <c r="X729" s="275"/>
      <c r="Y729" s="275"/>
      <c r="Z729" s="275"/>
      <c r="AA729" s="275"/>
    </row>
    <row r="730" spans="1:27">
      <c r="A730" s="273"/>
      <c r="B730" s="274"/>
      <c r="C730" s="207"/>
      <c r="D730" s="275">
        <v>-2899.01361</v>
      </c>
      <c r="E730" s="275">
        <v>-517.20546999999999</v>
      </c>
      <c r="F730" s="275">
        <v>-494.69459000000001</v>
      </c>
      <c r="G730" s="275">
        <v>-430.96555000000001</v>
      </c>
      <c r="H730" s="275">
        <v>-125.89284000000001</v>
      </c>
      <c r="I730" s="275">
        <v>-115.87971</v>
      </c>
      <c r="J730" s="275">
        <v>-101.68447</v>
      </c>
      <c r="K730" s="275">
        <v>-85.230279999999993</v>
      </c>
      <c r="L730" s="275">
        <v>-82.192160000000001</v>
      </c>
      <c r="M730" s="275">
        <v>-30.364380000000001</v>
      </c>
      <c r="N730" s="275">
        <v>-26.08173</v>
      </c>
      <c r="O730" s="275">
        <v>-22.66169</v>
      </c>
      <c r="P730" s="275">
        <v>-15.640169999999999</v>
      </c>
      <c r="Q730" s="275">
        <v>-14.99479</v>
      </c>
      <c r="R730" s="275">
        <v>-6.8862300000000003</v>
      </c>
      <c r="S730" s="275">
        <v>-5.3928000000000003</v>
      </c>
      <c r="T730" s="275">
        <v>-4.7926799999999998</v>
      </c>
      <c r="U730" s="275"/>
      <c r="V730" s="275"/>
      <c r="W730" s="275"/>
      <c r="X730" s="275"/>
      <c r="Y730" s="275"/>
      <c r="Z730" s="275"/>
      <c r="AA730" s="275"/>
    </row>
    <row r="731" spans="1:27">
      <c r="A731" s="273"/>
      <c r="B731" s="274"/>
      <c r="C731" s="207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</row>
    <row r="732" spans="1:27">
      <c r="A732" s="273">
        <v>248</v>
      </c>
      <c r="B732" s="274">
        <v>78</v>
      </c>
      <c r="C732" s="207" t="s">
        <v>190</v>
      </c>
      <c r="D732" s="275" t="s">
        <v>434</v>
      </c>
      <c r="E732" s="275" t="s">
        <v>435</v>
      </c>
      <c r="F732" s="275" t="s">
        <v>436</v>
      </c>
      <c r="G732" s="275" t="s">
        <v>437</v>
      </c>
      <c r="H732" s="275" t="s">
        <v>438</v>
      </c>
      <c r="I732" s="275" t="s">
        <v>439</v>
      </c>
      <c r="J732" s="275" t="s">
        <v>440</v>
      </c>
      <c r="K732" s="275" t="s">
        <v>441</v>
      </c>
      <c r="L732" s="275" t="s">
        <v>442</v>
      </c>
      <c r="M732" s="275" t="s">
        <v>443</v>
      </c>
      <c r="N732" s="275" t="s">
        <v>444</v>
      </c>
      <c r="O732" s="275" t="s">
        <v>445</v>
      </c>
      <c r="P732" s="275" t="s">
        <v>446</v>
      </c>
      <c r="Q732" s="275" t="s">
        <v>447</v>
      </c>
      <c r="R732" s="275" t="s">
        <v>448</v>
      </c>
      <c r="S732" s="275" t="s">
        <v>449</v>
      </c>
      <c r="T732" s="275" t="s">
        <v>450</v>
      </c>
      <c r="U732" s="275"/>
      <c r="V732" s="275"/>
      <c r="W732" s="275"/>
      <c r="X732" s="275"/>
      <c r="Y732" s="275"/>
      <c r="Z732" s="275"/>
      <c r="AA732" s="275"/>
    </row>
    <row r="733" spans="1:27">
      <c r="A733" s="273"/>
      <c r="B733" s="274"/>
      <c r="C733" s="207"/>
      <c r="D733" s="275">
        <v>-2899.6998800000001</v>
      </c>
      <c r="E733" s="275">
        <v>-517.89301</v>
      </c>
      <c r="F733" s="275">
        <v>-495.38211999999999</v>
      </c>
      <c r="G733" s="275">
        <v>-431.65418</v>
      </c>
      <c r="H733" s="275">
        <v>-126.57324</v>
      </c>
      <c r="I733" s="275">
        <v>-116.56058</v>
      </c>
      <c r="J733" s="275">
        <v>-102.36468000000001</v>
      </c>
      <c r="K733" s="275">
        <v>-85.910989999999998</v>
      </c>
      <c r="L733" s="275">
        <v>-82.872640000000004</v>
      </c>
      <c r="M733" s="275">
        <v>-31.038889999999999</v>
      </c>
      <c r="N733" s="275">
        <v>-26.755520000000001</v>
      </c>
      <c r="O733" s="275">
        <v>-23.3354</v>
      </c>
      <c r="P733" s="275">
        <v>-16.31138</v>
      </c>
      <c r="Q733" s="275">
        <v>-15.66602</v>
      </c>
      <c r="R733" s="275">
        <v>-7.52311</v>
      </c>
      <c r="S733" s="275">
        <v>-6.0103</v>
      </c>
      <c r="T733" s="275">
        <v>-5.39832</v>
      </c>
      <c r="U733" s="275"/>
      <c r="V733" s="275"/>
      <c r="W733" s="275"/>
      <c r="X733" s="275"/>
      <c r="Y733" s="275"/>
      <c r="Z733" s="275"/>
      <c r="AA733" s="275"/>
    </row>
    <row r="734" spans="1:27">
      <c r="A734" s="273"/>
      <c r="B734" s="274"/>
      <c r="C734" s="207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</row>
    <row r="735" spans="1:27">
      <c r="A735" s="273">
        <v>249</v>
      </c>
      <c r="B735" s="274">
        <v>79</v>
      </c>
      <c r="C735" s="207" t="s">
        <v>191</v>
      </c>
      <c r="D735" s="275" t="s">
        <v>434</v>
      </c>
      <c r="E735" s="275" t="s">
        <v>435</v>
      </c>
      <c r="F735" s="275" t="s">
        <v>436</v>
      </c>
      <c r="G735" s="275" t="s">
        <v>437</v>
      </c>
      <c r="H735" s="275" t="s">
        <v>438</v>
      </c>
      <c r="I735" s="275" t="s">
        <v>439</v>
      </c>
      <c r="J735" s="275" t="s">
        <v>440</v>
      </c>
      <c r="K735" s="275" t="s">
        <v>441</v>
      </c>
      <c r="L735" s="275" t="s">
        <v>442</v>
      </c>
      <c r="M735" s="275" t="s">
        <v>443</v>
      </c>
      <c r="N735" s="275" t="s">
        <v>444</v>
      </c>
      <c r="O735" s="275" t="s">
        <v>445</v>
      </c>
      <c r="P735" s="275" t="s">
        <v>446</v>
      </c>
      <c r="Q735" s="275" t="s">
        <v>447</v>
      </c>
      <c r="R735" s="275" t="s">
        <v>448</v>
      </c>
      <c r="S735" s="275" t="s">
        <v>449</v>
      </c>
      <c r="T735" s="275" t="s">
        <v>450</v>
      </c>
      <c r="U735" s="275"/>
      <c r="V735" s="275"/>
      <c r="W735" s="275"/>
      <c r="X735" s="275"/>
      <c r="Y735" s="275"/>
      <c r="Z735" s="275"/>
      <c r="AA735" s="275"/>
    </row>
    <row r="736" spans="1:27">
      <c r="A736" s="273"/>
      <c r="B736" s="274"/>
      <c r="C736" s="207"/>
      <c r="D736" s="275">
        <v>-2982.8810600000002</v>
      </c>
      <c r="E736" s="275">
        <v>-532.43978000000004</v>
      </c>
      <c r="F736" s="275">
        <v>-509.44434000000001</v>
      </c>
      <c r="G736" s="275">
        <v>-441.79194999999999</v>
      </c>
      <c r="H736" s="275">
        <v>-128.39734999999999</v>
      </c>
      <c r="I736" s="275">
        <v>-118.1537</v>
      </c>
      <c r="J736" s="275">
        <v>-103.03172000000001</v>
      </c>
      <c r="K736" s="275">
        <v>-86.247299999999996</v>
      </c>
      <c r="L736" s="275">
        <v>-83.018979999999999</v>
      </c>
      <c r="M736" s="275">
        <v>-29.447759999999999</v>
      </c>
      <c r="N736" s="275">
        <v>-25.04776</v>
      </c>
      <c r="O736" s="275">
        <v>-21.3765</v>
      </c>
      <c r="P736" s="275">
        <v>-14.17484</v>
      </c>
      <c r="Q736" s="275">
        <v>-13.480270000000001</v>
      </c>
      <c r="R736" s="275">
        <v>-4.9920200000000001</v>
      </c>
      <c r="S736" s="275">
        <v>-3.5019499999999999</v>
      </c>
      <c r="T736" s="275">
        <v>-2.87323</v>
      </c>
      <c r="U736" s="275"/>
      <c r="V736" s="275"/>
      <c r="W736" s="275"/>
      <c r="X736" s="275"/>
      <c r="Y736" s="275"/>
      <c r="Z736" s="275"/>
      <c r="AA736" s="275"/>
    </row>
    <row r="737" spans="1:27">
      <c r="A737" s="273"/>
      <c r="B737" s="274"/>
      <c r="C737" s="207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</row>
    <row r="738" spans="1:27">
      <c r="A738" s="273">
        <v>250</v>
      </c>
      <c r="B738" s="274">
        <v>79</v>
      </c>
      <c r="C738" s="207" t="s">
        <v>192</v>
      </c>
      <c r="D738" s="275" t="s">
        <v>434</v>
      </c>
      <c r="E738" s="275" t="s">
        <v>435</v>
      </c>
      <c r="F738" s="275" t="s">
        <v>436</v>
      </c>
      <c r="G738" s="275" t="s">
        <v>437</v>
      </c>
      <c r="H738" s="275" t="s">
        <v>438</v>
      </c>
      <c r="I738" s="275" t="s">
        <v>439</v>
      </c>
      <c r="J738" s="275" t="s">
        <v>440</v>
      </c>
      <c r="K738" s="275" t="s">
        <v>441</v>
      </c>
      <c r="L738" s="275" t="s">
        <v>442</v>
      </c>
      <c r="M738" s="275" t="s">
        <v>443</v>
      </c>
      <c r="N738" s="275" t="s">
        <v>444</v>
      </c>
      <c r="O738" s="275" t="s">
        <v>445</v>
      </c>
      <c r="P738" s="275" t="s">
        <v>446</v>
      </c>
      <c r="Q738" s="275" t="s">
        <v>447</v>
      </c>
      <c r="R738" s="275" t="s">
        <v>448</v>
      </c>
      <c r="S738" s="275" t="s">
        <v>449</v>
      </c>
      <c r="T738" s="275" t="s">
        <v>450</v>
      </c>
      <c r="U738" s="275"/>
      <c r="V738" s="275"/>
      <c r="W738" s="275"/>
      <c r="X738" s="275"/>
      <c r="Y738" s="275"/>
      <c r="Z738" s="275"/>
      <c r="AA738" s="275"/>
    </row>
    <row r="739" spans="1:27">
      <c r="A739" s="273"/>
      <c r="B739" s="274"/>
      <c r="C739" s="207"/>
      <c r="D739" s="275">
        <v>-2983.3930300000002</v>
      </c>
      <c r="E739" s="275">
        <v>-532.94084999999995</v>
      </c>
      <c r="F739" s="275">
        <v>-509.94502999999997</v>
      </c>
      <c r="G739" s="275">
        <v>-442.29304000000002</v>
      </c>
      <c r="H739" s="275">
        <v>-128.89729</v>
      </c>
      <c r="I739" s="275">
        <v>-118.65363000000001</v>
      </c>
      <c r="J739" s="275">
        <v>-103.53167999999999</v>
      </c>
      <c r="K739" s="275">
        <v>-86.746889999999993</v>
      </c>
      <c r="L739" s="275">
        <v>-83.518820000000005</v>
      </c>
      <c r="M739" s="275">
        <v>-29.947620000000001</v>
      </c>
      <c r="N739" s="275">
        <v>-25.5472</v>
      </c>
      <c r="O739" s="275">
        <v>-21.87642</v>
      </c>
      <c r="P739" s="275">
        <v>-14.673500000000001</v>
      </c>
      <c r="Q739" s="275">
        <v>-13.97954</v>
      </c>
      <c r="R739" s="275">
        <v>-5.4837499999999997</v>
      </c>
      <c r="S739" s="275">
        <v>-3.9827499999999998</v>
      </c>
      <c r="T739" s="275">
        <v>-3.35019</v>
      </c>
      <c r="U739" s="275"/>
      <c r="V739" s="275"/>
      <c r="W739" s="275"/>
      <c r="X739" s="275"/>
      <c r="Y739" s="275"/>
      <c r="Z739" s="275"/>
      <c r="AA739" s="275"/>
    </row>
    <row r="740" spans="1:27">
      <c r="A740" s="273"/>
      <c r="B740" s="274"/>
      <c r="C740" s="207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</row>
    <row r="741" spans="1:27">
      <c r="A741" s="273">
        <v>251</v>
      </c>
      <c r="B741" s="274">
        <v>79</v>
      </c>
      <c r="C741" s="207" t="s">
        <v>193</v>
      </c>
      <c r="D741" s="275" t="s">
        <v>434</v>
      </c>
      <c r="E741" s="275" t="s">
        <v>435</v>
      </c>
      <c r="F741" s="275" t="s">
        <v>436</v>
      </c>
      <c r="G741" s="275" t="s">
        <v>437</v>
      </c>
      <c r="H741" s="275" t="s">
        <v>438</v>
      </c>
      <c r="I741" s="275" t="s">
        <v>439</v>
      </c>
      <c r="J741" s="275" t="s">
        <v>440</v>
      </c>
      <c r="K741" s="275" t="s">
        <v>441</v>
      </c>
      <c r="L741" s="275" t="s">
        <v>442</v>
      </c>
      <c r="M741" s="275" t="s">
        <v>443</v>
      </c>
      <c r="N741" s="275" t="s">
        <v>444</v>
      </c>
      <c r="O741" s="275" t="s">
        <v>445</v>
      </c>
      <c r="P741" s="275" t="s">
        <v>446</v>
      </c>
      <c r="Q741" s="275" t="s">
        <v>447</v>
      </c>
      <c r="R741" s="275" t="s">
        <v>448</v>
      </c>
      <c r="S741" s="275" t="s">
        <v>449</v>
      </c>
      <c r="T741" s="275" t="s">
        <v>450</v>
      </c>
      <c r="U741" s="275"/>
      <c r="V741" s="275"/>
      <c r="W741" s="275"/>
      <c r="X741" s="275"/>
      <c r="Y741" s="275"/>
      <c r="Z741" s="275"/>
      <c r="AA741" s="275"/>
    </row>
    <row r="742" spans="1:27">
      <c r="A742" s="273"/>
      <c r="B742" s="274"/>
      <c r="C742" s="207"/>
      <c r="D742" s="275">
        <v>-2983.9453800000001</v>
      </c>
      <c r="E742" s="275">
        <v>-533.50165000000004</v>
      </c>
      <c r="F742" s="275">
        <v>-510.50549999999998</v>
      </c>
      <c r="G742" s="275">
        <v>-442.85381999999998</v>
      </c>
      <c r="H742" s="275">
        <v>-129.45600999999999</v>
      </c>
      <c r="I742" s="275">
        <v>-119.21244</v>
      </c>
      <c r="J742" s="275">
        <v>-104.09038</v>
      </c>
      <c r="K742" s="275">
        <v>-87.305369999999996</v>
      </c>
      <c r="L742" s="275">
        <v>-84.077460000000002</v>
      </c>
      <c r="M742" s="275">
        <v>-30.505040000000001</v>
      </c>
      <c r="N742" s="275">
        <v>-26.104150000000001</v>
      </c>
      <c r="O742" s="275">
        <v>-22.433720000000001</v>
      </c>
      <c r="P742" s="275">
        <v>-15.229240000000001</v>
      </c>
      <c r="Q742" s="275">
        <v>-14.5357</v>
      </c>
      <c r="R742" s="275">
        <v>-6.0259799999999997</v>
      </c>
      <c r="S742" s="275">
        <v>-4.5115800000000004</v>
      </c>
      <c r="T742" s="275">
        <v>-3.8723900000000002</v>
      </c>
      <c r="U742" s="275"/>
      <c r="V742" s="275"/>
      <c r="W742" s="275"/>
      <c r="X742" s="275"/>
      <c r="Y742" s="275"/>
      <c r="Z742" s="275"/>
      <c r="AA742" s="275"/>
    </row>
    <row r="743" spans="1:27">
      <c r="A743" s="273"/>
      <c r="B743" s="274"/>
      <c r="C743" s="207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</row>
    <row r="744" spans="1:27">
      <c r="A744" s="273">
        <v>252</v>
      </c>
      <c r="B744" s="274">
        <v>79</v>
      </c>
      <c r="C744" s="207" t="s">
        <v>384</v>
      </c>
      <c r="D744" s="275" t="s">
        <v>434</v>
      </c>
      <c r="E744" s="275" t="s">
        <v>435</v>
      </c>
      <c r="F744" s="275" t="s">
        <v>436</v>
      </c>
      <c r="G744" s="275" t="s">
        <v>437</v>
      </c>
      <c r="H744" s="275" t="s">
        <v>438</v>
      </c>
      <c r="I744" s="275" t="s">
        <v>439</v>
      </c>
      <c r="J744" s="275" t="s">
        <v>440</v>
      </c>
      <c r="K744" s="275" t="s">
        <v>441</v>
      </c>
      <c r="L744" s="275" t="s">
        <v>442</v>
      </c>
      <c r="M744" s="275" t="s">
        <v>443</v>
      </c>
      <c r="N744" s="275" t="s">
        <v>444</v>
      </c>
      <c r="O744" s="275" t="s">
        <v>445</v>
      </c>
      <c r="P744" s="275" t="s">
        <v>446</v>
      </c>
      <c r="Q744" s="275" t="s">
        <v>447</v>
      </c>
      <c r="R744" s="275" t="s">
        <v>448</v>
      </c>
      <c r="S744" s="275" t="s">
        <v>449</v>
      </c>
      <c r="T744" s="275" t="s">
        <v>450</v>
      </c>
      <c r="U744" s="275"/>
      <c r="V744" s="275"/>
      <c r="W744" s="275"/>
      <c r="X744" s="275"/>
      <c r="Y744" s="275"/>
      <c r="Z744" s="275"/>
      <c r="AA744" s="275"/>
    </row>
    <row r="745" spans="1:27">
      <c r="A745" s="273"/>
      <c r="B745" s="274"/>
      <c r="C745" s="207"/>
      <c r="D745" s="275">
        <v>-2985.2140800000002</v>
      </c>
      <c r="E745" s="275">
        <v>-534.77408000000003</v>
      </c>
      <c r="F745" s="275">
        <v>-511.77757000000003</v>
      </c>
      <c r="G745" s="275">
        <v>-444.12520999999998</v>
      </c>
      <c r="H745" s="275">
        <v>-130.71843999999999</v>
      </c>
      <c r="I745" s="275">
        <v>-120.47539999999999</v>
      </c>
      <c r="J745" s="275">
        <v>-105.3526</v>
      </c>
      <c r="K745" s="275">
        <v>-88.567809999999994</v>
      </c>
      <c r="L745" s="275">
        <v>-85.34</v>
      </c>
      <c r="M745" s="275">
        <v>-31.760449999999999</v>
      </c>
      <c r="N745" s="275">
        <v>-27.358360000000001</v>
      </c>
      <c r="O745" s="275">
        <v>-23.688189999999999</v>
      </c>
      <c r="P745" s="275">
        <v>-16.479659999999999</v>
      </c>
      <c r="Q745" s="275">
        <v>-15.786530000000001</v>
      </c>
      <c r="R745" s="275">
        <v>-7.2281700000000004</v>
      </c>
      <c r="S745" s="275">
        <v>-5.6806200000000002</v>
      </c>
      <c r="T745" s="275">
        <v>-5.0218999999999996</v>
      </c>
      <c r="U745" s="275"/>
      <c r="V745" s="275"/>
      <c r="W745" s="275"/>
      <c r="X745" s="275"/>
      <c r="Y745" s="275"/>
      <c r="Z745" s="275"/>
      <c r="AA745" s="275"/>
    </row>
    <row r="746" spans="1:27">
      <c r="A746" s="273"/>
      <c r="B746" s="274"/>
      <c r="C746" s="207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</row>
    <row r="747" spans="1:27">
      <c r="A747" s="273">
        <v>253</v>
      </c>
      <c r="B747" s="274">
        <v>80</v>
      </c>
      <c r="C747" s="207" t="s">
        <v>194</v>
      </c>
      <c r="D747" s="275" t="s">
        <v>434</v>
      </c>
      <c r="E747" s="275" t="s">
        <v>435</v>
      </c>
      <c r="F747" s="275" t="s">
        <v>436</v>
      </c>
      <c r="G747" s="275" t="s">
        <v>437</v>
      </c>
      <c r="H747" s="275" t="s">
        <v>438</v>
      </c>
      <c r="I747" s="275" t="s">
        <v>439</v>
      </c>
      <c r="J747" s="275" t="s">
        <v>440</v>
      </c>
      <c r="K747" s="275" t="s">
        <v>441</v>
      </c>
      <c r="L747" s="275" t="s">
        <v>442</v>
      </c>
      <c r="M747" s="275" t="s">
        <v>443</v>
      </c>
      <c r="N747" s="275" t="s">
        <v>444</v>
      </c>
      <c r="O747" s="275" t="s">
        <v>445</v>
      </c>
      <c r="P747" s="275" t="s">
        <v>446</v>
      </c>
      <c r="Q747" s="275" t="s">
        <v>447</v>
      </c>
      <c r="R747" s="275" t="s">
        <v>448</v>
      </c>
      <c r="S747" s="275" t="s">
        <v>449</v>
      </c>
      <c r="T747" s="275" t="s">
        <v>450</v>
      </c>
      <c r="U747" s="275"/>
      <c r="V747" s="275"/>
      <c r="W747" s="275"/>
      <c r="X747" s="275"/>
      <c r="Y747" s="275"/>
      <c r="Z747" s="275"/>
      <c r="AA747" s="275"/>
    </row>
    <row r="748" spans="1:27">
      <c r="A748" s="273"/>
      <c r="B748" s="274"/>
      <c r="C748" s="207"/>
      <c r="D748" s="275">
        <v>-3070.8684699999999</v>
      </c>
      <c r="E748" s="275">
        <v>-550.51895999999999</v>
      </c>
      <c r="F748" s="275">
        <v>-527.02860999999996</v>
      </c>
      <c r="G748" s="275">
        <v>-455.25124</v>
      </c>
      <c r="H748" s="275">
        <v>-133.43834000000001</v>
      </c>
      <c r="I748" s="275">
        <v>-122.9605</v>
      </c>
      <c r="J748" s="275">
        <v>-106.86051</v>
      </c>
      <c r="K748" s="275">
        <v>-89.742339999999999</v>
      </c>
      <c r="L748" s="275">
        <v>-86.315550000000002</v>
      </c>
      <c r="M748" s="275">
        <v>-30.97297</v>
      </c>
      <c r="N748" s="275">
        <v>-26.44961</v>
      </c>
      <c r="O748" s="275">
        <v>-22.513300000000001</v>
      </c>
      <c r="P748" s="275">
        <v>-15.121370000000001</v>
      </c>
      <c r="Q748" s="275">
        <v>-14.37663</v>
      </c>
      <c r="R748" s="275">
        <v>-5.4266800000000002</v>
      </c>
      <c r="S748" s="275">
        <v>-3.8656999999999999</v>
      </c>
      <c r="T748" s="275">
        <v>-3.1706799999999999</v>
      </c>
      <c r="U748" s="275"/>
      <c r="V748" s="275"/>
      <c r="W748" s="275"/>
      <c r="X748" s="275"/>
      <c r="Y748" s="275"/>
      <c r="Z748" s="275"/>
      <c r="AA748" s="275"/>
    </row>
    <row r="749" spans="1:27">
      <c r="A749" s="273"/>
      <c r="B749" s="274"/>
      <c r="C749" s="207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</row>
    <row r="750" spans="1:27">
      <c r="A750" s="273">
        <v>254</v>
      </c>
      <c r="B750" s="274">
        <v>80</v>
      </c>
      <c r="C750" s="207" t="s">
        <v>195</v>
      </c>
      <c r="D750" s="275" t="s">
        <v>434</v>
      </c>
      <c r="E750" s="275" t="s">
        <v>435</v>
      </c>
      <c r="F750" s="275" t="s">
        <v>436</v>
      </c>
      <c r="G750" s="275" t="s">
        <v>437</v>
      </c>
      <c r="H750" s="275" t="s">
        <v>438</v>
      </c>
      <c r="I750" s="275" t="s">
        <v>439</v>
      </c>
      <c r="J750" s="275" t="s">
        <v>440</v>
      </c>
      <c r="K750" s="275" t="s">
        <v>441</v>
      </c>
      <c r="L750" s="275" t="s">
        <v>442</v>
      </c>
      <c r="M750" s="275" t="s">
        <v>443</v>
      </c>
      <c r="N750" s="275" t="s">
        <v>444</v>
      </c>
      <c r="O750" s="275" t="s">
        <v>445</v>
      </c>
      <c r="P750" s="275" t="s">
        <v>446</v>
      </c>
      <c r="Q750" s="275" t="s">
        <v>447</v>
      </c>
      <c r="R750" s="275" t="s">
        <v>448</v>
      </c>
      <c r="S750" s="275" t="s">
        <v>449</v>
      </c>
      <c r="T750" s="275" t="s">
        <v>450</v>
      </c>
      <c r="U750" s="275"/>
      <c r="V750" s="275"/>
      <c r="W750" s="275"/>
      <c r="X750" s="275"/>
      <c r="Y750" s="275"/>
      <c r="Z750" s="275"/>
      <c r="AA750" s="275"/>
    </row>
    <row r="751" spans="1:27">
      <c r="A751" s="273"/>
      <c r="B751" s="274"/>
      <c r="C751" s="207"/>
      <c r="D751" s="275">
        <v>-3071.24089</v>
      </c>
      <c r="E751" s="275">
        <v>-550.88643000000002</v>
      </c>
      <c r="F751" s="275">
        <v>-527.39716999999996</v>
      </c>
      <c r="G751" s="275">
        <v>-455.61964999999998</v>
      </c>
      <c r="H751" s="275">
        <v>-133.80549999999999</v>
      </c>
      <c r="I751" s="275">
        <v>-123.32862</v>
      </c>
      <c r="J751" s="275">
        <v>-107.22875999999999</v>
      </c>
      <c r="K751" s="275">
        <v>-90.110730000000004</v>
      </c>
      <c r="L751" s="275">
        <v>-86.684049999999999</v>
      </c>
      <c r="M751" s="275">
        <v>-31.339659999999999</v>
      </c>
      <c r="N751" s="275">
        <v>-26.81804</v>
      </c>
      <c r="O751" s="275">
        <v>-22.881730000000001</v>
      </c>
      <c r="P751" s="275">
        <v>-15.490349999999999</v>
      </c>
      <c r="Q751" s="275">
        <v>-14.745760000000001</v>
      </c>
      <c r="R751" s="275">
        <v>-5.79183</v>
      </c>
      <c r="S751" s="275">
        <v>-4.2365599999999999</v>
      </c>
      <c r="T751" s="275">
        <v>-3.54216</v>
      </c>
      <c r="U751" s="275"/>
      <c r="V751" s="275"/>
      <c r="W751" s="275"/>
      <c r="X751" s="275"/>
      <c r="Y751" s="275"/>
      <c r="Z751" s="275"/>
      <c r="AA751" s="275"/>
    </row>
    <row r="752" spans="1:27">
      <c r="A752" s="273"/>
      <c r="B752" s="274"/>
      <c r="C752" s="207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</row>
    <row r="753" spans="1:27">
      <c r="A753" s="273">
        <v>255</v>
      </c>
      <c r="B753" s="274">
        <v>81</v>
      </c>
      <c r="C753" s="207" t="s">
        <v>196</v>
      </c>
      <c r="D753" s="275" t="s">
        <v>434</v>
      </c>
      <c r="E753" s="275" t="s">
        <v>435</v>
      </c>
      <c r="F753" s="275" t="s">
        <v>436</v>
      </c>
      <c r="G753" s="275" t="s">
        <v>437</v>
      </c>
      <c r="H753" s="275" t="s">
        <v>438</v>
      </c>
      <c r="I753" s="275" t="s">
        <v>439</v>
      </c>
      <c r="J753" s="275" t="s">
        <v>440</v>
      </c>
      <c r="K753" s="275" t="s">
        <v>441</v>
      </c>
      <c r="L753" s="275" t="s">
        <v>442</v>
      </c>
      <c r="M753" s="275" t="s">
        <v>443</v>
      </c>
      <c r="N753" s="275" t="s">
        <v>444</v>
      </c>
      <c r="O753" s="275" t="s">
        <v>445</v>
      </c>
      <c r="P753" s="275" t="s">
        <v>446</v>
      </c>
      <c r="Q753" s="275" t="s">
        <v>447</v>
      </c>
      <c r="R753" s="275" t="s">
        <v>448</v>
      </c>
      <c r="S753" s="275" t="s">
        <v>449</v>
      </c>
      <c r="T753" s="275" t="s">
        <v>450</v>
      </c>
      <c r="U753" s="275"/>
      <c r="V753" s="275"/>
      <c r="W753" s="275"/>
      <c r="X753" s="275"/>
      <c r="Y753" s="275"/>
      <c r="Z753" s="275"/>
      <c r="AA753" s="275"/>
    </row>
    <row r="754" spans="1:27">
      <c r="A754" s="273"/>
      <c r="B754" s="274"/>
      <c r="C754" s="207"/>
      <c r="D754" s="275">
        <v>-3160.5924300000001</v>
      </c>
      <c r="E754" s="275">
        <v>-569.05025000000001</v>
      </c>
      <c r="F754" s="275">
        <v>-545.05885000000001</v>
      </c>
      <c r="G754" s="275">
        <v>-468.94558999999998</v>
      </c>
      <c r="H754" s="275">
        <v>-138.63172</v>
      </c>
      <c r="I754" s="275">
        <v>-127.91661999999999</v>
      </c>
      <c r="J754" s="275">
        <v>-110.78576</v>
      </c>
      <c r="K754" s="275">
        <v>-93.331190000000007</v>
      </c>
      <c r="L754" s="275">
        <v>-89.696740000000005</v>
      </c>
      <c r="M754" s="275">
        <v>-32.560989999999997</v>
      </c>
      <c r="N754" s="275">
        <v>-27.91207</v>
      </c>
      <c r="O754" s="275">
        <v>-23.69444</v>
      </c>
      <c r="P754" s="275">
        <v>-16.11027</v>
      </c>
      <c r="Q754" s="275">
        <v>-15.31246</v>
      </c>
      <c r="R754" s="275">
        <v>-5.8863500000000002</v>
      </c>
      <c r="S754" s="275">
        <v>-4.2518200000000004</v>
      </c>
      <c r="T754" s="275">
        <v>-3.4845299999999999</v>
      </c>
      <c r="U754" s="275"/>
      <c r="V754" s="275"/>
      <c r="W754" s="275"/>
      <c r="X754" s="275"/>
      <c r="Y754" s="275"/>
      <c r="Z754" s="275"/>
      <c r="AA754" s="275"/>
    </row>
    <row r="755" spans="1:27">
      <c r="A755" s="273"/>
      <c r="B755" s="274"/>
      <c r="C755" s="207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</row>
    <row r="756" spans="1:27">
      <c r="A756" s="273">
        <v>256</v>
      </c>
      <c r="B756" s="274">
        <v>81</v>
      </c>
      <c r="C756" s="207" t="s">
        <v>385</v>
      </c>
      <c r="D756" s="275" t="s">
        <v>434</v>
      </c>
      <c r="E756" s="275" t="s">
        <v>435</v>
      </c>
      <c r="F756" s="275" t="s">
        <v>436</v>
      </c>
      <c r="G756" s="275" t="s">
        <v>437</v>
      </c>
      <c r="H756" s="275" t="s">
        <v>438</v>
      </c>
      <c r="I756" s="275" t="s">
        <v>439</v>
      </c>
      <c r="J756" s="275" t="s">
        <v>440</v>
      </c>
      <c r="K756" s="275" t="s">
        <v>441</v>
      </c>
      <c r="L756" s="275" t="s">
        <v>442</v>
      </c>
      <c r="M756" s="275" t="s">
        <v>443</v>
      </c>
      <c r="N756" s="275" t="s">
        <v>444</v>
      </c>
      <c r="O756" s="275" t="s">
        <v>445</v>
      </c>
      <c r="P756" s="275" t="s">
        <v>446</v>
      </c>
      <c r="Q756" s="275" t="s">
        <v>447</v>
      </c>
      <c r="R756" s="275" t="s">
        <v>448</v>
      </c>
      <c r="S756" s="275" t="s">
        <v>449</v>
      </c>
      <c r="T756" s="275" t="s">
        <v>450</v>
      </c>
      <c r="U756" s="275"/>
      <c r="V756" s="275"/>
      <c r="W756" s="275"/>
      <c r="X756" s="275"/>
      <c r="Y756" s="275"/>
      <c r="Z756" s="275"/>
      <c r="AA756" s="275"/>
    </row>
    <row r="757" spans="1:27">
      <c r="A757" s="273"/>
      <c r="B757" s="274"/>
      <c r="C757" s="207"/>
      <c r="D757" s="275">
        <v>-3161.4028699999999</v>
      </c>
      <c r="E757" s="275">
        <v>-569.85071000000005</v>
      </c>
      <c r="F757" s="275">
        <v>-545.86181999999997</v>
      </c>
      <c r="G757" s="275">
        <v>-469.74813999999998</v>
      </c>
      <c r="H757" s="275">
        <v>-139.43100000000001</v>
      </c>
      <c r="I757" s="275">
        <v>-128.71808999999999</v>
      </c>
      <c r="J757" s="275">
        <v>-111.58748</v>
      </c>
      <c r="K757" s="275">
        <v>-94.133300000000006</v>
      </c>
      <c r="L757" s="275">
        <v>-90.499039999999994</v>
      </c>
      <c r="M757" s="275">
        <v>-33.35868</v>
      </c>
      <c r="N757" s="275">
        <v>-28.713640000000002</v>
      </c>
      <c r="O757" s="275">
        <v>-24.495899999999999</v>
      </c>
      <c r="P757" s="275">
        <v>-16.912859999999998</v>
      </c>
      <c r="Q757" s="275">
        <v>-16.115279999999998</v>
      </c>
      <c r="R757" s="275">
        <v>-6.6777100000000003</v>
      </c>
      <c r="S757" s="275">
        <v>-5.0542800000000003</v>
      </c>
      <c r="T757" s="275">
        <v>-4.2866999999999997</v>
      </c>
      <c r="U757" s="275"/>
      <c r="V757" s="275"/>
      <c r="W757" s="275"/>
      <c r="X757" s="275"/>
      <c r="Y757" s="275"/>
      <c r="Z757" s="275"/>
      <c r="AA757" s="275"/>
    </row>
    <row r="758" spans="1:27">
      <c r="A758" s="273"/>
      <c r="B758" s="274"/>
      <c r="C758" s="207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</row>
    <row r="759" spans="1:27">
      <c r="A759" s="273">
        <v>257</v>
      </c>
      <c r="B759" s="274">
        <v>82</v>
      </c>
      <c r="C759" s="207" t="s">
        <v>386</v>
      </c>
      <c r="D759" s="275" t="s">
        <v>434</v>
      </c>
      <c r="E759" s="275" t="s">
        <v>435</v>
      </c>
      <c r="F759" s="275" t="s">
        <v>436</v>
      </c>
      <c r="G759" s="275" t="s">
        <v>437</v>
      </c>
      <c r="H759" s="275" t="s">
        <v>438</v>
      </c>
      <c r="I759" s="275" t="s">
        <v>439</v>
      </c>
      <c r="J759" s="275" t="s">
        <v>440</v>
      </c>
      <c r="K759" s="275" t="s">
        <v>441</v>
      </c>
      <c r="L759" s="275" t="s">
        <v>442</v>
      </c>
      <c r="M759" s="275" t="s">
        <v>443</v>
      </c>
      <c r="N759" s="275" t="s">
        <v>444</v>
      </c>
      <c r="O759" s="275" t="s">
        <v>445</v>
      </c>
      <c r="P759" s="275" t="s">
        <v>446</v>
      </c>
      <c r="Q759" s="275" t="s">
        <v>447</v>
      </c>
      <c r="R759" s="275" t="s">
        <v>448</v>
      </c>
      <c r="S759" s="275" t="s">
        <v>449</v>
      </c>
      <c r="T759" s="275" t="s">
        <v>450</v>
      </c>
      <c r="U759" s="275"/>
      <c r="V759" s="275"/>
      <c r="W759" s="275"/>
      <c r="X759" s="275"/>
      <c r="Y759" s="275"/>
      <c r="Z759" s="275"/>
      <c r="AA759" s="275"/>
    </row>
    <row r="760" spans="1:27">
      <c r="A760" s="273"/>
      <c r="B760" s="274"/>
      <c r="C760" s="207"/>
      <c r="D760" s="275">
        <v>-3252.4970199999998</v>
      </c>
      <c r="E760" s="275">
        <v>-588.43892000000005</v>
      </c>
      <c r="F760" s="275">
        <v>-563.93942000000004</v>
      </c>
      <c r="G760" s="275">
        <v>-483.26936000000001</v>
      </c>
      <c r="H760" s="275">
        <v>-144.37307000000001</v>
      </c>
      <c r="I760" s="275">
        <v>-133.41807</v>
      </c>
      <c r="J760" s="275">
        <v>-115.20105</v>
      </c>
      <c r="K760" s="275">
        <v>-97.407600000000002</v>
      </c>
      <c r="L760" s="275">
        <v>-93.556079999999994</v>
      </c>
      <c r="M760" s="275">
        <v>-34.604500000000002</v>
      </c>
      <c r="N760" s="275">
        <v>-29.829319999999999</v>
      </c>
      <c r="O760" s="275">
        <v>-25.313220000000001</v>
      </c>
      <c r="P760" s="275">
        <v>-17.53539</v>
      </c>
      <c r="Q760" s="275">
        <v>-16.681619999999999</v>
      </c>
      <c r="R760" s="275">
        <v>-6.7608899999999998</v>
      </c>
      <c r="S760" s="275">
        <v>-5.0548999999999999</v>
      </c>
      <c r="T760" s="275">
        <v>-4.2089999999999996</v>
      </c>
      <c r="U760" s="275"/>
      <c r="V760" s="275"/>
      <c r="W760" s="275"/>
      <c r="X760" s="275"/>
      <c r="Y760" s="275"/>
      <c r="Z760" s="275"/>
      <c r="AA760" s="275"/>
    </row>
    <row r="761" spans="1:27">
      <c r="A761" s="273"/>
      <c r="B761" s="274"/>
      <c r="C761" s="207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</row>
    <row r="762" spans="1:27">
      <c r="A762" s="273">
        <v>258</v>
      </c>
      <c r="B762" s="274">
        <v>82</v>
      </c>
      <c r="C762" s="207" t="s">
        <v>387</v>
      </c>
      <c r="D762" s="275" t="s">
        <v>434</v>
      </c>
      <c r="E762" s="275" t="s">
        <v>435</v>
      </c>
      <c r="F762" s="275" t="s">
        <v>436</v>
      </c>
      <c r="G762" s="275" t="s">
        <v>437</v>
      </c>
      <c r="H762" s="275" t="s">
        <v>438</v>
      </c>
      <c r="I762" s="275" t="s">
        <v>439</v>
      </c>
      <c r="J762" s="275" t="s">
        <v>440</v>
      </c>
      <c r="K762" s="275" t="s">
        <v>441</v>
      </c>
      <c r="L762" s="275" t="s">
        <v>442</v>
      </c>
      <c r="M762" s="275" t="s">
        <v>443</v>
      </c>
      <c r="N762" s="275" t="s">
        <v>444</v>
      </c>
      <c r="O762" s="275" t="s">
        <v>445</v>
      </c>
      <c r="P762" s="275" t="s">
        <v>446</v>
      </c>
      <c r="Q762" s="275" t="s">
        <v>447</v>
      </c>
      <c r="R762" s="275" t="s">
        <v>448</v>
      </c>
      <c r="S762" s="275" t="s">
        <v>449</v>
      </c>
      <c r="T762" s="275" t="s">
        <v>450</v>
      </c>
      <c r="U762" s="275"/>
      <c r="V762" s="275"/>
      <c r="W762" s="275"/>
      <c r="X762" s="275"/>
      <c r="Y762" s="275"/>
      <c r="Z762" s="275"/>
      <c r="AA762" s="275"/>
    </row>
    <row r="763" spans="1:27">
      <c r="A763" s="273"/>
      <c r="B763" s="274"/>
      <c r="C763" s="207"/>
      <c r="D763" s="275">
        <v>-3253.4043799999999</v>
      </c>
      <c r="E763" s="275">
        <v>-589.33447999999999</v>
      </c>
      <c r="F763" s="275">
        <v>-564.83821999999998</v>
      </c>
      <c r="G763" s="275">
        <v>-484.16752000000002</v>
      </c>
      <c r="H763" s="275">
        <v>-145.26613</v>
      </c>
      <c r="I763" s="275">
        <v>-134.31397000000001</v>
      </c>
      <c r="J763" s="275">
        <v>-116.09721999999999</v>
      </c>
      <c r="K763" s="275">
        <v>-98.304389999999998</v>
      </c>
      <c r="L763" s="275">
        <v>-94.453029999999998</v>
      </c>
      <c r="M763" s="275">
        <v>-35.494680000000002</v>
      </c>
      <c r="N763" s="275">
        <v>-30.72428</v>
      </c>
      <c r="O763" s="275">
        <v>-26.207879999999999</v>
      </c>
      <c r="P763" s="275">
        <v>-18.431370000000001</v>
      </c>
      <c r="Q763" s="275">
        <v>-17.577729999999999</v>
      </c>
      <c r="R763" s="275">
        <v>-7.6388699999999998</v>
      </c>
      <c r="S763" s="275">
        <v>-5.9448600000000003</v>
      </c>
      <c r="T763" s="275">
        <v>-5.0968</v>
      </c>
      <c r="U763" s="275"/>
      <c r="V763" s="275"/>
      <c r="W763" s="275"/>
      <c r="X763" s="275"/>
      <c r="Y763" s="275"/>
      <c r="Z763" s="275"/>
      <c r="AA763" s="275"/>
    </row>
    <row r="764" spans="1:27">
      <c r="A764" s="273"/>
      <c r="B764" s="274"/>
      <c r="C764" s="207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</row>
    <row r="765" spans="1:27">
      <c r="A765" s="273">
        <v>259</v>
      </c>
      <c r="B765" s="274">
        <v>83</v>
      </c>
      <c r="C765" s="207" t="s">
        <v>388</v>
      </c>
      <c r="D765" s="275" t="s">
        <v>434</v>
      </c>
      <c r="E765" s="275" t="s">
        <v>435</v>
      </c>
      <c r="F765" s="275" t="s">
        <v>436</v>
      </c>
      <c r="G765" s="275" t="s">
        <v>437</v>
      </c>
      <c r="H765" s="275" t="s">
        <v>438</v>
      </c>
      <c r="I765" s="275" t="s">
        <v>439</v>
      </c>
      <c r="J765" s="275" t="s">
        <v>440</v>
      </c>
      <c r="K765" s="275" t="s">
        <v>441</v>
      </c>
      <c r="L765" s="275" t="s">
        <v>442</v>
      </c>
      <c r="M765" s="275" t="s">
        <v>443</v>
      </c>
      <c r="N765" s="275" t="s">
        <v>444</v>
      </c>
      <c r="O765" s="275" t="s">
        <v>445</v>
      </c>
      <c r="P765" s="275" t="s">
        <v>446</v>
      </c>
      <c r="Q765" s="275" t="s">
        <v>447</v>
      </c>
      <c r="R765" s="275" t="s">
        <v>448</v>
      </c>
      <c r="S765" s="275" t="s">
        <v>449</v>
      </c>
      <c r="T765" s="275" t="s">
        <v>450</v>
      </c>
      <c r="U765" s="275"/>
      <c r="V765" s="275"/>
      <c r="W765" s="275"/>
      <c r="X765" s="275"/>
      <c r="Y765" s="275"/>
      <c r="Z765" s="275"/>
      <c r="AA765" s="275"/>
    </row>
    <row r="766" spans="1:27">
      <c r="A766" s="273"/>
      <c r="B766" s="274"/>
      <c r="C766" s="207"/>
      <c r="D766" s="275">
        <v>-3346.2787600000001</v>
      </c>
      <c r="E766" s="275">
        <v>-608.35991999999999</v>
      </c>
      <c r="F766" s="275">
        <v>-583.34433999999999</v>
      </c>
      <c r="G766" s="275">
        <v>-497.88648000000001</v>
      </c>
      <c r="H766" s="275">
        <v>-150.32910999999999</v>
      </c>
      <c r="I766" s="275">
        <v>-139.13092</v>
      </c>
      <c r="J766" s="275">
        <v>-119.7696</v>
      </c>
      <c r="K766" s="275">
        <v>-101.63477</v>
      </c>
      <c r="L766" s="275">
        <v>-97.556380000000004</v>
      </c>
      <c r="M766" s="275">
        <v>-36.767960000000002</v>
      </c>
      <c r="N766" s="275">
        <v>-31.864640000000001</v>
      </c>
      <c r="O766" s="275">
        <v>-27.031980000000001</v>
      </c>
      <c r="P766" s="275">
        <v>-19.058769999999999</v>
      </c>
      <c r="Q766" s="275">
        <v>-18.145869999999999</v>
      </c>
      <c r="R766" s="275">
        <v>-7.7137799999999999</v>
      </c>
      <c r="S766" s="275">
        <v>-5.93438</v>
      </c>
      <c r="T766" s="275">
        <v>-5.00244</v>
      </c>
      <c r="U766" s="275"/>
      <c r="V766" s="275"/>
      <c r="W766" s="275"/>
      <c r="X766" s="275"/>
      <c r="Y766" s="275"/>
      <c r="Z766" s="275"/>
      <c r="AA766" s="275"/>
    </row>
    <row r="767" spans="1:27">
      <c r="A767" s="273"/>
      <c r="B767" s="274"/>
      <c r="C767" s="207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</row>
    <row r="768" spans="1:27">
      <c r="A768" s="273">
        <v>260</v>
      </c>
      <c r="B768" s="274">
        <v>83</v>
      </c>
      <c r="C768" s="207" t="s">
        <v>389</v>
      </c>
      <c r="D768" s="275" t="s">
        <v>434</v>
      </c>
      <c r="E768" s="275" t="s">
        <v>435</v>
      </c>
      <c r="F768" s="275" t="s">
        <v>436</v>
      </c>
      <c r="G768" s="275" t="s">
        <v>437</v>
      </c>
      <c r="H768" s="275" t="s">
        <v>438</v>
      </c>
      <c r="I768" s="275" t="s">
        <v>439</v>
      </c>
      <c r="J768" s="275" t="s">
        <v>440</v>
      </c>
      <c r="K768" s="275" t="s">
        <v>441</v>
      </c>
      <c r="L768" s="275" t="s">
        <v>442</v>
      </c>
      <c r="M768" s="275" t="s">
        <v>443</v>
      </c>
      <c r="N768" s="275" t="s">
        <v>444</v>
      </c>
      <c r="O768" s="275" t="s">
        <v>445</v>
      </c>
      <c r="P768" s="275" t="s">
        <v>446</v>
      </c>
      <c r="Q768" s="275" t="s">
        <v>447</v>
      </c>
      <c r="R768" s="275" t="s">
        <v>448</v>
      </c>
      <c r="S768" s="275" t="s">
        <v>449</v>
      </c>
      <c r="T768" s="275" t="s">
        <v>450</v>
      </c>
      <c r="U768" s="275"/>
      <c r="V768" s="275"/>
      <c r="W768" s="275"/>
      <c r="X768" s="275"/>
      <c r="Y768" s="275"/>
      <c r="Z768" s="275"/>
      <c r="AA768" s="275"/>
    </row>
    <row r="769" spans="1:27">
      <c r="A769" s="273"/>
      <c r="B769" s="274"/>
      <c r="C769" s="207"/>
      <c r="D769" s="275">
        <v>-3347.2749600000002</v>
      </c>
      <c r="E769" s="275">
        <v>-609.34292000000005</v>
      </c>
      <c r="F769" s="275">
        <v>-584.33137999999997</v>
      </c>
      <c r="G769" s="275">
        <v>-498.87187</v>
      </c>
      <c r="H769" s="275">
        <v>-151.30748</v>
      </c>
      <c r="I769" s="275">
        <v>-140.11278999999999</v>
      </c>
      <c r="J769" s="275">
        <v>-120.75154999999999</v>
      </c>
      <c r="K769" s="275">
        <v>-102.61762</v>
      </c>
      <c r="L769" s="275">
        <v>-98.539410000000004</v>
      </c>
      <c r="M769" s="275">
        <v>-37.741790000000002</v>
      </c>
      <c r="N769" s="275">
        <v>-32.844119999999997</v>
      </c>
      <c r="O769" s="275">
        <v>-28.010909999999999</v>
      </c>
      <c r="P769" s="275">
        <v>-20.039159999999999</v>
      </c>
      <c r="Q769" s="275">
        <v>-19.126300000000001</v>
      </c>
      <c r="R769" s="275">
        <v>-8.6690699999999996</v>
      </c>
      <c r="S769" s="275">
        <v>-6.90245</v>
      </c>
      <c r="T769" s="275">
        <v>-5.9665299999999997</v>
      </c>
      <c r="U769" s="275"/>
      <c r="V769" s="275"/>
      <c r="W769" s="275"/>
      <c r="X769" s="275"/>
      <c r="Y769" s="275"/>
      <c r="Z769" s="275"/>
      <c r="AA769" s="275"/>
    </row>
    <row r="770" spans="1:27">
      <c r="A770" s="273"/>
      <c r="B770" s="274"/>
      <c r="C770" s="207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</row>
    <row r="771" spans="1:27">
      <c r="A771" s="273">
        <v>261</v>
      </c>
      <c r="B771" s="274">
        <v>84</v>
      </c>
      <c r="C771" s="207" t="s">
        <v>390</v>
      </c>
      <c r="D771" s="275" t="s">
        <v>434</v>
      </c>
      <c r="E771" s="275" t="s">
        <v>435</v>
      </c>
      <c r="F771" s="275" t="s">
        <v>436</v>
      </c>
      <c r="G771" s="275" t="s">
        <v>437</v>
      </c>
      <c r="H771" s="275" t="s">
        <v>438</v>
      </c>
      <c r="I771" s="275" t="s">
        <v>439</v>
      </c>
      <c r="J771" s="275" t="s">
        <v>440</v>
      </c>
      <c r="K771" s="275" t="s">
        <v>441</v>
      </c>
      <c r="L771" s="275" t="s">
        <v>442</v>
      </c>
      <c r="M771" s="275" t="s">
        <v>443</v>
      </c>
      <c r="N771" s="275" t="s">
        <v>444</v>
      </c>
      <c r="O771" s="275" t="s">
        <v>445</v>
      </c>
      <c r="P771" s="275" t="s">
        <v>446</v>
      </c>
      <c r="Q771" s="275" t="s">
        <v>447</v>
      </c>
      <c r="R771" s="275" t="s">
        <v>448</v>
      </c>
      <c r="S771" s="275" t="s">
        <v>449</v>
      </c>
      <c r="T771" s="275" t="s">
        <v>450</v>
      </c>
      <c r="U771" s="275"/>
      <c r="V771" s="275"/>
      <c r="W771" s="275"/>
      <c r="X771" s="275"/>
      <c r="Y771" s="275"/>
      <c r="Z771" s="275"/>
      <c r="AA771" s="275"/>
    </row>
    <row r="772" spans="1:27">
      <c r="A772" s="273"/>
      <c r="B772" s="274"/>
      <c r="C772" s="207"/>
      <c r="D772" s="275">
        <v>-3441.10761</v>
      </c>
      <c r="E772" s="275">
        <v>-627.98136</v>
      </c>
      <c r="F772" s="275">
        <v>-602.44411000000002</v>
      </c>
      <c r="G772" s="275">
        <v>-511.95747</v>
      </c>
      <c r="H772" s="275">
        <v>-155.66508999999999</v>
      </c>
      <c r="I772" s="275">
        <v>-144.22196</v>
      </c>
      <c r="J772" s="275">
        <v>-123.65545</v>
      </c>
      <c r="K772" s="275">
        <v>-105.17571</v>
      </c>
      <c r="L772" s="275">
        <v>-100.86033999999999</v>
      </c>
      <c r="M772" s="275">
        <v>-38.217489999999998</v>
      </c>
      <c r="N772" s="275">
        <v>-33.185659999999999</v>
      </c>
      <c r="O772" s="275">
        <v>-28.017589999999998</v>
      </c>
      <c r="P772" s="275">
        <v>-19.845859999999998</v>
      </c>
      <c r="Q772" s="275">
        <v>-18.870550000000001</v>
      </c>
      <c r="R772" s="275">
        <v>-7.9200499999999998</v>
      </c>
      <c r="S772" s="275">
        <v>-6.0680300000000003</v>
      </c>
      <c r="T772" s="275">
        <v>-5.0432199999999998</v>
      </c>
      <c r="U772" s="275"/>
      <c r="V772" s="275"/>
      <c r="W772" s="275"/>
      <c r="X772" s="275"/>
      <c r="Y772" s="275"/>
      <c r="Z772" s="275"/>
      <c r="AA772" s="275"/>
    </row>
    <row r="773" spans="1:27">
      <c r="A773" s="273"/>
      <c r="B773" s="274"/>
      <c r="C773" s="207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</row>
    <row r="774" spans="1:27">
      <c r="A774" s="273">
        <v>262</v>
      </c>
      <c r="B774" s="274">
        <v>84</v>
      </c>
      <c r="C774" s="207" t="s">
        <v>391</v>
      </c>
      <c r="D774" s="275" t="s">
        <v>434</v>
      </c>
      <c r="E774" s="275" t="s">
        <v>435</v>
      </c>
      <c r="F774" s="275" t="s">
        <v>436</v>
      </c>
      <c r="G774" s="275" t="s">
        <v>437</v>
      </c>
      <c r="H774" s="275" t="s">
        <v>438</v>
      </c>
      <c r="I774" s="275" t="s">
        <v>439</v>
      </c>
      <c r="J774" s="275" t="s">
        <v>440</v>
      </c>
      <c r="K774" s="275" t="s">
        <v>441</v>
      </c>
      <c r="L774" s="275" t="s">
        <v>442</v>
      </c>
      <c r="M774" s="275" t="s">
        <v>443</v>
      </c>
      <c r="N774" s="275" t="s">
        <v>444</v>
      </c>
      <c r="O774" s="275" t="s">
        <v>445</v>
      </c>
      <c r="P774" s="275" t="s">
        <v>446</v>
      </c>
      <c r="Q774" s="275" t="s">
        <v>447</v>
      </c>
      <c r="R774" s="275" t="s">
        <v>448</v>
      </c>
      <c r="S774" s="275" t="s">
        <v>449</v>
      </c>
      <c r="T774" s="275" t="s">
        <v>450</v>
      </c>
      <c r="U774" s="275"/>
      <c r="V774" s="275"/>
      <c r="W774" s="275"/>
      <c r="X774" s="275"/>
      <c r="Y774" s="275"/>
      <c r="Z774" s="275"/>
      <c r="AA774" s="275"/>
    </row>
    <row r="775" spans="1:27">
      <c r="A775" s="273"/>
      <c r="B775" s="274"/>
      <c r="C775" s="207"/>
      <c r="D775" s="275">
        <v>-3441.94832</v>
      </c>
      <c r="E775" s="275">
        <v>-628.81452000000002</v>
      </c>
      <c r="F775" s="275">
        <v>-603.27759000000003</v>
      </c>
      <c r="G775" s="275">
        <v>-512.7903</v>
      </c>
      <c r="H775" s="275">
        <v>-156.4948</v>
      </c>
      <c r="I775" s="275">
        <v>-145.05072999999999</v>
      </c>
      <c r="J775" s="275">
        <v>-124.48421999999999</v>
      </c>
      <c r="K775" s="275">
        <v>-106.00561999999999</v>
      </c>
      <c r="L775" s="275">
        <v>-101.69023</v>
      </c>
      <c r="M775" s="275">
        <v>-39.044600000000003</v>
      </c>
      <c r="N775" s="275">
        <v>-34.011409999999998</v>
      </c>
      <c r="O775" s="275">
        <v>-28.84318</v>
      </c>
      <c r="P775" s="275">
        <v>-20.672879999999999</v>
      </c>
      <c r="Q775" s="275">
        <v>-19.697579999999999</v>
      </c>
      <c r="R775" s="275">
        <v>-8.7378599999999995</v>
      </c>
      <c r="S775" s="275">
        <v>-6.8833599999999997</v>
      </c>
      <c r="T775" s="275">
        <v>-5.8578200000000002</v>
      </c>
      <c r="U775" s="275"/>
      <c r="V775" s="275"/>
      <c r="W775" s="275"/>
      <c r="X775" s="275"/>
      <c r="Y775" s="275"/>
      <c r="Z775" s="275"/>
      <c r="AA775" s="275"/>
    </row>
    <row r="776" spans="1:27">
      <c r="A776" s="273"/>
      <c r="B776" s="274"/>
      <c r="C776" s="207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</row>
    <row r="777" spans="1:27">
      <c r="A777" s="273">
        <v>263</v>
      </c>
      <c r="B777" s="274">
        <v>84</v>
      </c>
      <c r="C777" s="207" t="s">
        <v>392</v>
      </c>
      <c r="D777" s="275" t="s">
        <v>434</v>
      </c>
      <c r="E777" s="275" t="s">
        <v>435</v>
      </c>
      <c r="F777" s="275" t="s">
        <v>436</v>
      </c>
      <c r="G777" s="275" t="s">
        <v>437</v>
      </c>
      <c r="H777" s="275" t="s">
        <v>438</v>
      </c>
      <c r="I777" s="275" t="s">
        <v>439</v>
      </c>
      <c r="J777" s="275" t="s">
        <v>440</v>
      </c>
      <c r="K777" s="275" t="s">
        <v>441</v>
      </c>
      <c r="L777" s="275" t="s">
        <v>442</v>
      </c>
      <c r="M777" s="275" t="s">
        <v>443</v>
      </c>
      <c r="N777" s="275" t="s">
        <v>444</v>
      </c>
      <c r="O777" s="275" t="s">
        <v>445</v>
      </c>
      <c r="P777" s="275" t="s">
        <v>446</v>
      </c>
      <c r="Q777" s="275" t="s">
        <v>447</v>
      </c>
      <c r="R777" s="275" t="s">
        <v>448</v>
      </c>
      <c r="S777" s="275" t="s">
        <v>449</v>
      </c>
      <c r="T777" s="275" t="s">
        <v>450</v>
      </c>
      <c r="U777" s="275"/>
      <c r="V777" s="275"/>
      <c r="W777" s="275"/>
      <c r="X777" s="275"/>
      <c r="Y777" s="275"/>
      <c r="Z777" s="275"/>
      <c r="AA777" s="275"/>
    </row>
    <row r="778" spans="1:27">
      <c r="A778" s="273"/>
      <c r="B778" s="274"/>
      <c r="C778" s="207"/>
      <c r="D778" s="275">
        <v>-3443.0281500000001</v>
      </c>
      <c r="E778" s="275">
        <v>-629.87850000000003</v>
      </c>
      <c r="F778" s="275">
        <v>-604.34640999999999</v>
      </c>
      <c r="G778" s="275">
        <v>-513.85803999999996</v>
      </c>
      <c r="H778" s="275">
        <v>-157.55292</v>
      </c>
      <c r="I778" s="275">
        <v>-146.11301</v>
      </c>
      <c r="J778" s="275">
        <v>-125.54644999999999</v>
      </c>
      <c r="K778" s="275">
        <v>-107.06899</v>
      </c>
      <c r="L778" s="275">
        <v>-102.75368</v>
      </c>
      <c r="M778" s="275">
        <v>-40.096209999999999</v>
      </c>
      <c r="N778" s="275">
        <v>-35.06953</v>
      </c>
      <c r="O778" s="275">
        <v>-29.90044</v>
      </c>
      <c r="P778" s="275">
        <v>-21.73179</v>
      </c>
      <c r="Q778" s="275">
        <v>-20.756419999999999</v>
      </c>
      <c r="R778" s="275">
        <v>-9.7643500000000003</v>
      </c>
      <c r="S778" s="275">
        <v>-7.9234299999999998</v>
      </c>
      <c r="T778" s="275">
        <v>-6.89215</v>
      </c>
      <c r="U778" s="275"/>
      <c r="V778" s="275"/>
      <c r="W778" s="275"/>
      <c r="X778" s="275"/>
      <c r="Y778" s="275"/>
      <c r="Z778" s="275"/>
      <c r="AA778" s="275"/>
    </row>
    <row r="779" spans="1:27">
      <c r="A779" s="273"/>
      <c r="B779" s="274"/>
      <c r="C779" s="207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</row>
    <row r="780" spans="1:27">
      <c r="A780" s="273">
        <v>264</v>
      </c>
      <c r="B780" s="274">
        <v>85</v>
      </c>
      <c r="C780" s="207" t="s">
        <v>197</v>
      </c>
      <c r="D780" s="275" t="s">
        <v>434</v>
      </c>
      <c r="E780" s="275" t="s">
        <v>435</v>
      </c>
      <c r="F780" s="275" t="s">
        <v>436</v>
      </c>
      <c r="G780" s="275" t="s">
        <v>437</v>
      </c>
      <c r="H780" s="275" t="s">
        <v>438</v>
      </c>
      <c r="I780" s="275" t="s">
        <v>439</v>
      </c>
      <c r="J780" s="275" t="s">
        <v>440</v>
      </c>
      <c r="K780" s="275" t="s">
        <v>441</v>
      </c>
      <c r="L780" s="275" t="s">
        <v>442</v>
      </c>
      <c r="M780" s="275" t="s">
        <v>443</v>
      </c>
      <c r="N780" s="275" t="s">
        <v>444</v>
      </c>
      <c r="O780" s="275" t="s">
        <v>445</v>
      </c>
      <c r="P780" s="275" t="s">
        <v>446</v>
      </c>
      <c r="Q780" s="275" t="s">
        <v>447</v>
      </c>
      <c r="R780" s="275" t="s">
        <v>448</v>
      </c>
      <c r="S780" s="275" t="s">
        <v>449</v>
      </c>
      <c r="T780" s="275" t="s">
        <v>450</v>
      </c>
      <c r="U780" s="275"/>
      <c r="V780" s="275"/>
      <c r="W780" s="275"/>
      <c r="X780" s="275"/>
      <c r="Y780" s="275"/>
      <c r="Z780" s="275"/>
      <c r="AA780" s="275"/>
    </row>
    <row r="781" spans="1:27">
      <c r="A781" s="273"/>
      <c r="B781" s="274"/>
      <c r="C781" s="207"/>
      <c r="D781" s="275">
        <v>-3537.8730099999998</v>
      </c>
      <c r="E781" s="275">
        <v>-648.10712000000001</v>
      </c>
      <c r="F781" s="275">
        <v>-622.03355999999997</v>
      </c>
      <c r="G781" s="275">
        <v>-526.26514999999995</v>
      </c>
      <c r="H781" s="275">
        <v>-161.16647</v>
      </c>
      <c r="I781" s="275">
        <v>-149.4734</v>
      </c>
      <c r="J781" s="275">
        <v>-127.63772</v>
      </c>
      <c r="K781" s="275">
        <v>-108.81059999999999</v>
      </c>
      <c r="L781" s="275">
        <v>-104.24782999999999</v>
      </c>
      <c r="M781" s="275">
        <v>-39.732570000000003</v>
      </c>
      <c r="N781" s="275">
        <v>-34.569989999999997</v>
      </c>
      <c r="O781" s="275">
        <v>-29.04645</v>
      </c>
      <c r="P781" s="275">
        <v>-20.674720000000001</v>
      </c>
      <c r="Q781" s="275">
        <v>-19.633620000000001</v>
      </c>
      <c r="R781" s="275">
        <v>-8.1509599999999995</v>
      </c>
      <c r="S781" s="275">
        <v>-6.2252299999999998</v>
      </c>
      <c r="T781" s="275">
        <v>-5.1001399999999997</v>
      </c>
      <c r="U781" s="275"/>
      <c r="V781" s="275"/>
      <c r="W781" s="275"/>
      <c r="X781" s="275"/>
      <c r="Y781" s="275"/>
      <c r="Z781" s="275"/>
      <c r="AA781" s="275"/>
    </row>
    <row r="782" spans="1:27">
      <c r="A782" s="273"/>
      <c r="B782" s="274"/>
      <c r="C782" s="207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</row>
    <row r="783" spans="1:27">
      <c r="A783" s="273">
        <v>265</v>
      </c>
      <c r="B783" s="274">
        <v>85</v>
      </c>
      <c r="C783" s="207" t="s">
        <v>393</v>
      </c>
      <c r="D783" s="275" t="s">
        <v>434</v>
      </c>
      <c r="E783" s="275" t="s">
        <v>435</v>
      </c>
      <c r="F783" s="275" t="s">
        <v>436</v>
      </c>
      <c r="G783" s="275" t="s">
        <v>437</v>
      </c>
      <c r="H783" s="275" t="s">
        <v>438</v>
      </c>
      <c r="I783" s="275" t="s">
        <v>439</v>
      </c>
      <c r="J783" s="275" t="s">
        <v>440</v>
      </c>
      <c r="K783" s="275" t="s">
        <v>441</v>
      </c>
      <c r="L783" s="275" t="s">
        <v>442</v>
      </c>
      <c r="M783" s="275" t="s">
        <v>443</v>
      </c>
      <c r="N783" s="275" t="s">
        <v>444</v>
      </c>
      <c r="O783" s="275" t="s">
        <v>445</v>
      </c>
      <c r="P783" s="275" t="s">
        <v>446</v>
      </c>
      <c r="Q783" s="275" t="s">
        <v>447</v>
      </c>
      <c r="R783" s="275" t="s">
        <v>448</v>
      </c>
      <c r="S783" s="275" t="s">
        <v>449</v>
      </c>
      <c r="T783" s="275" t="s">
        <v>450</v>
      </c>
      <c r="U783" s="275"/>
      <c r="V783" s="275"/>
      <c r="W783" s="275"/>
      <c r="X783" s="275"/>
      <c r="Y783" s="275"/>
      <c r="Z783" s="275"/>
      <c r="AA783" s="275"/>
    </row>
    <row r="784" spans="1:27">
      <c r="A784" s="273"/>
      <c r="B784" s="274"/>
      <c r="C784" s="207"/>
      <c r="D784" s="275">
        <v>-3538.6692499999999</v>
      </c>
      <c r="E784" s="275">
        <v>-648.89781000000005</v>
      </c>
      <c r="F784" s="275">
        <v>-622.82433000000003</v>
      </c>
      <c r="G784" s="275">
        <v>-527.05548999999996</v>
      </c>
      <c r="H784" s="275">
        <v>-161.95466999999999</v>
      </c>
      <c r="I784" s="275">
        <v>-150.26077000000001</v>
      </c>
      <c r="J784" s="275">
        <v>-128.42517000000001</v>
      </c>
      <c r="K784" s="275">
        <v>-109.59882</v>
      </c>
      <c r="L784" s="275">
        <v>-105.03606000000001</v>
      </c>
      <c r="M784" s="275">
        <v>-40.518929999999997</v>
      </c>
      <c r="N784" s="275">
        <v>-35.355080000000001</v>
      </c>
      <c r="O784" s="275">
        <v>-29.831630000000001</v>
      </c>
      <c r="P784" s="275">
        <v>-21.46086</v>
      </c>
      <c r="Q784" s="275">
        <v>-20.419820000000001</v>
      </c>
      <c r="R784" s="275">
        <v>-8.9308599999999991</v>
      </c>
      <c r="S784" s="275">
        <v>-7.0027200000000001</v>
      </c>
      <c r="T784" s="275">
        <v>-5.8775899999999996</v>
      </c>
      <c r="U784" s="275"/>
      <c r="V784" s="275"/>
      <c r="W784" s="275"/>
      <c r="X784" s="275"/>
      <c r="Y784" s="275"/>
      <c r="Z784" s="275"/>
      <c r="AA784" s="275"/>
    </row>
    <row r="785" spans="1:27">
      <c r="A785" s="273"/>
      <c r="B785" s="274"/>
      <c r="C785" s="207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</row>
    <row r="786" spans="1:27">
      <c r="A786" s="273">
        <v>266</v>
      </c>
      <c r="B786" s="274">
        <v>85</v>
      </c>
      <c r="C786" s="207" t="s">
        <v>394</v>
      </c>
      <c r="D786" s="275" t="s">
        <v>434</v>
      </c>
      <c r="E786" s="275" t="s">
        <v>435</v>
      </c>
      <c r="F786" s="275" t="s">
        <v>436</v>
      </c>
      <c r="G786" s="275" t="s">
        <v>437</v>
      </c>
      <c r="H786" s="275" t="s">
        <v>438</v>
      </c>
      <c r="I786" s="275" t="s">
        <v>439</v>
      </c>
      <c r="J786" s="275" t="s">
        <v>440</v>
      </c>
      <c r="K786" s="275" t="s">
        <v>441</v>
      </c>
      <c r="L786" s="275" t="s">
        <v>442</v>
      </c>
      <c r="M786" s="275" t="s">
        <v>443</v>
      </c>
      <c r="N786" s="275" t="s">
        <v>444</v>
      </c>
      <c r="O786" s="275" t="s">
        <v>445</v>
      </c>
      <c r="P786" s="275" t="s">
        <v>446</v>
      </c>
      <c r="Q786" s="275" t="s">
        <v>447</v>
      </c>
      <c r="R786" s="275" t="s">
        <v>448</v>
      </c>
      <c r="S786" s="275" t="s">
        <v>449</v>
      </c>
      <c r="T786" s="275" t="s">
        <v>450</v>
      </c>
      <c r="U786" s="275"/>
      <c r="V786" s="275"/>
      <c r="W786" s="275"/>
      <c r="X786" s="275"/>
      <c r="Y786" s="275"/>
      <c r="Z786" s="275"/>
      <c r="AA786" s="275"/>
    </row>
    <row r="787" spans="1:27">
      <c r="A787" s="273"/>
      <c r="B787" s="274"/>
      <c r="C787" s="207"/>
      <c r="D787" s="275">
        <v>-3539.60032</v>
      </c>
      <c r="E787" s="275">
        <v>-649.81952999999999</v>
      </c>
      <c r="F787" s="275">
        <v>-623.74665000000005</v>
      </c>
      <c r="G787" s="275">
        <v>-527.97636999999997</v>
      </c>
      <c r="H787" s="275">
        <v>-162.87092000000001</v>
      </c>
      <c r="I787" s="275">
        <v>-151.17609999999999</v>
      </c>
      <c r="J787" s="275">
        <v>-129.34037000000001</v>
      </c>
      <c r="K787" s="275">
        <v>-110.51545</v>
      </c>
      <c r="L787" s="275">
        <v>-105.95263</v>
      </c>
      <c r="M787" s="275">
        <v>-41.431049999999999</v>
      </c>
      <c r="N787" s="275">
        <v>-36.265709999999999</v>
      </c>
      <c r="O787" s="275">
        <v>-30.741869999999999</v>
      </c>
      <c r="P787" s="275">
        <v>-22.372859999999999</v>
      </c>
      <c r="Q787" s="275">
        <v>-21.331779999999998</v>
      </c>
      <c r="R787" s="275">
        <v>-9.8289000000000009</v>
      </c>
      <c r="S787" s="275">
        <v>-7.8976800000000003</v>
      </c>
      <c r="T787" s="275">
        <v>-6.77074</v>
      </c>
      <c r="U787" s="275"/>
      <c r="V787" s="275"/>
      <c r="W787" s="275"/>
      <c r="X787" s="275"/>
      <c r="Y787" s="275"/>
      <c r="Z787" s="275"/>
      <c r="AA787" s="275"/>
    </row>
    <row r="788" spans="1:27">
      <c r="A788" s="273"/>
      <c r="B788" s="274"/>
      <c r="C788" s="207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</row>
    <row r="789" spans="1:27">
      <c r="A789" s="273">
        <v>267</v>
      </c>
      <c r="B789" s="274">
        <v>85</v>
      </c>
      <c r="C789" s="207" t="s">
        <v>395</v>
      </c>
      <c r="D789" s="275" t="s">
        <v>434</v>
      </c>
      <c r="E789" s="275" t="s">
        <v>435</v>
      </c>
      <c r="F789" s="275" t="s">
        <v>436</v>
      </c>
      <c r="G789" s="275" t="s">
        <v>437</v>
      </c>
      <c r="H789" s="275" t="s">
        <v>438</v>
      </c>
      <c r="I789" s="275" t="s">
        <v>439</v>
      </c>
      <c r="J789" s="275" t="s">
        <v>440</v>
      </c>
      <c r="K789" s="275" t="s">
        <v>441</v>
      </c>
      <c r="L789" s="275" t="s">
        <v>442</v>
      </c>
      <c r="M789" s="275" t="s">
        <v>443</v>
      </c>
      <c r="N789" s="275" t="s">
        <v>444</v>
      </c>
      <c r="O789" s="275" t="s">
        <v>445</v>
      </c>
      <c r="P789" s="275" t="s">
        <v>446</v>
      </c>
      <c r="Q789" s="275" t="s">
        <v>447</v>
      </c>
      <c r="R789" s="275" t="s">
        <v>448</v>
      </c>
      <c r="S789" s="275" t="s">
        <v>449</v>
      </c>
      <c r="T789" s="275" t="s">
        <v>450</v>
      </c>
      <c r="U789" s="275"/>
      <c r="V789" s="275"/>
      <c r="W789" s="275"/>
      <c r="X789" s="275"/>
      <c r="Y789" s="275"/>
      <c r="Z789" s="275"/>
      <c r="AA789" s="275"/>
    </row>
    <row r="790" spans="1:27">
      <c r="A790" s="273"/>
      <c r="B790" s="274"/>
      <c r="C790" s="207"/>
      <c r="D790" s="275">
        <v>-3540.7580600000001</v>
      </c>
      <c r="E790" s="275">
        <v>-650.96052999999995</v>
      </c>
      <c r="F790" s="275">
        <v>-624.89331000000004</v>
      </c>
      <c r="G790" s="275">
        <v>-529.12188000000003</v>
      </c>
      <c r="H790" s="275">
        <v>-164.00477000000001</v>
      </c>
      <c r="I790" s="275">
        <v>-152.31478999999999</v>
      </c>
      <c r="J790" s="275">
        <v>-130.47884999999999</v>
      </c>
      <c r="K790" s="275">
        <v>-111.65546999999999</v>
      </c>
      <c r="L790" s="275">
        <v>-107.09266</v>
      </c>
      <c r="M790" s="275">
        <v>-42.5563</v>
      </c>
      <c r="N790" s="275">
        <v>-37.398310000000002</v>
      </c>
      <c r="O790" s="275">
        <v>-31.873249999999999</v>
      </c>
      <c r="P790" s="275">
        <v>-23.506070000000001</v>
      </c>
      <c r="Q790" s="275">
        <v>-22.464790000000001</v>
      </c>
      <c r="R790" s="275">
        <v>-10.922269999999999</v>
      </c>
      <c r="S790" s="275">
        <v>-9.0054700000000008</v>
      </c>
      <c r="T790" s="275">
        <v>-7.8710399999999998</v>
      </c>
      <c r="U790" s="275"/>
      <c r="V790" s="275"/>
      <c r="W790" s="275"/>
      <c r="X790" s="275"/>
      <c r="Y790" s="275"/>
      <c r="Z790" s="275"/>
      <c r="AA790" s="275"/>
    </row>
    <row r="791" spans="1:27">
      <c r="A791" s="273"/>
      <c r="B791" s="274"/>
      <c r="C791" s="207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</row>
    <row r="792" spans="1:27">
      <c r="A792" s="273">
        <v>268</v>
      </c>
      <c r="B792" s="274">
        <v>85</v>
      </c>
      <c r="C792" s="207" t="s">
        <v>396</v>
      </c>
      <c r="D792" s="275" t="s">
        <v>434</v>
      </c>
      <c r="E792" s="275" t="s">
        <v>435</v>
      </c>
      <c r="F792" s="275" t="s">
        <v>436</v>
      </c>
      <c r="G792" s="275" t="s">
        <v>437</v>
      </c>
      <c r="H792" s="275" t="s">
        <v>438</v>
      </c>
      <c r="I792" s="275" t="s">
        <v>439</v>
      </c>
      <c r="J792" s="275" t="s">
        <v>440</v>
      </c>
      <c r="K792" s="275" t="s">
        <v>441</v>
      </c>
      <c r="L792" s="275" t="s">
        <v>442</v>
      </c>
      <c r="M792" s="275" t="s">
        <v>443</v>
      </c>
      <c r="N792" s="275" t="s">
        <v>444</v>
      </c>
      <c r="O792" s="275" t="s">
        <v>445</v>
      </c>
      <c r="P792" s="275" t="s">
        <v>446</v>
      </c>
      <c r="Q792" s="275" t="s">
        <v>447</v>
      </c>
      <c r="R792" s="275" t="s">
        <v>448</v>
      </c>
      <c r="S792" s="275" t="s">
        <v>449</v>
      </c>
      <c r="T792" s="275" t="s">
        <v>450</v>
      </c>
      <c r="U792" s="275"/>
      <c r="V792" s="275"/>
      <c r="W792" s="275"/>
      <c r="X792" s="275"/>
      <c r="Y792" s="275"/>
      <c r="Z792" s="275"/>
      <c r="AA792" s="275"/>
    </row>
    <row r="793" spans="1:27">
      <c r="A793" s="273"/>
      <c r="B793" s="274"/>
      <c r="C793" s="207"/>
      <c r="D793" s="275">
        <v>-3537.2631900000001</v>
      </c>
      <c r="E793" s="275">
        <v>-647.49528999999995</v>
      </c>
      <c r="F793" s="275">
        <v>-621.4221</v>
      </c>
      <c r="G793" s="275">
        <v>-525.65350000000001</v>
      </c>
      <c r="H793" s="275">
        <v>-160.55519000000001</v>
      </c>
      <c r="I793" s="275">
        <v>-148.86288999999999</v>
      </c>
      <c r="J793" s="275">
        <v>-127.02668</v>
      </c>
      <c r="K793" s="275">
        <v>-108.19953</v>
      </c>
      <c r="L793" s="275">
        <v>-103.63668</v>
      </c>
      <c r="M793" s="275">
        <v>-39.121450000000003</v>
      </c>
      <c r="N793" s="275">
        <v>-33.960050000000003</v>
      </c>
      <c r="O793" s="275">
        <v>-28.435790000000001</v>
      </c>
      <c r="P793" s="275">
        <v>-20.064029999999999</v>
      </c>
      <c r="Q793" s="275">
        <v>-19.02272</v>
      </c>
      <c r="R793" s="275">
        <v>-7.5406000000000004</v>
      </c>
      <c r="S793" s="275">
        <v>-5.6171800000000003</v>
      </c>
      <c r="T793" s="275">
        <v>-4.4902199999999999</v>
      </c>
      <c r="U793" s="275"/>
      <c r="V793" s="275"/>
      <c r="W793" s="275"/>
      <c r="X793" s="275"/>
      <c r="Y793" s="275"/>
      <c r="Z793" s="275"/>
      <c r="AA793" s="275"/>
    </row>
    <row r="794" spans="1:27">
      <c r="A794" s="273"/>
      <c r="B794" s="274"/>
      <c r="C794" s="207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</row>
    <row r="795" spans="1:27">
      <c r="A795" s="273">
        <v>269</v>
      </c>
      <c r="B795" s="274">
        <v>87</v>
      </c>
      <c r="C795" s="207" t="s">
        <v>198</v>
      </c>
      <c r="D795" s="275" t="s">
        <v>434</v>
      </c>
      <c r="E795" s="275" t="s">
        <v>435</v>
      </c>
      <c r="F795" s="275" t="s">
        <v>436</v>
      </c>
      <c r="G795" s="275" t="s">
        <v>437</v>
      </c>
      <c r="H795" s="275" t="s">
        <v>438</v>
      </c>
      <c r="I795" s="275" t="s">
        <v>439</v>
      </c>
      <c r="J795" s="275" t="s">
        <v>440</v>
      </c>
      <c r="K795" s="275" t="s">
        <v>441</v>
      </c>
      <c r="L795" s="275" t="s">
        <v>442</v>
      </c>
      <c r="M795" s="275" t="s">
        <v>443</v>
      </c>
      <c r="N795" s="275" t="s">
        <v>444</v>
      </c>
      <c r="O795" s="275" t="s">
        <v>445</v>
      </c>
      <c r="P795" s="275" t="s">
        <v>446</v>
      </c>
      <c r="Q795" s="275" t="s">
        <v>447</v>
      </c>
      <c r="R795" s="275" t="s">
        <v>448</v>
      </c>
      <c r="S795" s="275" t="s">
        <v>449</v>
      </c>
      <c r="T795" s="275" t="s">
        <v>450</v>
      </c>
      <c r="U795" s="275"/>
      <c r="V795" s="275"/>
      <c r="W795" s="275"/>
      <c r="X795" s="275"/>
      <c r="Y795" s="275"/>
      <c r="Z795" s="275"/>
      <c r="AA795" s="275"/>
    </row>
    <row r="796" spans="1:27">
      <c r="A796" s="273"/>
      <c r="B796" s="274"/>
      <c r="C796" s="207"/>
      <c r="D796" s="275">
        <v>-3737.8428899999999</v>
      </c>
      <c r="E796" s="275">
        <v>-690.58198000000004</v>
      </c>
      <c r="F796" s="275">
        <v>-663.42548999999997</v>
      </c>
      <c r="G796" s="275">
        <v>-556.28787999999997</v>
      </c>
      <c r="H796" s="275">
        <v>-173.36511999999999</v>
      </c>
      <c r="I796" s="275">
        <v>-161.16480999999999</v>
      </c>
      <c r="J796" s="275">
        <v>-136.58709999999999</v>
      </c>
      <c r="K796" s="275">
        <v>-117.05782000000001</v>
      </c>
      <c r="L796" s="275">
        <v>-111.96777</v>
      </c>
      <c r="M796" s="275">
        <v>-43.655749999999998</v>
      </c>
      <c r="N796" s="275">
        <v>-38.225949999999997</v>
      </c>
      <c r="O796" s="275">
        <v>-31.928039999999999</v>
      </c>
      <c r="P796" s="275">
        <v>-23.151990000000001</v>
      </c>
      <c r="Q796" s="275">
        <v>-21.968910000000001</v>
      </c>
      <c r="R796" s="275">
        <v>-9.3819099999999995</v>
      </c>
      <c r="S796" s="275">
        <v>-7.3038499999999997</v>
      </c>
      <c r="T796" s="275">
        <v>-5.95601</v>
      </c>
      <c r="U796" s="275"/>
      <c r="V796" s="275"/>
      <c r="W796" s="275"/>
      <c r="X796" s="275"/>
      <c r="Y796" s="275"/>
      <c r="Z796" s="275"/>
      <c r="AA796" s="275"/>
    </row>
    <row r="797" spans="1:27">
      <c r="A797" s="273"/>
      <c r="B797" s="274"/>
      <c r="C797" s="207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</row>
    <row r="798" spans="1:27">
      <c r="A798" s="273">
        <v>270</v>
      </c>
      <c r="B798" s="274">
        <v>88</v>
      </c>
      <c r="C798" s="207" t="s">
        <v>397</v>
      </c>
      <c r="D798" s="275" t="s">
        <v>434</v>
      </c>
      <c r="E798" s="275" t="s">
        <v>435</v>
      </c>
      <c r="F798" s="275" t="s">
        <v>436</v>
      </c>
      <c r="G798" s="275" t="s">
        <v>437</v>
      </c>
      <c r="H798" s="275" t="s">
        <v>438</v>
      </c>
      <c r="I798" s="275" t="s">
        <v>439</v>
      </c>
      <c r="J798" s="275" t="s">
        <v>440</v>
      </c>
      <c r="K798" s="275" t="s">
        <v>441</v>
      </c>
      <c r="L798" s="275" t="s">
        <v>442</v>
      </c>
      <c r="M798" s="275" t="s">
        <v>443</v>
      </c>
      <c r="N798" s="275" t="s">
        <v>444</v>
      </c>
      <c r="O798" s="275" t="s">
        <v>445</v>
      </c>
      <c r="P798" s="275" t="s">
        <v>446</v>
      </c>
      <c r="Q798" s="275" t="s">
        <v>447</v>
      </c>
      <c r="R798" s="275" t="s">
        <v>448</v>
      </c>
      <c r="S798" s="275" t="s">
        <v>449</v>
      </c>
      <c r="T798" s="275" t="s">
        <v>450</v>
      </c>
      <c r="U798" s="275"/>
      <c r="V798" s="275"/>
      <c r="W798" s="275"/>
      <c r="X798" s="275"/>
      <c r="Y798" s="275"/>
      <c r="Z798" s="275"/>
      <c r="AA798" s="275"/>
    </row>
    <row r="799" spans="1:27">
      <c r="A799" s="273"/>
      <c r="B799" s="274"/>
      <c r="C799" s="207"/>
      <c r="D799" s="275">
        <v>-3841.2339400000001</v>
      </c>
      <c r="E799" s="275">
        <v>-713.02071000000001</v>
      </c>
      <c r="F799" s="275">
        <v>-685.31056000000001</v>
      </c>
      <c r="G799" s="275">
        <v>-572.06015000000002</v>
      </c>
      <c r="H799" s="275">
        <v>-180.12727000000001</v>
      </c>
      <c r="I799" s="275">
        <v>-167.66784999999999</v>
      </c>
      <c r="J799" s="275">
        <v>-141.61068</v>
      </c>
      <c r="K799" s="275">
        <v>-121.72663</v>
      </c>
      <c r="L799" s="275">
        <v>-116.35599000000001</v>
      </c>
      <c r="M799" s="275">
        <v>-46.122219999999999</v>
      </c>
      <c r="N799" s="275">
        <v>-40.555390000000003</v>
      </c>
      <c r="O799" s="275">
        <v>-33.83652</v>
      </c>
      <c r="P799" s="275">
        <v>-24.85614</v>
      </c>
      <c r="Q799" s="275">
        <v>-23.59665</v>
      </c>
      <c r="R799" s="275">
        <v>-10.437950000000001</v>
      </c>
      <c r="S799" s="275">
        <v>-8.2808200000000003</v>
      </c>
      <c r="T799" s="275">
        <v>-6.8098299999999998</v>
      </c>
      <c r="U799" s="275"/>
      <c r="V799" s="275"/>
      <c r="W799" s="275"/>
      <c r="X799" s="275"/>
      <c r="Y799" s="275"/>
      <c r="Z799" s="275"/>
      <c r="AA799" s="275"/>
    </row>
    <row r="800" spans="1:27">
      <c r="A800" s="273"/>
      <c r="B800" s="274"/>
      <c r="C800" s="207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</row>
    <row r="801" spans="1:27">
      <c r="A801" s="273">
        <v>271</v>
      </c>
      <c r="B801" s="274">
        <v>89</v>
      </c>
      <c r="C801" s="207" t="s">
        <v>398</v>
      </c>
      <c r="D801" s="275" t="s">
        <v>434</v>
      </c>
      <c r="E801" s="275" t="s">
        <v>435</v>
      </c>
      <c r="F801" s="275" t="s">
        <v>436</v>
      </c>
      <c r="G801" s="275" t="s">
        <v>437</v>
      </c>
      <c r="H801" s="275" t="s">
        <v>438</v>
      </c>
      <c r="I801" s="275" t="s">
        <v>439</v>
      </c>
      <c r="J801" s="275" t="s">
        <v>440</v>
      </c>
      <c r="K801" s="275" t="s">
        <v>441</v>
      </c>
      <c r="L801" s="275" t="s">
        <v>442</v>
      </c>
      <c r="M801" s="275" t="s">
        <v>443</v>
      </c>
      <c r="N801" s="275" t="s">
        <v>444</v>
      </c>
      <c r="O801" s="275" t="s">
        <v>445</v>
      </c>
      <c r="P801" s="275" t="s">
        <v>446</v>
      </c>
      <c r="Q801" s="275" t="s">
        <v>447</v>
      </c>
      <c r="R801" s="275" t="s">
        <v>448</v>
      </c>
      <c r="S801" s="275" t="s">
        <v>449</v>
      </c>
      <c r="T801" s="275" t="s">
        <v>450</v>
      </c>
      <c r="U801" s="275"/>
      <c r="V801" s="275"/>
      <c r="W801" s="275"/>
      <c r="X801" s="275"/>
      <c r="Y801" s="275"/>
      <c r="Z801" s="275"/>
      <c r="AA801" s="275"/>
    </row>
    <row r="802" spans="1:27">
      <c r="A802" s="273"/>
      <c r="B802" s="274"/>
      <c r="C802" s="207"/>
      <c r="D802" s="275">
        <v>-3946.6682700000001</v>
      </c>
      <c r="E802" s="275">
        <v>-736.04880000000003</v>
      </c>
      <c r="F802" s="275">
        <v>-707.78745000000004</v>
      </c>
      <c r="G802" s="275">
        <v>-588.12167999999997</v>
      </c>
      <c r="H802" s="275">
        <v>-187.11456000000001</v>
      </c>
      <c r="I802" s="275">
        <v>-174.39507</v>
      </c>
      <c r="J802" s="275">
        <v>-146.78151</v>
      </c>
      <c r="K802" s="275">
        <v>-126.54022999999999</v>
      </c>
      <c r="L802" s="275">
        <v>-120.87727</v>
      </c>
      <c r="M802" s="275">
        <v>-48.706870000000002</v>
      </c>
      <c r="N802" s="275">
        <v>-43.001759999999997</v>
      </c>
      <c r="O802" s="275">
        <v>-35.837719999999997</v>
      </c>
      <c r="P802" s="275">
        <v>-26.65155</v>
      </c>
      <c r="Q802" s="275">
        <v>-25.311820000000001</v>
      </c>
      <c r="R802" s="275">
        <v>-11.568960000000001</v>
      </c>
      <c r="S802" s="275">
        <v>-9.3317399999999999</v>
      </c>
      <c r="T802" s="275">
        <v>-7.7286200000000003</v>
      </c>
      <c r="U802" s="275"/>
      <c r="V802" s="275"/>
      <c r="W802" s="275"/>
      <c r="X802" s="275"/>
      <c r="Y802" s="275"/>
      <c r="Z802" s="275"/>
      <c r="AA802" s="275"/>
    </row>
    <row r="803" spans="1:27">
      <c r="A803" s="273"/>
      <c r="B803" s="274"/>
      <c r="C803" s="207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</row>
    <row r="804" spans="1:27">
      <c r="A804" s="273">
        <v>272</v>
      </c>
      <c r="B804" s="274">
        <v>90</v>
      </c>
      <c r="C804" s="207" t="s">
        <v>399</v>
      </c>
      <c r="D804" s="275" t="s">
        <v>434</v>
      </c>
      <c r="E804" s="275" t="s">
        <v>435</v>
      </c>
      <c r="F804" s="275" t="s">
        <v>436</v>
      </c>
      <c r="G804" s="275" t="s">
        <v>437</v>
      </c>
      <c r="H804" s="275" t="s">
        <v>438</v>
      </c>
      <c r="I804" s="275" t="s">
        <v>439</v>
      </c>
      <c r="J804" s="275" t="s">
        <v>440</v>
      </c>
      <c r="K804" s="275" t="s">
        <v>441</v>
      </c>
      <c r="L804" s="275" t="s">
        <v>442</v>
      </c>
      <c r="M804" s="275" t="s">
        <v>443</v>
      </c>
      <c r="N804" s="275" t="s">
        <v>444</v>
      </c>
      <c r="O804" s="275" t="s">
        <v>445</v>
      </c>
      <c r="P804" s="275" t="s">
        <v>446</v>
      </c>
      <c r="Q804" s="275" t="s">
        <v>447</v>
      </c>
      <c r="R804" s="275" t="s">
        <v>451</v>
      </c>
      <c r="S804" s="275" t="s">
        <v>452</v>
      </c>
      <c r="T804" s="275" t="s">
        <v>448</v>
      </c>
      <c r="U804" s="275" t="s">
        <v>449</v>
      </c>
      <c r="V804" s="275" t="s">
        <v>450</v>
      </c>
      <c r="W804" s="275" t="s">
        <v>453</v>
      </c>
      <c r="X804" s="275" t="s">
        <v>454</v>
      </c>
      <c r="Y804" s="275" t="s">
        <v>455</v>
      </c>
      <c r="Z804" s="275" t="s">
        <v>456</v>
      </c>
      <c r="AA804" s="275" t="s">
        <v>457</v>
      </c>
    </row>
    <row r="805" spans="1:27">
      <c r="A805" s="273"/>
      <c r="B805" s="274"/>
      <c r="C805" s="207"/>
      <c r="D805" s="275">
        <v>-4053.2609600000001</v>
      </c>
      <c r="E805" s="275">
        <v>-758.74977000000001</v>
      </c>
      <c r="F805" s="275">
        <v>-729.94759999999997</v>
      </c>
      <c r="G805" s="275">
        <v>-603.54688999999996</v>
      </c>
      <c r="H805" s="275">
        <v>-193.39266000000001</v>
      </c>
      <c r="I805" s="275">
        <v>-180.41426000000001</v>
      </c>
      <c r="J805" s="275">
        <v>-151.16309000000001</v>
      </c>
      <c r="K805" s="275">
        <v>-130.56417999999999</v>
      </c>
      <c r="L805" s="275">
        <v>-124.59631</v>
      </c>
      <c r="M805" s="275">
        <v>-50.476170000000003</v>
      </c>
      <c r="N805" s="275">
        <v>-44.632530000000003</v>
      </c>
      <c r="O805" s="275">
        <v>-36.998550000000002</v>
      </c>
      <c r="P805" s="275">
        <v>-27.60671</v>
      </c>
      <c r="Q805" s="275">
        <v>-26.182770000000001</v>
      </c>
      <c r="R805" s="275">
        <v>-13.81616</v>
      </c>
      <c r="S805" s="275">
        <v>-13.456630000000001</v>
      </c>
      <c r="T805" s="275">
        <v>-11.84867</v>
      </c>
      <c r="U805" s="275">
        <v>-9.5358499999999999</v>
      </c>
      <c r="V805" s="275">
        <v>-7.79636</v>
      </c>
      <c r="W805" s="275">
        <v>-4.28559</v>
      </c>
      <c r="X805" s="275">
        <v>-4.0243700000000002</v>
      </c>
      <c r="Y805" s="275">
        <v>-2.4033000000000002</v>
      </c>
      <c r="Z805" s="275">
        <v>-1.67306</v>
      </c>
      <c r="AA805" s="275">
        <v>-1.36894</v>
      </c>
    </row>
    <row r="806" spans="1:27">
      <c r="A806" s="273"/>
      <c r="B806" s="274"/>
      <c r="C806" s="207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</row>
    <row r="807" spans="1:27">
      <c r="A807" s="273">
        <v>273</v>
      </c>
      <c r="B807" s="274">
        <v>90</v>
      </c>
      <c r="C807" s="207" t="s">
        <v>199</v>
      </c>
      <c r="D807" s="275" t="s">
        <v>434</v>
      </c>
      <c r="E807" s="275" t="s">
        <v>435</v>
      </c>
      <c r="F807" s="275" t="s">
        <v>436</v>
      </c>
      <c r="G807" s="275" t="s">
        <v>437</v>
      </c>
      <c r="H807" s="275" t="s">
        <v>438</v>
      </c>
      <c r="I807" s="275" t="s">
        <v>439</v>
      </c>
      <c r="J807" s="275" t="s">
        <v>440</v>
      </c>
      <c r="K807" s="275" t="s">
        <v>441</v>
      </c>
      <c r="L807" s="275" t="s">
        <v>442</v>
      </c>
      <c r="M807" s="275" t="s">
        <v>443</v>
      </c>
      <c r="N807" s="275" t="s">
        <v>444</v>
      </c>
      <c r="O807" s="275" t="s">
        <v>445</v>
      </c>
      <c r="P807" s="275" t="s">
        <v>446</v>
      </c>
      <c r="Q807" s="275" t="s">
        <v>447</v>
      </c>
      <c r="R807" s="275" t="s">
        <v>451</v>
      </c>
      <c r="S807" s="275" t="s">
        <v>452</v>
      </c>
      <c r="T807" s="275" t="s">
        <v>448</v>
      </c>
      <c r="U807" s="275" t="s">
        <v>449</v>
      </c>
      <c r="V807" s="275" t="s">
        <v>450</v>
      </c>
      <c r="W807" s="275" t="s">
        <v>453</v>
      </c>
      <c r="X807" s="275" t="s">
        <v>454</v>
      </c>
      <c r="Y807" s="275" t="s">
        <v>455</v>
      </c>
      <c r="Z807" s="275" t="s">
        <v>456</v>
      </c>
      <c r="AA807" s="275" t="s">
        <v>457</v>
      </c>
    </row>
    <row r="808" spans="1:27">
      <c r="A808" s="273"/>
      <c r="B808" s="274"/>
      <c r="C808" s="207"/>
      <c r="D808" s="275">
        <v>-4053.60367</v>
      </c>
      <c r="E808" s="275">
        <v>-759.09429</v>
      </c>
      <c r="F808" s="275">
        <v>-730.29196000000002</v>
      </c>
      <c r="G808" s="275">
        <v>-603.89138000000003</v>
      </c>
      <c r="H808" s="275">
        <v>-193.73608999999999</v>
      </c>
      <c r="I808" s="275">
        <v>-180.75776999999999</v>
      </c>
      <c r="J808" s="275">
        <v>-151.50646</v>
      </c>
      <c r="K808" s="275">
        <v>-130.90754000000001</v>
      </c>
      <c r="L808" s="275">
        <v>-124.93964</v>
      </c>
      <c r="M808" s="275">
        <v>-50.818809999999999</v>
      </c>
      <c r="N808" s="275">
        <v>-44.975000000000001</v>
      </c>
      <c r="O808" s="275">
        <v>-37.341070000000002</v>
      </c>
      <c r="P808" s="275">
        <v>-27.948630000000001</v>
      </c>
      <c r="Q808" s="275">
        <v>-26.524699999999999</v>
      </c>
      <c r="R808" s="275">
        <v>-14.15837</v>
      </c>
      <c r="S808" s="275">
        <v>-13.798859999999999</v>
      </c>
      <c r="T808" s="275">
        <v>-12.18932</v>
      </c>
      <c r="U808" s="275">
        <v>-9.8757199999999994</v>
      </c>
      <c r="V808" s="275">
        <v>-8.1363000000000003</v>
      </c>
      <c r="W808" s="275">
        <v>-4.6246799999999997</v>
      </c>
      <c r="X808" s="275">
        <v>-4.3635400000000004</v>
      </c>
      <c r="Y808" s="275">
        <v>-2.7391000000000001</v>
      </c>
      <c r="Z808" s="275">
        <v>-1.99884</v>
      </c>
      <c r="AA808" s="275">
        <v>-1.68774</v>
      </c>
    </row>
    <row r="809" spans="1:27">
      <c r="A809" s="273"/>
      <c r="B809" s="274"/>
      <c r="C809" s="207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</row>
    <row r="810" spans="1:27">
      <c r="A810" s="273">
        <v>274</v>
      </c>
      <c r="B810" s="274">
        <v>90</v>
      </c>
      <c r="C810" s="207" t="s">
        <v>200</v>
      </c>
      <c r="D810" s="275" t="s">
        <v>434</v>
      </c>
      <c r="E810" s="275" t="s">
        <v>435</v>
      </c>
      <c r="F810" s="275" t="s">
        <v>436</v>
      </c>
      <c r="G810" s="275" t="s">
        <v>437</v>
      </c>
      <c r="H810" s="275" t="s">
        <v>438</v>
      </c>
      <c r="I810" s="275" t="s">
        <v>439</v>
      </c>
      <c r="J810" s="275" t="s">
        <v>440</v>
      </c>
      <c r="K810" s="275" t="s">
        <v>441</v>
      </c>
      <c r="L810" s="275" t="s">
        <v>442</v>
      </c>
      <c r="M810" s="275" t="s">
        <v>443</v>
      </c>
      <c r="N810" s="275" t="s">
        <v>444</v>
      </c>
      <c r="O810" s="275" t="s">
        <v>445</v>
      </c>
      <c r="P810" s="275" t="s">
        <v>446</v>
      </c>
      <c r="Q810" s="275" t="s">
        <v>447</v>
      </c>
      <c r="R810" s="275" t="s">
        <v>448</v>
      </c>
      <c r="S810" s="275" t="s">
        <v>449</v>
      </c>
      <c r="T810" s="275" t="s">
        <v>450</v>
      </c>
      <c r="U810" s="275"/>
      <c r="V810" s="275"/>
      <c r="W810" s="275"/>
      <c r="X810" s="275"/>
      <c r="Y810" s="275"/>
      <c r="Z810" s="275"/>
      <c r="AA810" s="275"/>
    </row>
    <row r="811" spans="1:27">
      <c r="A811" s="273"/>
      <c r="B811" s="274"/>
      <c r="C811" s="207"/>
      <c r="D811" s="275">
        <v>-4054.1570200000001</v>
      </c>
      <c r="E811" s="275">
        <v>-759.67056000000002</v>
      </c>
      <c r="F811" s="275">
        <v>-730.86557000000005</v>
      </c>
      <c r="G811" s="275">
        <v>-604.46758</v>
      </c>
      <c r="H811" s="275">
        <v>-194.32455999999999</v>
      </c>
      <c r="I811" s="275">
        <v>-181.34522999999999</v>
      </c>
      <c r="J811" s="275">
        <v>-152.09470999999999</v>
      </c>
      <c r="K811" s="275">
        <v>-131.49374</v>
      </c>
      <c r="L811" s="275">
        <v>-125.52634999999999</v>
      </c>
      <c r="M811" s="275">
        <v>-51.405369999999998</v>
      </c>
      <c r="N811" s="275">
        <v>-45.561079999999997</v>
      </c>
      <c r="O811" s="275">
        <v>-37.926450000000003</v>
      </c>
      <c r="P811" s="275">
        <v>-28.533069999999999</v>
      </c>
      <c r="Q811" s="275">
        <v>-27.109110000000001</v>
      </c>
      <c r="R811" s="275">
        <v>-12.77009</v>
      </c>
      <c r="S811" s="275">
        <v>-10.451879999999999</v>
      </c>
      <c r="T811" s="275">
        <v>-8.7071799999999993</v>
      </c>
      <c r="U811" s="275"/>
      <c r="V811" s="275"/>
      <c r="W811" s="275"/>
      <c r="X811" s="275"/>
      <c r="Y811" s="275"/>
      <c r="Z811" s="275"/>
      <c r="AA811" s="275"/>
    </row>
    <row r="812" spans="1:27">
      <c r="A812" s="273"/>
      <c r="B812" s="274"/>
      <c r="C812" s="207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</row>
    <row r="813" spans="1:27">
      <c r="A813" s="273">
        <v>275</v>
      </c>
      <c r="B813" s="274">
        <v>91</v>
      </c>
      <c r="C813" s="207" t="s">
        <v>400</v>
      </c>
      <c r="D813" s="275" t="s">
        <v>434</v>
      </c>
      <c r="E813" s="275" t="s">
        <v>435</v>
      </c>
      <c r="F813" s="275" t="s">
        <v>436</v>
      </c>
      <c r="G813" s="275" t="s">
        <v>437</v>
      </c>
      <c r="H813" s="275" t="s">
        <v>438</v>
      </c>
      <c r="I813" s="275" t="s">
        <v>439</v>
      </c>
      <c r="J813" s="275" t="s">
        <v>440</v>
      </c>
      <c r="K813" s="275" t="s">
        <v>441</v>
      </c>
      <c r="L813" s="275" t="s">
        <v>442</v>
      </c>
      <c r="M813" s="275" t="s">
        <v>443</v>
      </c>
      <c r="N813" s="275" t="s">
        <v>444</v>
      </c>
      <c r="O813" s="275" t="s">
        <v>445</v>
      </c>
      <c r="P813" s="275" t="s">
        <v>446</v>
      </c>
      <c r="Q813" s="275" t="s">
        <v>447</v>
      </c>
      <c r="R813" s="275" t="s">
        <v>451</v>
      </c>
      <c r="S813" s="275" t="s">
        <v>452</v>
      </c>
      <c r="T813" s="275" t="s">
        <v>448</v>
      </c>
      <c r="U813" s="275" t="s">
        <v>449</v>
      </c>
      <c r="V813" s="275" t="s">
        <v>450</v>
      </c>
      <c r="W813" s="275" t="s">
        <v>453</v>
      </c>
      <c r="X813" s="275" t="s">
        <v>454</v>
      </c>
      <c r="Y813" s="275" t="s">
        <v>455</v>
      </c>
      <c r="Z813" s="275" t="s">
        <v>456</v>
      </c>
      <c r="AA813" s="275" t="s">
        <v>457</v>
      </c>
    </row>
    <row r="814" spans="1:27">
      <c r="A814" s="273"/>
      <c r="B814" s="274"/>
      <c r="C814" s="207"/>
      <c r="D814" s="275">
        <v>-4162.9146000000001</v>
      </c>
      <c r="E814" s="275">
        <v>-782.72424999999998</v>
      </c>
      <c r="F814" s="275">
        <v>-753.33155999999997</v>
      </c>
      <c r="G814" s="275">
        <v>-619.85856999999999</v>
      </c>
      <c r="H814" s="275">
        <v>-200.51155</v>
      </c>
      <c r="I814" s="275">
        <v>-187.26128</v>
      </c>
      <c r="J814" s="275">
        <v>-156.28614999999999</v>
      </c>
      <c r="K814" s="275">
        <v>-135.32739000000001</v>
      </c>
      <c r="L814" s="275">
        <v>-129.04203999999999</v>
      </c>
      <c r="M814" s="275">
        <v>-52.964440000000003</v>
      </c>
      <c r="N814" s="275">
        <v>-46.977420000000002</v>
      </c>
      <c r="O814" s="275">
        <v>-38.846960000000003</v>
      </c>
      <c r="P814" s="275">
        <v>-29.246939999999999</v>
      </c>
      <c r="Q814" s="275">
        <v>-27.734839999999998</v>
      </c>
      <c r="R814" s="275">
        <v>-15.088380000000001</v>
      </c>
      <c r="S814" s="275">
        <v>-14.702450000000001</v>
      </c>
      <c r="T814" s="275">
        <v>-12.80259</v>
      </c>
      <c r="U814" s="275">
        <v>-10.411899999999999</v>
      </c>
      <c r="V814" s="275">
        <v>-8.5286899999999992</v>
      </c>
      <c r="W814" s="275">
        <v>-4.9010300000000004</v>
      </c>
      <c r="X814" s="275">
        <v>-4.6162299999999998</v>
      </c>
      <c r="Y814" s="275">
        <v>-2.8469899999999999</v>
      </c>
      <c r="Z814" s="275">
        <v>-2.0762</v>
      </c>
      <c r="AA814" s="275">
        <v>-1.73705</v>
      </c>
    </row>
    <row r="815" spans="1:27">
      <c r="A815" s="273"/>
      <c r="B815" s="274"/>
      <c r="C815" s="207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</row>
    <row r="816" spans="1:27">
      <c r="A816" s="273">
        <v>276</v>
      </c>
      <c r="B816" s="274">
        <v>91</v>
      </c>
      <c r="C816" s="207" t="s">
        <v>201</v>
      </c>
      <c r="D816" s="275" t="s">
        <v>434</v>
      </c>
      <c r="E816" s="275" t="s">
        <v>435</v>
      </c>
      <c r="F816" s="275" t="s">
        <v>436</v>
      </c>
      <c r="G816" s="275" t="s">
        <v>437</v>
      </c>
      <c r="H816" s="275" t="s">
        <v>438</v>
      </c>
      <c r="I816" s="275" t="s">
        <v>439</v>
      </c>
      <c r="J816" s="275" t="s">
        <v>440</v>
      </c>
      <c r="K816" s="275" t="s">
        <v>441</v>
      </c>
      <c r="L816" s="275" t="s">
        <v>442</v>
      </c>
      <c r="M816" s="275" t="s">
        <v>443</v>
      </c>
      <c r="N816" s="275" t="s">
        <v>444</v>
      </c>
      <c r="O816" s="275" t="s">
        <v>445</v>
      </c>
      <c r="P816" s="275" t="s">
        <v>446</v>
      </c>
      <c r="Q816" s="275" t="s">
        <v>447</v>
      </c>
      <c r="R816" s="275" t="s">
        <v>451</v>
      </c>
      <c r="S816" s="275" t="s">
        <v>452</v>
      </c>
      <c r="T816" s="275" t="s">
        <v>448</v>
      </c>
      <c r="U816" s="275" t="s">
        <v>449</v>
      </c>
      <c r="V816" s="275" t="s">
        <v>450</v>
      </c>
      <c r="W816" s="275" t="s">
        <v>453</v>
      </c>
      <c r="X816" s="275" t="s">
        <v>454</v>
      </c>
      <c r="Y816" s="275" t="s">
        <v>455</v>
      </c>
      <c r="Z816" s="275" t="s">
        <v>456</v>
      </c>
      <c r="AA816" s="275" t="s">
        <v>457</v>
      </c>
    </row>
    <row r="817" spans="1:27">
      <c r="A817" s="273"/>
      <c r="B817" s="274"/>
      <c r="C817" s="207"/>
      <c r="D817" s="275">
        <v>-4163.4866700000002</v>
      </c>
      <c r="E817" s="275">
        <v>-783.30894999999998</v>
      </c>
      <c r="F817" s="275">
        <v>-753.91359999999997</v>
      </c>
      <c r="G817" s="275">
        <v>-620.44326999999998</v>
      </c>
      <c r="H817" s="275">
        <v>-201.10846000000001</v>
      </c>
      <c r="I817" s="275">
        <v>-187.85718</v>
      </c>
      <c r="J817" s="275">
        <v>-156.88281000000001</v>
      </c>
      <c r="K817" s="275">
        <v>-135.92201</v>
      </c>
      <c r="L817" s="275">
        <v>-129.63719</v>
      </c>
      <c r="M817" s="275">
        <v>-53.55939</v>
      </c>
      <c r="N817" s="275">
        <v>-47.571890000000003</v>
      </c>
      <c r="O817" s="275">
        <v>-39.440770000000001</v>
      </c>
      <c r="P817" s="275">
        <v>-29.8398</v>
      </c>
      <c r="Q817" s="275">
        <v>-28.327680000000001</v>
      </c>
      <c r="R817" s="275">
        <v>-15.67977</v>
      </c>
      <c r="S817" s="275">
        <v>-15.29388</v>
      </c>
      <c r="T817" s="275">
        <v>-13.391400000000001</v>
      </c>
      <c r="U817" s="275">
        <v>-10.99616</v>
      </c>
      <c r="V817" s="275">
        <v>-9.1075499999999998</v>
      </c>
      <c r="W817" s="275">
        <v>-5.4621599999999999</v>
      </c>
      <c r="X817" s="275">
        <v>-5.1753099999999996</v>
      </c>
      <c r="Y817" s="275">
        <v>-3.35372</v>
      </c>
      <c r="Z817" s="275">
        <v>-2.5571299999999999</v>
      </c>
      <c r="AA817" s="275">
        <v>-2.1941299999999999</v>
      </c>
    </row>
    <row r="818" spans="1:27">
      <c r="A818" s="273"/>
      <c r="B818" s="274"/>
      <c r="C818" s="207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</row>
    <row r="819" spans="1:27">
      <c r="A819" s="273">
        <v>277</v>
      </c>
      <c r="B819" s="274">
        <v>91</v>
      </c>
      <c r="C819" s="207" t="s">
        <v>202</v>
      </c>
      <c r="D819" s="275" t="s">
        <v>434</v>
      </c>
      <c r="E819" s="275" t="s">
        <v>435</v>
      </c>
      <c r="F819" s="275" t="s">
        <v>436</v>
      </c>
      <c r="G819" s="275" t="s">
        <v>437</v>
      </c>
      <c r="H819" s="275" t="s">
        <v>438</v>
      </c>
      <c r="I819" s="275" t="s">
        <v>439</v>
      </c>
      <c r="J819" s="275" t="s">
        <v>440</v>
      </c>
      <c r="K819" s="275" t="s">
        <v>441</v>
      </c>
      <c r="L819" s="275" t="s">
        <v>442</v>
      </c>
      <c r="M819" s="275" t="s">
        <v>443</v>
      </c>
      <c r="N819" s="275" t="s">
        <v>444</v>
      </c>
      <c r="O819" s="275" t="s">
        <v>445</v>
      </c>
      <c r="P819" s="275" t="s">
        <v>446</v>
      </c>
      <c r="Q819" s="275" t="s">
        <v>447</v>
      </c>
      <c r="R819" s="275" t="s">
        <v>448</v>
      </c>
      <c r="S819" s="275" t="s">
        <v>449</v>
      </c>
      <c r="T819" s="275" t="s">
        <v>450</v>
      </c>
      <c r="U819" s="275"/>
      <c r="V819" s="275"/>
      <c r="W819" s="275"/>
      <c r="X819" s="275"/>
      <c r="Y819" s="275"/>
      <c r="Z819" s="275"/>
      <c r="AA819" s="275"/>
    </row>
    <row r="820" spans="1:27">
      <c r="A820" s="273"/>
      <c r="B820" s="274"/>
      <c r="C820" s="207"/>
      <c r="D820" s="275">
        <v>-4164.11258</v>
      </c>
      <c r="E820" s="275">
        <v>-783.95930999999996</v>
      </c>
      <c r="F820" s="275">
        <v>-754.56078000000002</v>
      </c>
      <c r="G820" s="275">
        <v>-621.09297000000004</v>
      </c>
      <c r="H820" s="275">
        <v>-201.77249</v>
      </c>
      <c r="I820" s="275">
        <v>-188.52005</v>
      </c>
      <c r="J820" s="275">
        <v>-157.54642999999999</v>
      </c>
      <c r="K820" s="275">
        <v>-136.58335</v>
      </c>
      <c r="L820" s="275">
        <v>-130.29911000000001</v>
      </c>
      <c r="M820" s="275">
        <v>-54.21942</v>
      </c>
      <c r="N820" s="275">
        <v>-48.231380000000001</v>
      </c>
      <c r="O820" s="275">
        <v>-40.099020000000003</v>
      </c>
      <c r="P820" s="275">
        <v>-30.497050000000002</v>
      </c>
      <c r="Q820" s="275">
        <v>-28.984760000000001</v>
      </c>
      <c r="R820" s="275">
        <v>-14.03933</v>
      </c>
      <c r="S820" s="275">
        <v>-11.638350000000001</v>
      </c>
      <c r="T820" s="275">
        <v>-9.7420600000000004</v>
      </c>
      <c r="U820" s="275"/>
      <c r="V820" s="275"/>
      <c r="W820" s="275"/>
      <c r="X820" s="275"/>
      <c r="Y820" s="275"/>
      <c r="Z820" s="275"/>
      <c r="AA820" s="275"/>
    </row>
    <row r="821" spans="1:27">
      <c r="A821" s="273"/>
      <c r="B821" s="274"/>
      <c r="C821" s="207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</row>
    <row r="822" spans="1:27">
      <c r="A822" s="273">
        <v>278</v>
      </c>
      <c r="B822" s="274">
        <v>92</v>
      </c>
      <c r="C822" s="207" t="s">
        <v>401</v>
      </c>
      <c r="D822" s="275" t="s">
        <v>434</v>
      </c>
      <c r="E822" s="275" t="s">
        <v>435</v>
      </c>
      <c r="F822" s="275" t="s">
        <v>436</v>
      </c>
      <c r="G822" s="275" t="s">
        <v>437</v>
      </c>
      <c r="H822" s="275" t="s">
        <v>438</v>
      </c>
      <c r="I822" s="275" t="s">
        <v>439</v>
      </c>
      <c r="J822" s="275" t="s">
        <v>440</v>
      </c>
      <c r="K822" s="275" t="s">
        <v>441</v>
      </c>
      <c r="L822" s="275" t="s">
        <v>442</v>
      </c>
      <c r="M822" s="275" t="s">
        <v>443</v>
      </c>
      <c r="N822" s="275" t="s">
        <v>444</v>
      </c>
      <c r="O822" s="275" t="s">
        <v>445</v>
      </c>
      <c r="P822" s="275" t="s">
        <v>446</v>
      </c>
      <c r="Q822" s="275" t="s">
        <v>447</v>
      </c>
      <c r="R822" s="275" t="s">
        <v>451</v>
      </c>
      <c r="S822" s="275" t="s">
        <v>452</v>
      </c>
      <c r="T822" s="275" t="s">
        <v>448</v>
      </c>
      <c r="U822" s="275" t="s">
        <v>449</v>
      </c>
      <c r="V822" s="275" t="s">
        <v>450</v>
      </c>
      <c r="W822" s="275" t="s">
        <v>453</v>
      </c>
      <c r="X822" s="275" t="s">
        <v>454</v>
      </c>
      <c r="Y822" s="275" t="s">
        <v>455</v>
      </c>
      <c r="Z822" s="275" t="s">
        <v>456</v>
      </c>
      <c r="AA822" s="275" t="s">
        <v>457</v>
      </c>
    </row>
    <row r="823" spans="1:27">
      <c r="A823" s="273"/>
      <c r="B823" s="274"/>
      <c r="C823" s="207"/>
      <c r="D823" s="275">
        <v>-4274.0118300000004</v>
      </c>
      <c r="E823" s="275">
        <v>-806.85135000000002</v>
      </c>
      <c r="F823" s="275">
        <v>-776.92264</v>
      </c>
      <c r="G823" s="275">
        <v>-636.03211999999996</v>
      </c>
      <c r="H823" s="275">
        <v>-207.42507000000001</v>
      </c>
      <c r="I823" s="275">
        <v>-193.91407000000001</v>
      </c>
      <c r="J823" s="275">
        <v>-161.12762000000001</v>
      </c>
      <c r="K823" s="275">
        <v>-139.80663999999999</v>
      </c>
      <c r="L823" s="275">
        <v>-133.19091</v>
      </c>
      <c r="M823" s="275">
        <v>-55.143900000000002</v>
      </c>
      <c r="N823" s="275">
        <v>-49.015729999999998</v>
      </c>
      <c r="O823" s="275">
        <v>-40.361620000000002</v>
      </c>
      <c r="P823" s="275">
        <v>-30.552620000000001</v>
      </c>
      <c r="Q823" s="275">
        <v>-28.948219999999999</v>
      </c>
      <c r="R823" s="275">
        <v>-16.021129999999999</v>
      </c>
      <c r="S823" s="275">
        <v>-15.60745</v>
      </c>
      <c r="T823" s="275">
        <v>-13.41351</v>
      </c>
      <c r="U823" s="275">
        <v>-10.94647</v>
      </c>
      <c r="V823" s="275">
        <v>-8.9116300000000006</v>
      </c>
      <c r="W823" s="275">
        <v>-5.1698300000000001</v>
      </c>
      <c r="X823" s="275">
        <v>-4.8603800000000001</v>
      </c>
      <c r="Y823" s="275">
        <v>-2.9489999999999998</v>
      </c>
      <c r="Z823" s="275">
        <v>-2.14879</v>
      </c>
      <c r="AA823" s="275">
        <v>-1.78111</v>
      </c>
    </row>
    <row r="824" spans="1:27">
      <c r="A824" s="273"/>
      <c r="B824" s="274"/>
      <c r="C824" s="207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</row>
    <row r="825" spans="1:27">
      <c r="A825" s="273">
        <v>279</v>
      </c>
      <c r="B825" s="274">
        <v>92</v>
      </c>
      <c r="C825" s="207" t="s">
        <v>203</v>
      </c>
      <c r="D825" s="275" t="s">
        <v>434</v>
      </c>
      <c r="E825" s="275" t="s">
        <v>435</v>
      </c>
      <c r="F825" s="275" t="s">
        <v>436</v>
      </c>
      <c r="G825" s="275" t="s">
        <v>437</v>
      </c>
      <c r="H825" s="275" t="s">
        <v>438</v>
      </c>
      <c r="I825" s="275" t="s">
        <v>439</v>
      </c>
      <c r="J825" s="275" t="s">
        <v>440</v>
      </c>
      <c r="K825" s="275" t="s">
        <v>441</v>
      </c>
      <c r="L825" s="275" t="s">
        <v>442</v>
      </c>
      <c r="M825" s="275" t="s">
        <v>443</v>
      </c>
      <c r="N825" s="275" t="s">
        <v>444</v>
      </c>
      <c r="O825" s="275" t="s">
        <v>445</v>
      </c>
      <c r="P825" s="275" t="s">
        <v>446</v>
      </c>
      <c r="Q825" s="275" t="s">
        <v>447</v>
      </c>
      <c r="R825" s="275" t="s">
        <v>451</v>
      </c>
      <c r="S825" s="275" t="s">
        <v>452</v>
      </c>
      <c r="T825" s="275" t="s">
        <v>448</v>
      </c>
      <c r="U825" s="275" t="s">
        <v>449</v>
      </c>
      <c r="V825" s="275" t="s">
        <v>450</v>
      </c>
      <c r="W825" s="275" t="s">
        <v>453</v>
      </c>
      <c r="X825" s="275" t="s">
        <v>454</v>
      </c>
      <c r="Y825" s="275" t="s">
        <v>455</v>
      </c>
      <c r="Z825" s="275" t="s">
        <v>456</v>
      </c>
      <c r="AA825" s="275" t="s">
        <v>457</v>
      </c>
    </row>
    <row r="826" spans="1:27">
      <c r="A826" s="273"/>
      <c r="B826" s="274"/>
      <c r="C826" s="207"/>
      <c r="D826" s="275">
        <v>-4274.5936799999999</v>
      </c>
      <c r="E826" s="275">
        <v>-807.44593999999995</v>
      </c>
      <c r="F826" s="275">
        <v>-777.51454999999999</v>
      </c>
      <c r="G826" s="275">
        <v>-636.62676999999996</v>
      </c>
      <c r="H826" s="275">
        <v>-208.0318</v>
      </c>
      <c r="I826" s="275">
        <v>-194.51978</v>
      </c>
      <c r="J826" s="275">
        <v>-161.73410999999999</v>
      </c>
      <c r="K826" s="275">
        <v>-140.4111</v>
      </c>
      <c r="L826" s="275">
        <v>-133.79593</v>
      </c>
      <c r="M826" s="275">
        <v>-55.748750000000001</v>
      </c>
      <c r="N826" s="275">
        <v>-49.620089999999998</v>
      </c>
      <c r="O826" s="275">
        <v>-40.965310000000002</v>
      </c>
      <c r="P826" s="275">
        <v>-31.155360000000002</v>
      </c>
      <c r="Q826" s="275">
        <v>-29.55095</v>
      </c>
      <c r="R826" s="275">
        <v>-16.622450000000001</v>
      </c>
      <c r="S826" s="275">
        <v>-16.208829999999999</v>
      </c>
      <c r="T826" s="275">
        <v>-14.01193</v>
      </c>
      <c r="U826" s="275">
        <v>-11.540369999999999</v>
      </c>
      <c r="V826" s="275">
        <v>-9.4999900000000004</v>
      </c>
      <c r="W826" s="275">
        <v>-5.7407000000000004</v>
      </c>
      <c r="X826" s="275">
        <v>-5.4292499999999997</v>
      </c>
      <c r="Y826" s="275">
        <v>-3.4651800000000001</v>
      </c>
      <c r="Z826" s="275">
        <v>-2.6392600000000002</v>
      </c>
      <c r="AA826" s="275">
        <v>-2.2465999999999999</v>
      </c>
    </row>
    <row r="827" spans="1:27">
      <c r="A827" s="273"/>
      <c r="B827" s="274"/>
      <c r="C827" s="207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</row>
    <row r="828" spans="1:27">
      <c r="A828" s="273">
        <v>280</v>
      </c>
      <c r="B828" s="274">
        <v>92</v>
      </c>
      <c r="C828" s="207" t="s">
        <v>204</v>
      </c>
      <c r="D828" s="275" t="s">
        <v>434</v>
      </c>
      <c r="E828" s="275" t="s">
        <v>435</v>
      </c>
      <c r="F828" s="275" t="s">
        <v>436</v>
      </c>
      <c r="G828" s="275" t="s">
        <v>437</v>
      </c>
      <c r="H828" s="275" t="s">
        <v>438</v>
      </c>
      <c r="I828" s="275" t="s">
        <v>439</v>
      </c>
      <c r="J828" s="275" t="s">
        <v>440</v>
      </c>
      <c r="K828" s="275" t="s">
        <v>441</v>
      </c>
      <c r="L828" s="275" t="s">
        <v>442</v>
      </c>
      <c r="M828" s="275" t="s">
        <v>443</v>
      </c>
      <c r="N828" s="275" t="s">
        <v>444</v>
      </c>
      <c r="O828" s="275" t="s">
        <v>445</v>
      </c>
      <c r="P828" s="275" t="s">
        <v>446</v>
      </c>
      <c r="Q828" s="275" t="s">
        <v>447</v>
      </c>
      <c r="R828" s="275" t="s">
        <v>451</v>
      </c>
      <c r="S828" s="275" t="s">
        <v>452</v>
      </c>
      <c r="T828" s="275" t="s">
        <v>448</v>
      </c>
      <c r="U828" s="275" t="s">
        <v>449</v>
      </c>
      <c r="V828" s="275" t="s">
        <v>450</v>
      </c>
      <c r="W828" s="275" t="s">
        <v>453</v>
      </c>
      <c r="X828" s="275" t="s">
        <v>454</v>
      </c>
      <c r="Y828" s="275" t="s">
        <v>455</v>
      </c>
      <c r="Z828" s="275" t="s">
        <v>456</v>
      </c>
      <c r="AA828" s="275" t="s">
        <v>457</v>
      </c>
    </row>
    <row r="829" spans="1:27">
      <c r="A829" s="273"/>
      <c r="B829" s="274"/>
      <c r="C829" s="207"/>
      <c r="D829" s="275">
        <v>-4275.2373900000002</v>
      </c>
      <c r="E829" s="275">
        <v>-808.10427000000004</v>
      </c>
      <c r="F829" s="275">
        <v>-778.16968999999995</v>
      </c>
      <c r="G829" s="275">
        <v>-637.28515000000004</v>
      </c>
      <c r="H829" s="275">
        <v>-208.70439999999999</v>
      </c>
      <c r="I829" s="275">
        <v>-195.19122999999999</v>
      </c>
      <c r="J829" s="275">
        <v>-162.40630999999999</v>
      </c>
      <c r="K829" s="275">
        <v>-141.08105</v>
      </c>
      <c r="L829" s="275">
        <v>-134.46647999999999</v>
      </c>
      <c r="M829" s="275">
        <v>-56.417389999999997</v>
      </c>
      <c r="N829" s="275">
        <v>-50.288200000000003</v>
      </c>
      <c r="O829" s="275">
        <v>-41.632199999999997</v>
      </c>
      <c r="P829" s="275">
        <v>-31.82124</v>
      </c>
      <c r="Q829" s="275">
        <v>-30.216670000000001</v>
      </c>
      <c r="R829" s="275">
        <v>-17.286580000000001</v>
      </c>
      <c r="S829" s="275">
        <v>-16.872920000000001</v>
      </c>
      <c r="T829" s="275">
        <v>-14.6683</v>
      </c>
      <c r="U829" s="275">
        <v>-12.1911</v>
      </c>
      <c r="V829" s="275">
        <v>-10.142899999999999</v>
      </c>
      <c r="W829" s="275">
        <v>-6.3623599999999998</v>
      </c>
      <c r="X829" s="275">
        <v>-6.048</v>
      </c>
      <c r="Y829" s="275">
        <v>-4.0174700000000003</v>
      </c>
      <c r="Z829" s="275">
        <v>-3.16405</v>
      </c>
      <c r="AA829" s="275">
        <v>-2.7439200000000001</v>
      </c>
    </row>
    <row r="830" spans="1:27">
      <c r="A830" s="273"/>
      <c r="B830" s="274"/>
      <c r="C830" s="207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</row>
    <row r="831" spans="1:27">
      <c r="A831" s="273">
        <v>281</v>
      </c>
      <c r="B831" s="274">
        <v>92</v>
      </c>
      <c r="C831" s="207" t="s">
        <v>205</v>
      </c>
      <c r="D831" s="275" t="s">
        <v>434</v>
      </c>
      <c r="E831" s="275" t="s">
        <v>435</v>
      </c>
      <c r="F831" s="275" t="s">
        <v>436</v>
      </c>
      <c r="G831" s="275" t="s">
        <v>437</v>
      </c>
      <c r="H831" s="275" t="s">
        <v>438</v>
      </c>
      <c r="I831" s="275" t="s">
        <v>439</v>
      </c>
      <c r="J831" s="275" t="s">
        <v>440</v>
      </c>
      <c r="K831" s="275" t="s">
        <v>441</v>
      </c>
      <c r="L831" s="275" t="s">
        <v>442</v>
      </c>
      <c r="M831" s="275" t="s">
        <v>443</v>
      </c>
      <c r="N831" s="275" t="s">
        <v>444</v>
      </c>
      <c r="O831" s="275" t="s">
        <v>445</v>
      </c>
      <c r="P831" s="275" t="s">
        <v>446</v>
      </c>
      <c r="Q831" s="275" t="s">
        <v>447</v>
      </c>
      <c r="R831" s="275" t="s">
        <v>448</v>
      </c>
      <c r="S831" s="275" t="s">
        <v>449</v>
      </c>
      <c r="T831" s="275" t="s">
        <v>450</v>
      </c>
      <c r="U831" s="275"/>
      <c r="V831" s="275"/>
      <c r="W831" s="275"/>
      <c r="X831" s="275"/>
      <c r="Y831" s="275"/>
      <c r="Z831" s="275"/>
      <c r="AA831" s="275"/>
    </row>
    <row r="832" spans="1:27">
      <c r="A832" s="273"/>
      <c r="B832" s="274"/>
      <c r="C832" s="207"/>
      <c r="D832" s="275">
        <v>-4275.9267799999998</v>
      </c>
      <c r="E832" s="275">
        <v>-808.81880000000001</v>
      </c>
      <c r="F832" s="275">
        <v>-778.88061000000005</v>
      </c>
      <c r="G832" s="275">
        <v>-637.99973</v>
      </c>
      <c r="H832" s="275">
        <v>-209.43429</v>
      </c>
      <c r="I832" s="275">
        <v>-195.91982999999999</v>
      </c>
      <c r="J832" s="275">
        <v>-163.13561999999999</v>
      </c>
      <c r="K832" s="275">
        <v>-141.80796000000001</v>
      </c>
      <c r="L832" s="275">
        <v>-135.19399999999999</v>
      </c>
      <c r="M832" s="275">
        <v>-57.140970000000003</v>
      </c>
      <c r="N832" s="275">
        <v>-51.011200000000002</v>
      </c>
      <c r="O832" s="275">
        <v>-42.353369999999998</v>
      </c>
      <c r="P832" s="275">
        <v>-32.541409999999999</v>
      </c>
      <c r="Q832" s="275">
        <v>-30.936520000000002</v>
      </c>
      <c r="R832" s="275">
        <v>-15.37312</v>
      </c>
      <c r="S832" s="275">
        <v>-12.88923</v>
      </c>
      <c r="T832" s="275">
        <v>-10.831020000000001</v>
      </c>
      <c r="U832" s="275"/>
      <c r="V832" s="275"/>
      <c r="W832" s="275"/>
      <c r="X832" s="275"/>
      <c r="Y832" s="275"/>
      <c r="Z832" s="275"/>
      <c r="AA832" s="275"/>
    </row>
    <row r="833" spans="1:27">
      <c r="A833" s="273"/>
      <c r="B833" s="274"/>
      <c r="C833" s="207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</row>
    <row r="834" spans="1:27">
      <c r="A834" s="273">
        <v>282</v>
      </c>
      <c r="B834" s="274">
        <v>93</v>
      </c>
      <c r="C834" s="207" t="s">
        <v>402</v>
      </c>
      <c r="D834" s="275" t="s">
        <v>434</v>
      </c>
      <c r="E834" s="275" t="s">
        <v>435</v>
      </c>
      <c r="F834" s="275" t="s">
        <v>436</v>
      </c>
      <c r="G834" s="275" t="s">
        <v>437</v>
      </c>
      <c r="H834" s="275" t="s">
        <v>438</v>
      </c>
      <c r="I834" s="275" t="s">
        <v>439</v>
      </c>
      <c r="J834" s="275" t="s">
        <v>440</v>
      </c>
      <c r="K834" s="275" t="s">
        <v>441</v>
      </c>
      <c r="L834" s="275" t="s">
        <v>442</v>
      </c>
      <c r="M834" s="275" t="s">
        <v>443</v>
      </c>
      <c r="N834" s="275" t="s">
        <v>444</v>
      </c>
      <c r="O834" s="275" t="s">
        <v>445</v>
      </c>
      <c r="P834" s="275" t="s">
        <v>446</v>
      </c>
      <c r="Q834" s="275" t="s">
        <v>447</v>
      </c>
      <c r="R834" s="275" t="s">
        <v>451</v>
      </c>
      <c r="S834" s="275" t="s">
        <v>452</v>
      </c>
      <c r="T834" s="275" t="s">
        <v>448</v>
      </c>
      <c r="U834" s="275" t="s">
        <v>449</v>
      </c>
      <c r="V834" s="275" t="s">
        <v>450</v>
      </c>
      <c r="W834" s="275" t="s">
        <v>453</v>
      </c>
      <c r="X834" s="275" t="s">
        <v>454</v>
      </c>
      <c r="Y834" s="275" t="s">
        <v>455</v>
      </c>
      <c r="Z834" s="275" t="s">
        <v>456</v>
      </c>
      <c r="AA834" s="275" t="s">
        <v>457</v>
      </c>
    </row>
    <row r="835" spans="1:27">
      <c r="A835" s="273"/>
      <c r="B835" s="274"/>
      <c r="C835" s="207"/>
      <c r="D835" s="275">
        <v>-4387.7813699999997</v>
      </c>
      <c r="E835" s="275">
        <v>-831.63525000000004</v>
      </c>
      <c r="F835" s="275">
        <v>-801.09366</v>
      </c>
      <c r="G835" s="275">
        <v>-652.41165000000001</v>
      </c>
      <c r="H835" s="275">
        <v>-214.51777999999999</v>
      </c>
      <c r="I835" s="275">
        <v>-200.72637</v>
      </c>
      <c r="J835" s="275">
        <v>-166.03289000000001</v>
      </c>
      <c r="K835" s="275">
        <v>-144.34736000000001</v>
      </c>
      <c r="L835" s="275">
        <v>-137.38806</v>
      </c>
      <c r="M835" s="275">
        <v>-57.370919999999998</v>
      </c>
      <c r="N835" s="275">
        <v>-51.09525</v>
      </c>
      <c r="O835" s="275">
        <v>-41.887909999999998</v>
      </c>
      <c r="P835" s="275">
        <v>-31.868569999999998</v>
      </c>
      <c r="Q835" s="275">
        <v>-30.167670000000001</v>
      </c>
      <c r="R835" s="275">
        <v>-16.95945</v>
      </c>
      <c r="S835" s="275">
        <v>-16.51662</v>
      </c>
      <c r="T835" s="275">
        <v>-14.028180000000001</v>
      </c>
      <c r="U835" s="275">
        <v>-11.48329</v>
      </c>
      <c r="V835" s="275">
        <v>-9.2882300000000004</v>
      </c>
      <c r="W835" s="275">
        <v>-5.4337299999999997</v>
      </c>
      <c r="X835" s="275">
        <v>-5.0985699999999996</v>
      </c>
      <c r="Y835" s="275">
        <v>-3.0476200000000002</v>
      </c>
      <c r="Z835" s="275">
        <v>-2.2183099999999998</v>
      </c>
      <c r="AA835" s="275">
        <v>-1.82128</v>
      </c>
    </row>
    <row r="836" spans="1:27">
      <c r="A836" s="273"/>
      <c r="B836" s="274"/>
      <c r="C836" s="207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</row>
    <row r="837" spans="1:27">
      <c r="A837" s="273">
        <v>283</v>
      </c>
      <c r="B837" s="274">
        <v>93</v>
      </c>
      <c r="C837" s="207" t="s">
        <v>206</v>
      </c>
      <c r="D837" s="275" t="s">
        <v>434</v>
      </c>
      <c r="E837" s="275" t="s">
        <v>435</v>
      </c>
      <c r="F837" s="275" t="s">
        <v>436</v>
      </c>
      <c r="G837" s="275" t="s">
        <v>437</v>
      </c>
      <c r="H837" s="275" t="s">
        <v>438</v>
      </c>
      <c r="I837" s="275" t="s">
        <v>439</v>
      </c>
      <c r="J837" s="275" t="s">
        <v>440</v>
      </c>
      <c r="K837" s="275" t="s">
        <v>441</v>
      </c>
      <c r="L837" s="275" t="s">
        <v>442</v>
      </c>
      <c r="M837" s="275" t="s">
        <v>443</v>
      </c>
      <c r="N837" s="275" t="s">
        <v>444</v>
      </c>
      <c r="O837" s="275" t="s">
        <v>445</v>
      </c>
      <c r="P837" s="275" t="s">
        <v>446</v>
      </c>
      <c r="Q837" s="275" t="s">
        <v>447</v>
      </c>
      <c r="R837" s="275" t="s">
        <v>451</v>
      </c>
      <c r="S837" s="275" t="s">
        <v>452</v>
      </c>
      <c r="T837" s="275" t="s">
        <v>448</v>
      </c>
      <c r="U837" s="275" t="s">
        <v>449</v>
      </c>
      <c r="V837" s="275" t="s">
        <v>450</v>
      </c>
      <c r="W837" s="275" t="s">
        <v>453</v>
      </c>
      <c r="X837" s="275" t="s">
        <v>454</v>
      </c>
      <c r="Y837" s="275" t="s">
        <v>455</v>
      </c>
      <c r="Z837" s="275" t="s">
        <v>456</v>
      </c>
      <c r="AA837" s="275" t="s">
        <v>457</v>
      </c>
    </row>
    <row r="838" spans="1:27">
      <c r="A838" s="273"/>
      <c r="B838" s="274"/>
      <c r="C838" s="207"/>
      <c r="D838" s="275">
        <v>-4388.3733099999999</v>
      </c>
      <c r="E838" s="275">
        <v>-832.24035000000003</v>
      </c>
      <c r="F838" s="275">
        <v>-801.69606999999996</v>
      </c>
      <c r="G838" s="275">
        <v>-653.01688000000001</v>
      </c>
      <c r="H838" s="275">
        <v>-215.13461000000001</v>
      </c>
      <c r="I838" s="275">
        <v>-201.34217000000001</v>
      </c>
      <c r="J838" s="275">
        <v>-166.64988</v>
      </c>
      <c r="K838" s="275">
        <v>-144.96231</v>
      </c>
      <c r="L838" s="275">
        <v>-138.00360000000001</v>
      </c>
      <c r="M838" s="275">
        <v>-57.986319999999999</v>
      </c>
      <c r="N838" s="275">
        <v>-51.710169999999998</v>
      </c>
      <c r="O838" s="275">
        <v>-42.50215</v>
      </c>
      <c r="P838" s="275">
        <v>-32.481870000000001</v>
      </c>
      <c r="Q838" s="275">
        <v>-30.78096</v>
      </c>
      <c r="R838" s="275">
        <v>-17.571359999999999</v>
      </c>
      <c r="S838" s="275">
        <v>-17.128630000000001</v>
      </c>
      <c r="T838" s="275">
        <v>-14.63697</v>
      </c>
      <c r="U838" s="275">
        <v>-12.08756</v>
      </c>
      <c r="V838" s="275">
        <v>-9.8868200000000002</v>
      </c>
      <c r="W838" s="275">
        <v>-6.0149800000000004</v>
      </c>
      <c r="X838" s="275">
        <v>-5.6778700000000004</v>
      </c>
      <c r="Y838" s="275">
        <v>-3.5737100000000002</v>
      </c>
      <c r="Z838" s="275">
        <v>-2.7186300000000001</v>
      </c>
      <c r="AA838" s="275">
        <v>-2.2953600000000001</v>
      </c>
    </row>
    <row r="839" spans="1:27">
      <c r="A839" s="273"/>
      <c r="B839" s="274"/>
      <c r="C839" s="207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</row>
    <row r="840" spans="1:27">
      <c r="A840" s="273">
        <v>284</v>
      </c>
      <c r="B840" s="274">
        <v>93</v>
      </c>
      <c r="C840" s="207" t="s">
        <v>207</v>
      </c>
      <c r="D840" s="275" t="s">
        <v>434</v>
      </c>
      <c r="E840" s="275" t="s">
        <v>435</v>
      </c>
      <c r="F840" s="275" t="s">
        <v>436</v>
      </c>
      <c r="G840" s="275" t="s">
        <v>437</v>
      </c>
      <c r="H840" s="275" t="s">
        <v>438</v>
      </c>
      <c r="I840" s="275" t="s">
        <v>439</v>
      </c>
      <c r="J840" s="275" t="s">
        <v>440</v>
      </c>
      <c r="K840" s="275" t="s">
        <v>441</v>
      </c>
      <c r="L840" s="275" t="s">
        <v>442</v>
      </c>
      <c r="M840" s="275" t="s">
        <v>443</v>
      </c>
      <c r="N840" s="275" t="s">
        <v>444</v>
      </c>
      <c r="O840" s="275" t="s">
        <v>445</v>
      </c>
      <c r="P840" s="275" t="s">
        <v>446</v>
      </c>
      <c r="Q840" s="275" t="s">
        <v>447</v>
      </c>
      <c r="R840" s="275" t="s">
        <v>451</v>
      </c>
      <c r="S840" s="275" t="s">
        <v>452</v>
      </c>
      <c r="T840" s="275" t="s">
        <v>448</v>
      </c>
      <c r="U840" s="275" t="s">
        <v>449</v>
      </c>
      <c r="V840" s="275" t="s">
        <v>450</v>
      </c>
      <c r="W840" s="275" t="s">
        <v>453</v>
      </c>
      <c r="X840" s="275" t="s">
        <v>454</v>
      </c>
      <c r="Y840" s="275" t="s">
        <v>455</v>
      </c>
      <c r="Z840" s="275" t="s">
        <v>456</v>
      </c>
      <c r="AA840" s="275" t="s">
        <v>457</v>
      </c>
    </row>
    <row r="841" spans="1:27">
      <c r="A841" s="273"/>
      <c r="B841" s="274"/>
      <c r="C841" s="207"/>
      <c r="D841" s="275">
        <v>-4389.0263699999996</v>
      </c>
      <c r="E841" s="275">
        <v>-832.90806999999995</v>
      </c>
      <c r="F841" s="275">
        <v>-802.36059</v>
      </c>
      <c r="G841" s="275">
        <v>-653.68471999999997</v>
      </c>
      <c r="H841" s="275">
        <v>-215.81648999999999</v>
      </c>
      <c r="I841" s="275">
        <v>-202.02287999999999</v>
      </c>
      <c r="J841" s="275">
        <v>-167.33138</v>
      </c>
      <c r="K841" s="275">
        <v>-145.64157</v>
      </c>
      <c r="L841" s="275">
        <v>-138.68348</v>
      </c>
      <c r="M841" s="275">
        <v>-58.664360000000002</v>
      </c>
      <c r="N841" s="275">
        <v>-52.38767</v>
      </c>
      <c r="O841" s="275">
        <v>-43.178420000000003</v>
      </c>
      <c r="P841" s="275">
        <v>-33.157150000000001</v>
      </c>
      <c r="Q841" s="275">
        <v>-31.45609</v>
      </c>
      <c r="R841" s="275">
        <v>-18.244969999999999</v>
      </c>
      <c r="S841" s="275">
        <v>-17.802219999999998</v>
      </c>
      <c r="T841" s="275">
        <v>-15.302630000000001</v>
      </c>
      <c r="U841" s="275">
        <v>-12.74766</v>
      </c>
      <c r="V841" s="275">
        <v>-10.538930000000001</v>
      </c>
      <c r="W841" s="275">
        <v>-6.64621</v>
      </c>
      <c r="X841" s="275">
        <v>-6.3062100000000001</v>
      </c>
      <c r="Y841" s="275">
        <v>-4.1353799999999996</v>
      </c>
      <c r="Z841" s="275">
        <v>-3.25284</v>
      </c>
      <c r="AA841" s="275">
        <v>-2.80084</v>
      </c>
    </row>
    <row r="842" spans="1:27">
      <c r="A842" s="273"/>
      <c r="B842" s="274"/>
      <c r="C842" s="207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</row>
    <row r="843" spans="1:27">
      <c r="A843" s="273">
        <v>285</v>
      </c>
      <c r="B843" s="274">
        <v>93</v>
      </c>
      <c r="C843" s="207" t="s">
        <v>208</v>
      </c>
      <c r="D843" s="275" t="s">
        <v>434</v>
      </c>
      <c r="E843" s="275" t="s">
        <v>435</v>
      </c>
      <c r="F843" s="275" t="s">
        <v>436</v>
      </c>
      <c r="G843" s="275" t="s">
        <v>437</v>
      </c>
      <c r="H843" s="275" t="s">
        <v>438</v>
      </c>
      <c r="I843" s="275" t="s">
        <v>439</v>
      </c>
      <c r="J843" s="275" t="s">
        <v>440</v>
      </c>
      <c r="K843" s="275" t="s">
        <v>441</v>
      </c>
      <c r="L843" s="275" t="s">
        <v>442</v>
      </c>
      <c r="M843" s="275" t="s">
        <v>443</v>
      </c>
      <c r="N843" s="275" t="s">
        <v>444</v>
      </c>
      <c r="O843" s="275" t="s">
        <v>445</v>
      </c>
      <c r="P843" s="275" t="s">
        <v>446</v>
      </c>
      <c r="Q843" s="275" t="s">
        <v>447</v>
      </c>
      <c r="R843" s="275" t="s">
        <v>451</v>
      </c>
      <c r="S843" s="275" t="s">
        <v>452</v>
      </c>
      <c r="T843" s="275" t="s">
        <v>448</v>
      </c>
      <c r="U843" s="275" t="s">
        <v>449</v>
      </c>
      <c r="V843" s="275" t="s">
        <v>450</v>
      </c>
      <c r="W843" s="275" t="s">
        <v>453</v>
      </c>
      <c r="X843" s="275" t="s">
        <v>454</v>
      </c>
      <c r="Y843" s="275" t="s">
        <v>455</v>
      </c>
      <c r="Z843" s="275" t="s">
        <v>456</v>
      </c>
      <c r="AA843" s="275" t="s">
        <v>457</v>
      </c>
    </row>
    <row r="844" spans="1:27">
      <c r="A844" s="273"/>
      <c r="B844" s="274"/>
      <c r="C844" s="207"/>
      <c r="D844" s="275">
        <v>-4389.7328200000002</v>
      </c>
      <c r="E844" s="275">
        <v>-833.63088000000005</v>
      </c>
      <c r="F844" s="275">
        <v>-803.07978000000003</v>
      </c>
      <c r="G844" s="275">
        <v>-654.40767000000005</v>
      </c>
      <c r="H844" s="275">
        <v>-216.55552</v>
      </c>
      <c r="I844" s="275">
        <v>-202.76062999999999</v>
      </c>
      <c r="J844" s="275">
        <v>-168.06948</v>
      </c>
      <c r="K844" s="275">
        <v>-146.37729999999999</v>
      </c>
      <c r="L844" s="275">
        <v>-139.41983999999999</v>
      </c>
      <c r="M844" s="275">
        <v>-59.396830000000001</v>
      </c>
      <c r="N844" s="275">
        <v>-53.119570000000003</v>
      </c>
      <c r="O844" s="275">
        <v>-43.90851</v>
      </c>
      <c r="P844" s="275">
        <v>-33.886229999999998</v>
      </c>
      <c r="Q844" s="275">
        <v>-32.184849999999997</v>
      </c>
      <c r="R844" s="275">
        <v>-18.972110000000001</v>
      </c>
      <c r="S844" s="275">
        <v>-18.529229999999998</v>
      </c>
      <c r="T844" s="275">
        <v>-16.016359999999999</v>
      </c>
      <c r="U844" s="275">
        <v>-13.454829999999999</v>
      </c>
      <c r="V844" s="275">
        <v>-11.235910000000001</v>
      </c>
      <c r="W844" s="275">
        <v>-7.3192500000000003</v>
      </c>
      <c r="X844" s="275">
        <v>-6.9755900000000004</v>
      </c>
      <c r="Y844" s="275">
        <v>-4.7266300000000001</v>
      </c>
      <c r="Z844" s="275">
        <v>-3.8158099999999999</v>
      </c>
      <c r="AA844" s="275">
        <v>-3.3334199999999998</v>
      </c>
    </row>
    <row r="845" spans="1:27">
      <c r="A845" s="273"/>
      <c r="B845" s="274"/>
      <c r="C845" s="207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</row>
    <row r="846" spans="1:27">
      <c r="A846" s="273">
        <v>286</v>
      </c>
      <c r="B846" s="274">
        <v>93</v>
      </c>
      <c r="C846" s="207" t="s">
        <v>209</v>
      </c>
      <c r="D846" s="275" t="s">
        <v>434</v>
      </c>
      <c r="E846" s="275" t="s">
        <v>435</v>
      </c>
      <c r="F846" s="275" t="s">
        <v>436</v>
      </c>
      <c r="G846" s="275" t="s">
        <v>437</v>
      </c>
      <c r="H846" s="275" t="s">
        <v>438</v>
      </c>
      <c r="I846" s="275" t="s">
        <v>439</v>
      </c>
      <c r="J846" s="275" t="s">
        <v>440</v>
      </c>
      <c r="K846" s="275" t="s">
        <v>441</v>
      </c>
      <c r="L846" s="275" t="s">
        <v>442</v>
      </c>
      <c r="M846" s="275" t="s">
        <v>443</v>
      </c>
      <c r="N846" s="275" t="s">
        <v>444</v>
      </c>
      <c r="O846" s="275" t="s">
        <v>445</v>
      </c>
      <c r="P846" s="275" t="s">
        <v>446</v>
      </c>
      <c r="Q846" s="275" t="s">
        <v>447</v>
      </c>
      <c r="R846" s="275" t="s">
        <v>448</v>
      </c>
      <c r="S846" s="275" t="s">
        <v>449</v>
      </c>
      <c r="T846" s="275" t="s">
        <v>450</v>
      </c>
      <c r="U846" s="275"/>
      <c r="V846" s="275"/>
      <c r="W846" s="275"/>
      <c r="X846" s="275"/>
      <c r="Y846" s="275"/>
      <c r="Z846" s="275"/>
      <c r="AA846" s="275"/>
    </row>
    <row r="847" spans="1:27">
      <c r="A847" s="273"/>
      <c r="B847" s="274"/>
      <c r="C847" s="207"/>
      <c r="D847" s="275">
        <v>-4390.4924000000001</v>
      </c>
      <c r="E847" s="275">
        <v>-834.40461000000005</v>
      </c>
      <c r="F847" s="275">
        <v>-803.84950000000003</v>
      </c>
      <c r="G847" s="275">
        <v>-655.18154000000004</v>
      </c>
      <c r="H847" s="275">
        <v>-217.34598</v>
      </c>
      <c r="I847" s="275">
        <v>-203.54971</v>
      </c>
      <c r="J847" s="275">
        <v>-168.85914</v>
      </c>
      <c r="K847" s="275">
        <v>-147.16452000000001</v>
      </c>
      <c r="L847" s="275">
        <v>-140.20770999999999</v>
      </c>
      <c r="M847" s="275">
        <v>-60.1785</v>
      </c>
      <c r="N847" s="275">
        <v>-53.900640000000003</v>
      </c>
      <c r="O847" s="275">
        <v>-44.687109999999997</v>
      </c>
      <c r="P847" s="275">
        <v>-34.66384</v>
      </c>
      <c r="Q847" s="275">
        <v>-32.961970000000001</v>
      </c>
      <c r="R847" s="275">
        <v>-16.772379999999998</v>
      </c>
      <c r="S847" s="275">
        <v>-14.20336</v>
      </c>
      <c r="T847" s="275">
        <v>-11.972099999999999</v>
      </c>
      <c r="U847" s="275"/>
      <c r="V847" s="275"/>
      <c r="W847" s="275"/>
      <c r="X847" s="275"/>
      <c r="Y847" s="275"/>
      <c r="Z847" s="275"/>
      <c r="AA847" s="275"/>
    </row>
    <row r="848" spans="1:27">
      <c r="A848" s="273"/>
      <c r="B848" s="274"/>
      <c r="C848" s="207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</row>
    <row r="849" spans="1:27">
      <c r="A849" s="273">
        <v>287</v>
      </c>
      <c r="B849" s="274">
        <v>94</v>
      </c>
      <c r="C849" s="207" t="s">
        <v>403</v>
      </c>
      <c r="D849" s="275" t="s">
        <v>434</v>
      </c>
      <c r="E849" s="275" t="s">
        <v>435</v>
      </c>
      <c r="F849" s="275" t="s">
        <v>436</v>
      </c>
      <c r="G849" s="275" t="s">
        <v>437</v>
      </c>
      <c r="H849" s="275" t="s">
        <v>438</v>
      </c>
      <c r="I849" s="275" t="s">
        <v>439</v>
      </c>
      <c r="J849" s="275" t="s">
        <v>440</v>
      </c>
      <c r="K849" s="275" t="s">
        <v>441</v>
      </c>
      <c r="L849" s="275" t="s">
        <v>442</v>
      </c>
      <c r="M849" s="275" t="s">
        <v>443</v>
      </c>
      <c r="N849" s="275" t="s">
        <v>444</v>
      </c>
      <c r="O849" s="275" t="s">
        <v>445</v>
      </c>
      <c r="P849" s="275" t="s">
        <v>446</v>
      </c>
      <c r="Q849" s="275" t="s">
        <v>447</v>
      </c>
      <c r="R849" s="275" t="s">
        <v>451</v>
      </c>
      <c r="S849" s="275" t="s">
        <v>452</v>
      </c>
      <c r="T849" s="275" t="s">
        <v>448</v>
      </c>
      <c r="U849" s="275" t="s">
        <v>449</v>
      </c>
      <c r="V849" s="275" t="s">
        <v>450</v>
      </c>
      <c r="W849" s="275" t="s">
        <v>453</v>
      </c>
      <c r="X849" s="275" t="s">
        <v>454</v>
      </c>
      <c r="Y849" s="275" t="s">
        <v>455</v>
      </c>
      <c r="Z849" s="275" t="s">
        <v>456</v>
      </c>
      <c r="AA849" s="275" t="s">
        <v>457</v>
      </c>
    </row>
    <row r="850" spans="1:27">
      <c r="A850" s="273"/>
      <c r="B850" s="274"/>
      <c r="C850" s="207"/>
      <c r="D850" s="275">
        <v>-4503.39534</v>
      </c>
      <c r="E850" s="275">
        <v>-856.94452999999999</v>
      </c>
      <c r="F850" s="275">
        <v>-825.85486000000003</v>
      </c>
      <c r="G850" s="275">
        <v>-669.00400000000002</v>
      </c>
      <c r="H850" s="275">
        <v>-221.76070000000001</v>
      </c>
      <c r="I850" s="275">
        <v>-207.70256000000001</v>
      </c>
      <c r="J850" s="275">
        <v>-171.00591</v>
      </c>
      <c r="K850" s="275">
        <v>-148.95335</v>
      </c>
      <c r="L850" s="275">
        <v>-141.63679999999999</v>
      </c>
      <c r="M850" s="275">
        <v>-59.639490000000002</v>
      </c>
      <c r="N850" s="275">
        <v>-53.219050000000003</v>
      </c>
      <c r="O850" s="275">
        <v>-43.428579999999997</v>
      </c>
      <c r="P850" s="275">
        <v>-33.19746</v>
      </c>
      <c r="Q850" s="275">
        <v>-31.395689999999998</v>
      </c>
      <c r="R850" s="275">
        <v>-17.90568</v>
      </c>
      <c r="S850" s="275">
        <v>-17.432269999999999</v>
      </c>
      <c r="T850" s="275">
        <v>-14.646940000000001</v>
      </c>
      <c r="U850" s="275">
        <v>-12.02487</v>
      </c>
      <c r="V850" s="275">
        <v>-9.6607599999999998</v>
      </c>
      <c r="W850" s="275">
        <v>-5.6946399999999997</v>
      </c>
      <c r="X850" s="275">
        <v>-5.3326500000000001</v>
      </c>
      <c r="Y850" s="275">
        <v>-3.1436799999999998</v>
      </c>
      <c r="Z850" s="275">
        <v>-2.28579</v>
      </c>
      <c r="AA850" s="275">
        <v>-1.8585</v>
      </c>
    </row>
    <row r="851" spans="1:27">
      <c r="A851" s="273"/>
      <c r="B851" s="274"/>
      <c r="C851" s="207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</row>
    <row r="852" spans="1:27">
      <c r="A852" s="273">
        <v>288</v>
      </c>
      <c r="B852" s="274">
        <v>94</v>
      </c>
      <c r="C852" s="207" t="s">
        <v>210</v>
      </c>
      <c r="D852" s="275" t="s">
        <v>434</v>
      </c>
      <c r="E852" s="275" t="s">
        <v>435</v>
      </c>
      <c r="F852" s="275" t="s">
        <v>436</v>
      </c>
      <c r="G852" s="275" t="s">
        <v>437</v>
      </c>
      <c r="H852" s="275" t="s">
        <v>438</v>
      </c>
      <c r="I852" s="275" t="s">
        <v>439</v>
      </c>
      <c r="J852" s="275" t="s">
        <v>440</v>
      </c>
      <c r="K852" s="275" t="s">
        <v>441</v>
      </c>
      <c r="L852" s="275" t="s">
        <v>442</v>
      </c>
      <c r="M852" s="275" t="s">
        <v>443</v>
      </c>
      <c r="N852" s="275" t="s">
        <v>444</v>
      </c>
      <c r="O852" s="275" t="s">
        <v>445</v>
      </c>
      <c r="P852" s="275" t="s">
        <v>446</v>
      </c>
      <c r="Q852" s="275" t="s">
        <v>447</v>
      </c>
      <c r="R852" s="275" t="s">
        <v>451</v>
      </c>
      <c r="S852" s="275" t="s">
        <v>452</v>
      </c>
      <c r="T852" s="275" t="s">
        <v>448</v>
      </c>
      <c r="U852" s="275" t="s">
        <v>449</v>
      </c>
      <c r="V852" s="275" t="s">
        <v>450</v>
      </c>
      <c r="W852" s="275" t="s">
        <v>453</v>
      </c>
      <c r="X852" s="275" t="s">
        <v>454</v>
      </c>
      <c r="Y852" s="275" t="s">
        <v>455</v>
      </c>
      <c r="Z852" s="275" t="s">
        <v>456</v>
      </c>
      <c r="AA852" s="275" t="s">
        <v>457</v>
      </c>
    </row>
    <row r="853" spans="1:27">
      <c r="A853" s="273"/>
      <c r="B853" s="274"/>
      <c r="C853" s="207"/>
      <c r="D853" s="275">
        <v>-4503.9973099999997</v>
      </c>
      <c r="E853" s="275">
        <v>-857.56046000000003</v>
      </c>
      <c r="F853" s="275">
        <v>-826.46806000000004</v>
      </c>
      <c r="G853" s="275">
        <v>-669.62010999999995</v>
      </c>
      <c r="H853" s="275">
        <v>-222.38869</v>
      </c>
      <c r="I853" s="275">
        <v>-208.3295</v>
      </c>
      <c r="J853" s="275">
        <v>-171.63371000000001</v>
      </c>
      <c r="K853" s="275">
        <v>-149.57908</v>
      </c>
      <c r="L853" s="275">
        <v>-142.26317</v>
      </c>
      <c r="M853" s="275">
        <v>-60.265779999999999</v>
      </c>
      <c r="N853" s="275">
        <v>-53.844850000000001</v>
      </c>
      <c r="O853" s="275">
        <v>-44.053699999999999</v>
      </c>
      <c r="P853" s="275">
        <v>-33.821649999999998</v>
      </c>
      <c r="Q853" s="275">
        <v>-32.019880000000001</v>
      </c>
      <c r="R853" s="275">
        <v>-18.528500000000001</v>
      </c>
      <c r="S853" s="275">
        <v>-18.055230000000002</v>
      </c>
      <c r="T853" s="275">
        <v>-15.26648</v>
      </c>
      <c r="U853" s="275">
        <v>-12.63992</v>
      </c>
      <c r="V853" s="275">
        <v>-10.269970000000001</v>
      </c>
      <c r="W853" s="275">
        <v>-6.2865799999999998</v>
      </c>
      <c r="X853" s="275">
        <v>-5.9226700000000001</v>
      </c>
      <c r="Y853" s="275">
        <v>-3.6798600000000001</v>
      </c>
      <c r="Z853" s="275">
        <v>-2.79609</v>
      </c>
      <c r="AA853" s="275">
        <v>-2.3411599999999999</v>
      </c>
    </row>
    <row r="854" spans="1:27">
      <c r="A854" s="273"/>
      <c r="B854" s="274"/>
      <c r="C854" s="207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</row>
    <row r="855" spans="1:27">
      <c r="A855" s="273">
        <v>289</v>
      </c>
      <c r="B855" s="274">
        <v>94</v>
      </c>
      <c r="C855" s="207" t="s">
        <v>211</v>
      </c>
      <c r="D855" s="275" t="s">
        <v>434</v>
      </c>
      <c r="E855" s="275" t="s">
        <v>435</v>
      </c>
      <c r="F855" s="275" t="s">
        <v>436</v>
      </c>
      <c r="G855" s="275" t="s">
        <v>437</v>
      </c>
      <c r="H855" s="275" t="s">
        <v>438</v>
      </c>
      <c r="I855" s="275" t="s">
        <v>439</v>
      </c>
      <c r="J855" s="275" t="s">
        <v>440</v>
      </c>
      <c r="K855" s="275" t="s">
        <v>441</v>
      </c>
      <c r="L855" s="275" t="s">
        <v>442</v>
      </c>
      <c r="M855" s="275" t="s">
        <v>443</v>
      </c>
      <c r="N855" s="275" t="s">
        <v>444</v>
      </c>
      <c r="O855" s="275" t="s">
        <v>445</v>
      </c>
      <c r="P855" s="275" t="s">
        <v>446</v>
      </c>
      <c r="Q855" s="275" t="s">
        <v>447</v>
      </c>
      <c r="R855" s="275" t="s">
        <v>451</v>
      </c>
      <c r="S855" s="275" t="s">
        <v>452</v>
      </c>
      <c r="T855" s="275" t="s">
        <v>448</v>
      </c>
      <c r="U855" s="275" t="s">
        <v>449</v>
      </c>
      <c r="V855" s="275" t="s">
        <v>450</v>
      </c>
      <c r="W855" s="275" t="s">
        <v>453</v>
      </c>
      <c r="X855" s="275" t="s">
        <v>454</v>
      </c>
      <c r="Y855" s="275" t="s">
        <v>455</v>
      </c>
      <c r="Z855" s="275" t="s">
        <v>456</v>
      </c>
      <c r="AA855" s="275" t="s">
        <v>457</v>
      </c>
    </row>
    <row r="856" spans="1:27">
      <c r="A856" s="273"/>
      <c r="B856" s="274"/>
      <c r="C856" s="207"/>
      <c r="D856" s="275">
        <v>-4504.6599699999997</v>
      </c>
      <c r="E856" s="275">
        <v>-858.23797000000002</v>
      </c>
      <c r="F856" s="275">
        <v>-827.14236000000005</v>
      </c>
      <c r="G856" s="275">
        <v>-670.29782</v>
      </c>
      <c r="H856" s="275">
        <v>-223.08028999999999</v>
      </c>
      <c r="I856" s="275">
        <v>-209.01992999999999</v>
      </c>
      <c r="J856" s="275">
        <v>-172.32495</v>
      </c>
      <c r="K856" s="275">
        <v>-150.26809</v>
      </c>
      <c r="L856" s="275">
        <v>-142.95283000000001</v>
      </c>
      <c r="M856" s="275">
        <v>-60.953659999999999</v>
      </c>
      <c r="N856" s="275">
        <v>-54.532200000000003</v>
      </c>
      <c r="O856" s="275">
        <v>-44.739829999999998</v>
      </c>
      <c r="P856" s="275">
        <v>-34.506799999999998</v>
      </c>
      <c r="Q856" s="275">
        <v>-32.704880000000003</v>
      </c>
      <c r="R856" s="275">
        <v>-19.212029999999999</v>
      </c>
      <c r="S856" s="275">
        <v>-18.738769999999999</v>
      </c>
      <c r="T856" s="275">
        <v>-15.94196</v>
      </c>
      <c r="U856" s="275">
        <v>-13.309889999999999</v>
      </c>
      <c r="V856" s="275">
        <v>-10.93178</v>
      </c>
      <c r="W856" s="275">
        <v>-6.9277899999999999</v>
      </c>
      <c r="X856" s="275">
        <v>-6.5609999999999999</v>
      </c>
      <c r="Y856" s="275">
        <v>-4.2511599999999996</v>
      </c>
      <c r="Z856" s="275">
        <v>-3.3399200000000002</v>
      </c>
      <c r="AA856" s="275">
        <v>-2.8548800000000001</v>
      </c>
    </row>
    <row r="857" spans="1:27">
      <c r="A857" s="273"/>
      <c r="B857" s="274"/>
      <c r="C857" s="207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</row>
    <row r="858" spans="1:27">
      <c r="A858" s="273">
        <v>290</v>
      </c>
      <c r="B858" s="274">
        <v>94</v>
      </c>
      <c r="C858" s="207" t="s">
        <v>212</v>
      </c>
      <c r="D858" s="275" t="s">
        <v>434</v>
      </c>
      <c r="E858" s="275" t="s">
        <v>435</v>
      </c>
      <c r="F858" s="275" t="s">
        <v>436</v>
      </c>
      <c r="G858" s="275" t="s">
        <v>437</v>
      </c>
      <c r="H858" s="275" t="s">
        <v>438</v>
      </c>
      <c r="I858" s="275" t="s">
        <v>439</v>
      </c>
      <c r="J858" s="275" t="s">
        <v>440</v>
      </c>
      <c r="K858" s="275" t="s">
        <v>441</v>
      </c>
      <c r="L858" s="275" t="s">
        <v>442</v>
      </c>
      <c r="M858" s="275" t="s">
        <v>443</v>
      </c>
      <c r="N858" s="275" t="s">
        <v>444</v>
      </c>
      <c r="O858" s="275" t="s">
        <v>445</v>
      </c>
      <c r="P858" s="275" t="s">
        <v>446</v>
      </c>
      <c r="Q858" s="275" t="s">
        <v>447</v>
      </c>
      <c r="R858" s="275" t="s">
        <v>451</v>
      </c>
      <c r="S858" s="275" t="s">
        <v>452</v>
      </c>
      <c r="T858" s="275" t="s">
        <v>448</v>
      </c>
      <c r="U858" s="275" t="s">
        <v>449</v>
      </c>
      <c r="V858" s="275" t="s">
        <v>450</v>
      </c>
      <c r="W858" s="275" t="s">
        <v>453</v>
      </c>
      <c r="X858" s="275" t="s">
        <v>454</v>
      </c>
      <c r="Y858" s="275" t="s">
        <v>455</v>
      </c>
      <c r="Z858" s="275" t="s">
        <v>456</v>
      </c>
      <c r="AA858" s="275" t="s">
        <v>457</v>
      </c>
    </row>
    <row r="859" spans="1:27">
      <c r="A859" s="273"/>
      <c r="B859" s="274"/>
      <c r="C859" s="207"/>
      <c r="D859" s="275">
        <v>-4505.37572</v>
      </c>
      <c r="E859" s="275">
        <v>-858.97010999999998</v>
      </c>
      <c r="F859" s="275">
        <v>-827.87086999999997</v>
      </c>
      <c r="G859" s="275">
        <v>-671.03017999999997</v>
      </c>
      <c r="H859" s="275">
        <v>-223.82814999999999</v>
      </c>
      <c r="I859" s="275">
        <v>-209.76649</v>
      </c>
      <c r="J859" s="275">
        <v>-173.07226</v>
      </c>
      <c r="K859" s="275">
        <v>-151.01304999999999</v>
      </c>
      <c r="L859" s="275">
        <v>-143.69845000000001</v>
      </c>
      <c r="M859" s="275">
        <v>-61.695500000000003</v>
      </c>
      <c r="N859" s="275">
        <v>-55.273470000000003</v>
      </c>
      <c r="O859" s="275">
        <v>-45.479280000000003</v>
      </c>
      <c r="P859" s="275">
        <v>-35.245249999999999</v>
      </c>
      <c r="Q859" s="275">
        <v>-33.44303</v>
      </c>
      <c r="R859" s="275">
        <v>-19.948650000000001</v>
      </c>
      <c r="S859" s="275">
        <v>-19.475280000000001</v>
      </c>
      <c r="T859" s="275">
        <v>-16.665109999999999</v>
      </c>
      <c r="U859" s="275">
        <v>-14.0266</v>
      </c>
      <c r="V859" s="275">
        <v>-11.638109999999999</v>
      </c>
      <c r="W859" s="275">
        <v>-7.6105900000000002</v>
      </c>
      <c r="X859" s="275">
        <v>-7.2401299999999997</v>
      </c>
      <c r="Y859" s="275">
        <v>-4.8519500000000004</v>
      </c>
      <c r="Z859" s="275">
        <v>-3.91242</v>
      </c>
      <c r="AA859" s="275">
        <v>-3.3956</v>
      </c>
    </row>
    <row r="860" spans="1:27">
      <c r="A860" s="273"/>
      <c r="B860" s="274"/>
      <c r="C860" s="207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</row>
    <row r="861" spans="1:27">
      <c r="A861" s="273">
        <v>291</v>
      </c>
      <c r="B861" s="274">
        <v>94</v>
      </c>
      <c r="C861" s="207" t="s">
        <v>213</v>
      </c>
      <c r="D861" s="275" t="s">
        <v>434</v>
      </c>
      <c r="E861" s="275" t="s">
        <v>435</v>
      </c>
      <c r="F861" s="275" t="s">
        <v>436</v>
      </c>
      <c r="G861" s="275" t="s">
        <v>437</v>
      </c>
      <c r="H861" s="275" t="s">
        <v>438</v>
      </c>
      <c r="I861" s="275" t="s">
        <v>439</v>
      </c>
      <c r="J861" s="275" t="s">
        <v>440</v>
      </c>
      <c r="K861" s="275" t="s">
        <v>441</v>
      </c>
      <c r="L861" s="275" t="s">
        <v>442</v>
      </c>
      <c r="M861" s="275" t="s">
        <v>443</v>
      </c>
      <c r="N861" s="275" t="s">
        <v>444</v>
      </c>
      <c r="O861" s="275" t="s">
        <v>445</v>
      </c>
      <c r="P861" s="275" t="s">
        <v>446</v>
      </c>
      <c r="Q861" s="275" t="s">
        <v>447</v>
      </c>
      <c r="R861" s="275" t="s">
        <v>451</v>
      </c>
      <c r="S861" s="275" t="s">
        <v>452</v>
      </c>
      <c r="T861" s="275" t="s">
        <v>448</v>
      </c>
      <c r="U861" s="275" t="s">
        <v>449</v>
      </c>
      <c r="V861" s="275" t="s">
        <v>450</v>
      </c>
      <c r="W861" s="275" t="s">
        <v>453</v>
      </c>
      <c r="X861" s="275" t="s">
        <v>454</v>
      </c>
      <c r="Y861" s="275" t="s">
        <v>455</v>
      </c>
      <c r="Z861" s="275" t="s">
        <v>456</v>
      </c>
      <c r="AA861" s="275" t="s">
        <v>457</v>
      </c>
    </row>
    <row r="862" spans="1:27">
      <c r="A862" s="273"/>
      <c r="B862" s="274"/>
      <c r="C862" s="207"/>
      <c r="D862" s="275">
        <v>-4506.1400299999996</v>
      </c>
      <c r="E862" s="275">
        <v>-859.75237000000004</v>
      </c>
      <c r="F862" s="275">
        <v>-828.64912000000004</v>
      </c>
      <c r="G862" s="275">
        <v>-671.81268</v>
      </c>
      <c r="H862" s="275">
        <v>-224.62718000000001</v>
      </c>
      <c r="I862" s="275">
        <v>-210.56414000000001</v>
      </c>
      <c r="J862" s="275">
        <v>-173.87087</v>
      </c>
      <c r="K862" s="275">
        <v>-151.80923999999999</v>
      </c>
      <c r="L862" s="275">
        <v>-144.49530999999999</v>
      </c>
      <c r="M862" s="275">
        <v>-62.486280000000001</v>
      </c>
      <c r="N862" s="275">
        <v>-56.063670000000002</v>
      </c>
      <c r="O862" s="275">
        <v>-46.26699</v>
      </c>
      <c r="P862" s="275">
        <v>-36.03199</v>
      </c>
      <c r="Q862" s="275">
        <v>-34.229280000000003</v>
      </c>
      <c r="R862" s="275">
        <v>-20.733339999999998</v>
      </c>
      <c r="S862" s="275">
        <v>-20.25975</v>
      </c>
      <c r="T862" s="275">
        <v>-17.430430000000001</v>
      </c>
      <c r="U862" s="275">
        <v>-14.78459</v>
      </c>
      <c r="V862" s="275">
        <v>-12.38353</v>
      </c>
      <c r="W862" s="275">
        <v>-8.3299299999999992</v>
      </c>
      <c r="X862" s="275">
        <v>-7.95512</v>
      </c>
      <c r="Y862" s="275">
        <v>-5.4787100000000004</v>
      </c>
      <c r="Z862" s="275">
        <v>-4.5105700000000004</v>
      </c>
      <c r="AA862" s="275">
        <v>-3.9607600000000001</v>
      </c>
    </row>
    <row r="863" spans="1:27">
      <c r="A863" s="273"/>
      <c r="B863" s="274"/>
      <c r="C863" s="207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</row>
    <row r="864" spans="1:27">
      <c r="A864" s="273">
        <v>292</v>
      </c>
      <c r="B864" s="274">
        <v>95</v>
      </c>
      <c r="C864" s="207" t="s">
        <v>404</v>
      </c>
      <c r="D864" s="275" t="s">
        <v>434</v>
      </c>
      <c r="E864" s="275" t="s">
        <v>435</v>
      </c>
      <c r="F864" s="275" t="s">
        <v>436</v>
      </c>
      <c r="G864" s="275" t="s">
        <v>437</v>
      </c>
      <c r="H864" s="275" t="s">
        <v>438</v>
      </c>
      <c r="I864" s="275" t="s">
        <v>439</v>
      </c>
      <c r="J864" s="275" t="s">
        <v>440</v>
      </c>
      <c r="K864" s="275" t="s">
        <v>441</v>
      </c>
      <c r="L864" s="275" t="s">
        <v>442</v>
      </c>
      <c r="M864" s="275" t="s">
        <v>443</v>
      </c>
      <c r="N864" s="275" t="s">
        <v>444</v>
      </c>
      <c r="O864" s="275" t="s">
        <v>445</v>
      </c>
      <c r="P864" s="275" t="s">
        <v>446</v>
      </c>
      <c r="Q864" s="275" t="s">
        <v>447</v>
      </c>
      <c r="R864" s="275" t="s">
        <v>451</v>
      </c>
      <c r="S864" s="275" t="s">
        <v>452</v>
      </c>
      <c r="T864" s="275" t="s">
        <v>448</v>
      </c>
      <c r="U864" s="275" t="s">
        <v>449</v>
      </c>
      <c r="V864" s="275" t="s">
        <v>450</v>
      </c>
      <c r="W864" s="275" t="s">
        <v>453</v>
      </c>
      <c r="X864" s="275" t="s">
        <v>454</v>
      </c>
      <c r="Y864" s="275" t="s">
        <v>455</v>
      </c>
      <c r="Z864" s="275" t="s">
        <v>456</v>
      </c>
      <c r="AA864" s="275" t="s">
        <v>457</v>
      </c>
    </row>
    <row r="865" spans="1:27">
      <c r="A865" s="273"/>
      <c r="B865" s="274"/>
      <c r="C865" s="207"/>
      <c r="D865" s="275">
        <v>-4620.9265400000004</v>
      </c>
      <c r="E865" s="275">
        <v>-882.33923000000004</v>
      </c>
      <c r="F865" s="275">
        <v>-850.68199000000004</v>
      </c>
      <c r="G865" s="275">
        <v>-685.25400000000002</v>
      </c>
      <c r="H865" s="275">
        <v>-228.61832999999999</v>
      </c>
      <c r="I865" s="275">
        <v>-214.28765999999999</v>
      </c>
      <c r="J865" s="275">
        <v>-175.48321999999999</v>
      </c>
      <c r="K865" s="275">
        <v>-153.06303</v>
      </c>
      <c r="L865" s="275">
        <v>-145.37459999999999</v>
      </c>
      <c r="M865" s="275">
        <v>-61.394530000000003</v>
      </c>
      <c r="N865" s="275">
        <v>-54.826920000000001</v>
      </c>
      <c r="O865" s="275">
        <v>-44.42127</v>
      </c>
      <c r="P865" s="275">
        <v>-33.977910000000001</v>
      </c>
      <c r="Q865" s="275">
        <v>-32.070619999999998</v>
      </c>
      <c r="R865" s="275">
        <v>-18.299410000000002</v>
      </c>
      <c r="S865" s="275">
        <v>-17.793579999999999</v>
      </c>
      <c r="T865" s="275">
        <v>-14.711130000000001</v>
      </c>
      <c r="U865" s="275">
        <v>-12.014609999999999</v>
      </c>
      <c r="V865" s="275">
        <v>-9.4754100000000001</v>
      </c>
      <c r="W865" s="275">
        <v>-5.4121499999999996</v>
      </c>
      <c r="X865" s="275">
        <v>-5.0226499999999996</v>
      </c>
      <c r="Y865" s="275">
        <v>-2.7366799999999998</v>
      </c>
      <c r="Z865" s="275">
        <v>-1.87348</v>
      </c>
      <c r="AA865" s="275">
        <v>-1.4399599999999999</v>
      </c>
    </row>
    <row r="866" spans="1:27">
      <c r="A866" s="273"/>
      <c r="B866" s="274"/>
      <c r="C866" s="207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</row>
    <row r="867" spans="1:27">
      <c r="A867" s="273">
        <v>293</v>
      </c>
      <c r="B867" s="274">
        <v>95</v>
      </c>
      <c r="C867" s="207" t="s">
        <v>214</v>
      </c>
      <c r="D867" s="275" t="s">
        <v>434</v>
      </c>
      <c r="E867" s="275" t="s">
        <v>435</v>
      </c>
      <c r="F867" s="275" t="s">
        <v>436</v>
      </c>
      <c r="G867" s="275" t="s">
        <v>437</v>
      </c>
      <c r="H867" s="275" t="s">
        <v>438</v>
      </c>
      <c r="I867" s="275" t="s">
        <v>439</v>
      </c>
      <c r="J867" s="275" t="s">
        <v>440</v>
      </c>
      <c r="K867" s="275" t="s">
        <v>441</v>
      </c>
      <c r="L867" s="275" t="s">
        <v>442</v>
      </c>
      <c r="M867" s="275" t="s">
        <v>443</v>
      </c>
      <c r="N867" s="275" t="s">
        <v>444</v>
      </c>
      <c r="O867" s="275" t="s">
        <v>445</v>
      </c>
      <c r="P867" s="275" t="s">
        <v>446</v>
      </c>
      <c r="Q867" s="275" t="s">
        <v>447</v>
      </c>
      <c r="R867" s="275" t="s">
        <v>451</v>
      </c>
      <c r="S867" s="275" t="s">
        <v>452</v>
      </c>
      <c r="T867" s="275" t="s">
        <v>448</v>
      </c>
      <c r="U867" s="275" t="s">
        <v>449</v>
      </c>
      <c r="V867" s="275" t="s">
        <v>450</v>
      </c>
      <c r="W867" s="275" t="s">
        <v>453</v>
      </c>
      <c r="X867" s="275" t="s">
        <v>454</v>
      </c>
      <c r="Y867" s="275" t="s">
        <v>455</v>
      </c>
      <c r="Z867" s="275" t="s">
        <v>456</v>
      </c>
      <c r="AA867" s="275" t="s">
        <v>457</v>
      </c>
    </row>
    <row r="868" spans="1:27">
      <c r="A868" s="273"/>
      <c r="B868" s="274"/>
      <c r="C868" s="207"/>
      <c r="D868" s="275">
        <v>-4621.4593100000002</v>
      </c>
      <c r="E868" s="275">
        <v>-882.89260999999999</v>
      </c>
      <c r="F868" s="275">
        <v>-851.23315000000002</v>
      </c>
      <c r="G868" s="275">
        <v>-685.80759</v>
      </c>
      <c r="H868" s="275">
        <v>-229.18252000000001</v>
      </c>
      <c r="I868" s="275">
        <v>-214.85091</v>
      </c>
      <c r="J868" s="275">
        <v>-176.04738</v>
      </c>
      <c r="K868" s="275">
        <v>-153.62531999999999</v>
      </c>
      <c r="L868" s="275">
        <v>-145.93756999999999</v>
      </c>
      <c r="M868" s="275">
        <v>-61.9587</v>
      </c>
      <c r="N868" s="275">
        <v>-55.390639999999998</v>
      </c>
      <c r="O868" s="275">
        <v>-44.984850000000002</v>
      </c>
      <c r="P868" s="275">
        <v>-34.540579999999999</v>
      </c>
      <c r="Q868" s="275">
        <v>-32.633450000000003</v>
      </c>
      <c r="R868" s="275">
        <v>-18.860969999999998</v>
      </c>
      <c r="S868" s="275">
        <v>-18.355509999999999</v>
      </c>
      <c r="T868" s="275">
        <v>-15.273350000000001</v>
      </c>
      <c r="U868" s="275">
        <v>-12.5733</v>
      </c>
      <c r="V868" s="275">
        <v>-10.0306</v>
      </c>
      <c r="W868" s="275">
        <v>-5.9537000000000004</v>
      </c>
      <c r="X868" s="275">
        <v>-5.5636799999999997</v>
      </c>
      <c r="Y868" s="275">
        <v>-3.2383799999999998</v>
      </c>
      <c r="Z868" s="275">
        <v>-2.3519800000000002</v>
      </c>
      <c r="AA868" s="275">
        <v>-1.8933</v>
      </c>
    </row>
    <row r="869" spans="1:27">
      <c r="A869" s="273"/>
      <c r="B869" s="274"/>
      <c r="C869" s="207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</row>
    <row r="870" spans="1:27">
      <c r="A870" s="273">
        <v>294</v>
      </c>
      <c r="B870" s="274">
        <v>95</v>
      </c>
      <c r="C870" s="207" t="s">
        <v>215</v>
      </c>
      <c r="D870" s="275" t="s">
        <v>434</v>
      </c>
      <c r="E870" s="275" t="s">
        <v>435</v>
      </c>
      <c r="F870" s="275" t="s">
        <v>436</v>
      </c>
      <c r="G870" s="275" t="s">
        <v>437</v>
      </c>
      <c r="H870" s="275" t="s">
        <v>438</v>
      </c>
      <c r="I870" s="275" t="s">
        <v>439</v>
      </c>
      <c r="J870" s="275" t="s">
        <v>440</v>
      </c>
      <c r="K870" s="275" t="s">
        <v>441</v>
      </c>
      <c r="L870" s="275" t="s">
        <v>442</v>
      </c>
      <c r="M870" s="275" t="s">
        <v>443</v>
      </c>
      <c r="N870" s="275" t="s">
        <v>444</v>
      </c>
      <c r="O870" s="275" t="s">
        <v>445</v>
      </c>
      <c r="P870" s="275" t="s">
        <v>446</v>
      </c>
      <c r="Q870" s="275" t="s">
        <v>447</v>
      </c>
      <c r="R870" s="275" t="s">
        <v>451</v>
      </c>
      <c r="S870" s="275" t="s">
        <v>452</v>
      </c>
      <c r="T870" s="275" t="s">
        <v>448</v>
      </c>
      <c r="U870" s="275" t="s">
        <v>449</v>
      </c>
      <c r="V870" s="275" t="s">
        <v>450</v>
      </c>
      <c r="W870" s="275" t="s">
        <v>453</v>
      </c>
      <c r="X870" s="275" t="s">
        <v>454</v>
      </c>
      <c r="Y870" s="275" t="s">
        <v>455</v>
      </c>
      <c r="Z870" s="275" t="s">
        <v>456</v>
      </c>
      <c r="AA870" s="275" t="s">
        <v>457</v>
      </c>
    </row>
    <row r="871" spans="1:27">
      <c r="A871" s="273"/>
      <c r="B871" s="274"/>
      <c r="C871" s="207"/>
      <c r="D871" s="275">
        <v>-4622.0709299999999</v>
      </c>
      <c r="E871" s="275">
        <v>-883.51949999999999</v>
      </c>
      <c r="F871" s="275">
        <v>-851.85727999999995</v>
      </c>
      <c r="G871" s="275">
        <v>-686.43472999999994</v>
      </c>
      <c r="H871" s="275">
        <v>-229.82111</v>
      </c>
      <c r="I871" s="275">
        <v>-215.48842999999999</v>
      </c>
      <c r="J871" s="275">
        <v>-176.68610000000001</v>
      </c>
      <c r="K871" s="275">
        <v>-154.26195000000001</v>
      </c>
      <c r="L871" s="275">
        <v>-146.57487</v>
      </c>
      <c r="M871" s="275">
        <v>-62.596029999999999</v>
      </c>
      <c r="N871" s="275">
        <v>-56.027470000000001</v>
      </c>
      <c r="O871" s="275">
        <v>-45.621020000000001</v>
      </c>
      <c r="P871" s="275">
        <v>-35.175789999999999</v>
      </c>
      <c r="Q871" s="275">
        <v>-33.268680000000003</v>
      </c>
      <c r="R871" s="275">
        <v>-19.49483</v>
      </c>
      <c r="S871" s="275">
        <v>-18.989550000000001</v>
      </c>
      <c r="T871" s="275">
        <v>-15.903840000000001</v>
      </c>
      <c r="U871" s="275">
        <v>-13.19929</v>
      </c>
      <c r="V871" s="275">
        <v>-10.650589999999999</v>
      </c>
      <c r="W871" s="275">
        <v>-6.5564499999999999</v>
      </c>
      <c r="X871" s="275">
        <v>-6.1645500000000002</v>
      </c>
      <c r="Y871" s="275">
        <v>-3.7847400000000002</v>
      </c>
      <c r="Z871" s="275">
        <v>-2.8723000000000001</v>
      </c>
      <c r="AA871" s="275">
        <v>-2.3845000000000001</v>
      </c>
    </row>
    <row r="872" spans="1:27">
      <c r="A872" s="273"/>
      <c r="B872" s="274"/>
      <c r="C872" s="207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</row>
    <row r="873" spans="1:27">
      <c r="A873" s="273">
        <v>295</v>
      </c>
      <c r="B873" s="274">
        <v>95</v>
      </c>
      <c r="C873" s="207" t="s">
        <v>216</v>
      </c>
      <c r="D873" s="275" t="s">
        <v>434</v>
      </c>
      <c r="E873" s="275" t="s">
        <v>435</v>
      </c>
      <c r="F873" s="275" t="s">
        <v>436</v>
      </c>
      <c r="G873" s="275" t="s">
        <v>437</v>
      </c>
      <c r="H873" s="275" t="s">
        <v>438</v>
      </c>
      <c r="I873" s="275" t="s">
        <v>439</v>
      </c>
      <c r="J873" s="275" t="s">
        <v>440</v>
      </c>
      <c r="K873" s="275" t="s">
        <v>441</v>
      </c>
      <c r="L873" s="275" t="s">
        <v>442</v>
      </c>
      <c r="M873" s="275" t="s">
        <v>443</v>
      </c>
      <c r="N873" s="275" t="s">
        <v>444</v>
      </c>
      <c r="O873" s="275" t="s">
        <v>445</v>
      </c>
      <c r="P873" s="275" t="s">
        <v>446</v>
      </c>
      <c r="Q873" s="275" t="s">
        <v>447</v>
      </c>
      <c r="R873" s="275" t="s">
        <v>451</v>
      </c>
      <c r="S873" s="275" t="s">
        <v>452</v>
      </c>
      <c r="T873" s="275" t="s">
        <v>448</v>
      </c>
      <c r="U873" s="275" t="s">
        <v>449</v>
      </c>
      <c r="V873" s="275" t="s">
        <v>450</v>
      </c>
      <c r="W873" s="275" t="s">
        <v>453</v>
      </c>
      <c r="X873" s="275" t="s">
        <v>454</v>
      </c>
      <c r="Y873" s="275" t="s">
        <v>455</v>
      </c>
      <c r="Z873" s="275" t="s">
        <v>456</v>
      </c>
      <c r="AA873" s="275" t="s">
        <v>457</v>
      </c>
    </row>
    <row r="874" spans="1:27">
      <c r="A874" s="273"/>
      <c r="B874" s="274"/>
      <c r="C874" s="207"/>
      <c r="D874" s="275">
        <v>-4622.7432500000004</v>
      </c>
      <c r="E874" s="275">
        <v>-884.21189000000004</v>
      </c>
      <c r="F874" s="275">
        <v>-852.54655000000002</v>
      </c>
      <c r="G874" s="275">
        <v>-687.12256000000002</v>
      </c>
      <c r="H874" s="275">
        <v>-230.523</v>
      </c>
      <c r="I874" s="275">
        <v>-216.18913000000001</v>
      </c>
      <c r="J874" s="275">
        <v>-177.38733999999999</v>
      </c>
      <c r="K874" s="275">
        <v>-154.96096</v>
      </c>
      <c r="L874" s="275">
        <v>-147.27456000000001</v>
      </c>
      <c r="M874" s="275">
        <v>-63.294040000000003</v>
      </c>
      <c r="N874" s="275">
        <v>-56.724939999999997</v>
      </c>
      <c r="O874" s="275">
        <v>-46.317270000000001</v>
      </c>
      <c r="P874" s="275">
        <v>-35.871070000000003</v>
      </c>
      <c r="Q874" s="275">
        <v>-33.963819999999998</v>
      </c>
      <c r="R874" s="275">
        <v>-20.188549999999999</v>
      </c>
      <c r="S874" s="275">
        <v>-19.683309999999999</v>
      </c>
      <c r="T874" s="275">
        <v>-16.58944</v>
      </c>
      <c r="U874" s="275">
        <v>-13.87945</v>
      </c>
      <c r="V874" s="275">
        <v>-11.32241</v>
      </c>
      <c r="W874" s="275">
        <v>-7.2078699999999998</v>
      </c>
      <c r="X874" s="275">
        <v>-6.81311</v>
      </c>
      <c r="Y874" s="275">
        <v>-4.36585</v>
      </c>
      <c r="Z874" s="275">
        <v>-3.4258500000000001</v>
      </c>
      <c r="AA874" s="275">
        <v>-2.90645</v>
      </c>
    </row>
    <row r="875" spans="1:27">
      <c r="A875" s="273"/>
      <c r="B875" s="274"/>
      <c r="C875" s="207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</row>
    <row r="876" spans="1:27">
      <c r="A876" s="273">
        <v>296</v>
      </c>
      <c r="B876" s="274">
        <v>95</v>
      </c>
      <c r="C876" s="207" t="s">
        <v>217</v>
      </c>
      <c r="D876" s="275" t="s">
        <v>434</v>
      </c>
      <c r="E876" s="275" t="s">
        <v>435</v>
      </c>
      <c r="F876" s="275" t="s">
        <v>436</v>
      </c>
      <c r="G876" s="275" t="s">
        <v>437</v>
      </c>
      <c r="H876" s="275" t="s">
        <v>438</v>
      </c>
      <c r="I876" s="275" t="s">
        <v>439</v>
      </c>
      <c r="J876" s="275" t="s">
        <v>440</v>
      </c>
      <c r="K876" s="275" t="s">
        <v>441</v>
      </c>
      <c r="L876" s="275" t="s">
        <v>442</v>
      </c>
      <c r="M876" s="275" t="s">
        <v>443</v>
      </c>
      <c r="N876" s="275" t="s">
        <v>444</v>
      </c>
      <c r="O876" s="275" t="s">
        <v>445</v>
      </c>
      <c r="P876" s="275" t="s">
        <v>446</v>
      </c>
      <c r="Q876" s="275" t="s">
        <v>447</v>
      </c>
      <c r="R876" s="275" t="s">
        <v>451</v>
      </c>
      <c r="S876" s="275" t="s">
        <v>452</v>
      </c>
      <c r="T876" s="275" t="s">
        <v>448</v>
      </c>
      <c r="U876" s="275" t="s">
        <v>449</v>
      </c>
      <c r="V876" s="275" t="s">
        <v>450</v>
      </c>
      <c r="W876" s="275" t="s">
        <v>453</v>
      </c>
      <c r="X876" s="275" t="s">
        <v>454</v>
      </c>
      <c r="Y876" s="275" t="s">
        <v>455</v>
      </c>
      <c r="Z876" s="275" t="s">
        <v>456</v>
      </c>
      <c r="AA876" s="275" t="s">
        <v>457</v>
      </c>
    </row>
    <row r="877" spans="1:27">
      <c r="A877" s="273"/>
      <c r="B877" s="274"/>
      <c r="C877" s="207"/>
      <c r="D877" s="275">
        <v>-4623.4684900000002</v>
      </c>
      <c r="E877" s="275">
        <v>-884.94876999999997</v>
      </c>
      <c r="F877" s="275">
        <v>-853.27968999999996</v>
      </c>
      <c r="G877" s="275">
        <v>-687.86459000000002</v>
      </c>
      <c r="H877" s="275">
        <v>-231.28035</v>
      </c>
      <c r="I877" s="275">
        <v>-216.94517999999999</v>
      </c>
      <c r="J877" s="275">
        <v>-178.14416</v>
      </c>
      <c r="K877" s="275">
        <v>-155.71544</v>
      </c>
      <c r="L877" s="275">
        <v>-148.02973</v>
      </c>
      <c r="M877" s="275">
        <v>-64.045540000000003</v>
      </c>
      <c r="N877" s="275">
        <v>-57.475879999999997</v>
      </c>
      <c r="O877" s="275">
        <v>-47.066380000000002</v>
      </c>
      <c r="P877" s="275">
        <v>-36.619199999999999</v>
      </c>
      <c r="Q877" s="275">
        <v>-34.711649999999999</v>
      </c>
      <c r="R877" s="275">
        <v>-20.934930000000001</v>
      </c>
      <c r="S877" s="275">
        <v>-20.429600000000001</v>
      </c>
      <c r="T877" s="275">
        <v>-17.322379999999999</v>
      </c>
      <c r="U877" s="275">
        <v>-14.60604</v>
      </c>
      <c r="V877" s="275">
        <v>-12.038410000000001</v>
      </c>
      <c r="W877" s="275">
        <v>-7.9006800000000004</v>
      </c>
      <c r="X877" s="275">
        <v>-7.5022399999999996</v>
      </c>
      <c r="Y877" s="275">
        <v>-4.9763299999999999</v>
      </c>
      <c r="Z877" s="275">
        <v>-4.0080099999999996</v>
      </c>
      <c r="AA877" s="275">
        <v>-3.4553199999999999</v>
      </c>
    </row>
    <row r="878" spans="1:27">
      <c r="A878" s="273"/>
      <c r="B878" s="274"/>
      <c r="C878" s="207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</row>
    <row r="879" spans="1:27">
      <c r="A879" s="273">
        <v>297</v>
      </c>
      <c r="B879" s="274">
        <v>96</v>
      </c>
      <c r="C879" s="207" t="s">
        <v>405</v>
      </c>
      <c r="D879" s="275" t="s">
        <v>434</v>
      </c>
      <c r="E879" s="275" t="s">
        <v>435</v>
      </c>
      <c r="F879" s="275" t="s">
        <v>436</v>
      </c>
      <c r="G879" s="275" t="s">
        <v>437</v>
      </c>
      <c r="H879" s="275" t="s">
        <v>438</v>
      </c>
      <c r="I879" s="275" t="s">
        <v>439</v>
      </c>
      <c r="J879" s="275" t="s">
        <v>440</v>
      </c>
      <c r="K879" s="275" t="s">
        <v>441</v>
      </c>
      <c r="L879" s="275" t="s">
        <v>442</v>
      </c>
      <c r="M879" s="275" t="s">
        <v>443</v>
      </c>
      <c r="N879" s="275" t="s">
        <v>444</v>
      </c>
      <c r="O879" s="275" t="s">
        <v>445</v>
      </c>
      <c r="P879" s="275" t="s">
        <v>446</v>
      </c>
      <c r="Q879" s="275" t="s">
        <v>447</v>
      </c>
      <c r="R879" s="275" t="s">
        <v>451</v>
      </c>
      <c r="S879" s="275" t="s">
        <v>452</v>
      </c>
      <c r="T879" s="275" t="s">
        <v>448</v>
      </c>
      <c r="U879" s="275" t="s">
        <v>449</v>
      </c>
      <c r="V879" s="275" t="s">
        <v>450</v>
      </c>
      <c r="W879" s="275" t="s">
        <v>453</v>
      </c>
      <c r="X879" s="275" t="s">
        <v>454</v>
      </c>
      <c r="Y879" s="275" t="s">
        <v>455</v>
      </c>
      <c r="Z879" s="275" t="s">
        <v>456</v>
      </c>
      <c r="AA879" s="275" t="s">
        <v>457</v>
      </c>
    </row>
    <row r="880" spans="1:27">
      <c r="A880" s="273"/>
      <c r="B880" s="274"/>
      <c r="C880" s="207"/>
      <c r="D880" s="275">
        <v>-4742.1658299999999</v>
      </c>
      <c r="E880" s="275">
        <v>-909.52395000000001</v>
      </c>
      <c r="F880" s="275">
        <v>-877.25212999999997</v>
      </c>
      <c r="G880" s="275">
        <v>-702.82378000000006</v>
      </c>
      <c r="H880" s="275">
        <v>-236.79539</v>
      </c>
      <c r="I880" s="275">
        <v>-222.17857000000001</v>
      </c>
      <c r="J880" s="275">
        <v>-181.15832</v>
      </c>
      <c r="K880" s="275">
        <v>-158.36428000000001</v>
      </c>
      <c r="L880" s="275">
        <v>-150.29098999999999</v>
      </c>
      <c r="M880" s="275">
        <v>-64.332989999999995</v>
      </c>
      <c r="N880" s="275">
        <v>-57.613039999999998</v>
      </c>
      <c r="O880" s="275">
        <v>-46.557870000000001</v>
      </c>
      <c r="P880" s="275">
        <v>-35.899039999999999</v>
      </c>
      <c r="Q880" s="275">
        <v>-33.881950000000003</v>
      </c>
      <c r="R880" s="275">
        <v>-19.826280000000001</v>
      </c>
      <c r="S880" s="275">
        <v>-19.287240000000001</v>
      </c>
      <c r="T880" s="275">
        <v>-15.909549999999999</v>
      </c>
      <c r="U880" s="275">
        <v>-13.13026</v>
      </c>
      <c r="V880" s="275">
        <v>-10.398820000000001</v>
      </c>
      <c r="W880" s="275">
        <v>-6.2117699999999996</v>
      </c>
      <c r="X880" s="275">
        <v>-5.7924699999999998</v>
      </c>
      <c r="Y880" s="275">
        <v>-3.3325100000000001</v>
      </c>
      <c r="Z880" s="275">
        <v>-2.4174500000000001</v>
      </c>
      <c r="AA880" s="275">
        <v>-1.92611</v>
      </c>
    </row>
    <row r="881" spans="1:27">
      <c r="A881" s="273"/>
      <c r="B881" s="274"/>
      <c r="C881" s="207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</row>
    <row r="882" spans="1:27">
      <c r="A882" s="273">
        <v>298</v>
      </c>
      <c r="B882" s="274">
        <v>96</v>
      </c>
      <c r="C882" s="207" t="s">
        <v>218</v>
      </c>
      <c r="D882" s="275" t="s">
        <v>434</v>
      </c>
      <c r="E882" s="275" t="s">
        <v>435</v>
      </c>
      <c r="F882" s="275" t="s">
        <v>436</v>
      </c>
      <c r="G882" s="275" t="s">
        <v>437</v>
      </c>
      <c r="H882" s="275" t="s">
        <v>438</v>
      </c>
      <c r="I882" s="275" t="s">
        <v>439</v>
      </c>
      <c r="J882" s="275" t="s">
        <v>440</v>
      </c>
      <c r="K882" s="275" t="s">
        <v>441</v>
      </c>
      <c r="L882" s="275" t="s">
        <v>442</v>
      </c>
      <c r="M882" s="275" t="s">
        <v>443</v>
      </c>
      <c r="N882" s="275" t="s">
        <v>444</v>
      </c>
      <c r="O882" s="275" t="s">
        <v>445</v>
      </c>
      <c r="P882" s="275" t="s">
        <v>446</v>
      </c>
      <c r="Q882" s="275" t="s">
        <v>447</v>
      </c>
      <c r="R882" s="275" t="s">
        <v>451</v>
      </c>
      <c r="S882" s="275" t="s">
        <v>452</v>
      </c>
      <c r="T882" s="275" t="s">
        <v>448</v>
      </c>
      <c r="U882" s="275" t="s">
        <v>449</v>
      </c>
      <c r="V882" s="275" t="s">
        <v>450</v>
      </c>
      <c r="W882" s="275" t="s">
        <v>453</v>
      </c>
      <c r="X882" s="275" t="s">
        <v>454</v>
      </c>
      <c r="Y882" s="275" t="s">
        <v>455</v>
      </c>
      <c r="Z882" s="275" t="s">
        <v>456</v>
      </c>
      <c r="AA882" s="275" t="s">
        <v>457</v>
      </c>
    </row>
    <row r="883" spans="1:27">
      <c r="A883" s="273"/>
      <c r="B883" s="274"/>
      <c r="C883" s="207"/>
      <c r="D883" s="275">
        <v>-4742.7865300000003</v>
      </c>
      <c r="E883" s="275">
        <v>-910.16186000000005</v>
      </c>
      <c r="F883" s="275">
        <v>-877.88724999999999</v>
      </c>
      <c r="G883" s="275">
        <v>-703.46118000000001</v>
      </c>
      <c r="H883" s="275">
        <v>-237.44488000000001</v>
      </c>
      <c r="I883" s="275">
        <v>-222.82696000000001</v>
      </c>
      <c r="J883" s="275">
        <v>-181.80772999999999</v>
      </c>
      <c r="K883" s="275">
        <v>-159.01186999999999</v>
      </c>
      <c r="L883" s="275">
        <v>-150.9393</v>
      </c>
      <c r="M883" s="275">
        <v>-64.981369999999998</v>
      </c>
      <c r="N883" s="275">
        <v>-58.260910000000003</v>
      </c>
      <c r="O883" s="275">
        <v>-47.205100000000002</v>
      </c>
      <c r="P883" s="275">
        <v>-36.545290000000001</v>
      </c>
      <c r="Q883" s="275">
        <v>-34.528219999999997</v>
      </c>
      <c r="R883" s="275">
        <v>-20.47119</v>
      </c>
      <c r="S883" s="275">
        <v>-19.932379999999998</v>
      </c>
      <c r="T883" s="275">
        <v>-16.55105</v>
      </c>
      <c r="U883" s="275">
        <v>-13.767239999999999</v>
      </c>
      <c r="V883" s="275">
        <v>-11.029640000000001</v>
      </c>
      <c r="W883" s="275">
        <v>-6.8253399999999997</v>
      </c>
      <c r="X883" s="275">
        <v>-6.4042199999999996</v>
      </c>
      <c r="Y883" s="275">
        <v>-3.8890699999999998</v>
      </c>
      <c r="Z883" s="275">
        <v>-2.9477699999999998</v>
      </c>
      <c r="AA883" s="275">
        <v>-2.4257300000000002</v>
      </c>
    </row>
    <row r="884" spans="1:27">
      <c r="A884" s="273"/>
      <c r="B884" s="274"/>
      <c r="C884" s="207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</row>
    <row r="885" spans="1:27">
      <c r="A885" s="273">
        <v>299</v>
      </c>
      <c r="B885" s="274">
        <v>97</v>
      </c>
      <c r="C885" s="207" t="s">
        <v>406</v>
      </c>
      <c r="D885" s="275" t="s">
        <v>434</v>
      </c>
      <c r="E885" s="275" t="s">
        <v>435</v>
      </c>
      <c r="F885" s="275" t="s">
        <v>436</v>
      </c>
      <c r="G885" s="275" t="s">
        <v>437</v>
      </c>
      <c r="H885" s="275" t="s">
        <v>438</v>
      </c>
      <c r="I885" s="275" t="s">
        <v>439</v>
      </c>
      <c r="J885" s="275" t="s">
        <v>440</v>
      </c>
      <c r="K885" s="275" t="s">
        <v>441</v>
      </c>
      <c r="L885" s="275" t="s">
        <v>442</v>
      </c>
      <c r="M885" s="275" t="s">
        <v>443</v>
      </c>
      <c r="N885" s="275" t="s">
        <v>444</v>
      </c>
      <c r="O885" s="275" t="s">
        <v>445</v>
      </c>
      <c r="P885" s="275" t="s">
        <v>446</v>
      </c>
      <c r="Q885" s="275" t="s">
        <v>447</v>
      </c>
      <c r="R885" s="275" t="s">
        <v>451</v>
      </c>
      <c r="S885" s="275" t="s">
        <v>452</v>
      </c>
      <c r="T885" s="275" t="s">
        <v>448</v>
      </c>
      <c r="U885" s="275" t="s">
        <v>449</v>
      </c>
      <c r="V885" s="275" t="s">
        <v>450</v>
      </c>
      <c r="W885" s="275" t="s">
        <v>453</v>
      </c>
      <c r="X885" s="275" t="s">
        <v>454</v>
      </c>
      <c r="Y885" s="275" t="s">
        <v>455</v>
      </c>
      <c r="Z885" s="275" t="s">
        <v>456</v>
      </c>
      <c r="AA885" s="275" t="s">
        <v>457</v>
      </c>
    </row>
    <row r="886" spans="1:27">
      <c r="A886" s="273"/>
      <c r="B886" s="274"/>
      <c r="C886" s="207"/>
      <c r="D886" s="275">
        <v>-4865.27675</v>
      </c>
      <c r="E886" s="275">
        <v>-936.80835000000002</v>
      </c>
      <c r="F886" s="275">
        <v>-903.93159000000003</v>
      </c>
      <c r="G886" s="275">
        <v>-720.05413999999996</v>
      </c>
      <c r="H886" s="275">
        <v>-244.59298999999999</v>
      </c>
      <c r="I886" s="275">
        <v>-229.69103000000001</v>
      </c>
      <c r="J886" s="275">
        <v>-186.34043</v>
      </c>
      <c r="K886" s="275">
        <v>-163.17186000000001</v>
      </c>
      <c r="L886" s="275">
        <v>-154.69827000000001</v>
      </c>
      <c r="M886" s="275">
        <v>-66.761560000000003</v>
      </c>
      <c r="N886" s="275">
        <v>-59.888680000000001</v>
      </c>
      <c r="O886" s="275">
        <v>-48.148760000000003</v>
      </c>
      <c r="P886" s="275">
        <v>-37.27393</v>
      </c>
      <c r="Q886" s="275">
        <v>-35.142110000000002</v>
      </c>
      <c r="R886" s="275">
        <v>-20.80245</v>
      </c>
      <c r="S886" s="275">
        <v>-20.228280000000002</v>
      </c>
      <c r="T886" s="275">
        <v>-16.556149999999999</v>
      </c>
      <c r="U886" s="275">
        <v>-13.69711</v>
      </c>
      <c r="V886" s="275">
        <v>-10.76629</v>
      </c>
      <c r="W886" s="275">
        <v>-6.4695499999999999</v>
      </c>
      <c r="X886" s="275">
        <v>-6.0196899999999998</v>
      </c>
      <c r="Y886" s="275">
        <v>-3.4264100000000002</v>
      </c>
      <c r="Z886" s="275">
        <v>-2.4826299999999999</v>
      </c>
      <c r="AA886" s="275">
        <v>-1.95723</v>
      </c>
    </row>
    <row r="887" spans="1:27">
      <c r="A887" s="273"/>
      <c r="B887" s="274"/>
      <c r="C887" s="207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</row>
    <row r="888" spans="1:27">
      <c r="A888" s="273">
        <v>300</v>
      </c>
      <c r="B888" s="274">
        <v>97</v>
      </c>
      <c r="C888" s="207" t="s">
        <v>219</v>
      </c>
      <c r="D888" s="275" t="s">
        <v>434</v>
      </c>
      <c r="E888" s="275" t="s">
        <v>435</v>
      </c>
      <c r="F888" s="275" t="s">
        <v>436</v>
      </c>
      <c r="G888" s="275" t="s">
        <v>437</v>
      </c>
      <c r="H888" s="275" t="s">
        <v>438</v>
      </c>
      <c r="I888" s="275" t="s">
        <v>439</v>
      </c>
      <c r="J888" s="275" t="s">
        <v>440</v>
      </c>
      <c r="K888" s="275" t="s">
        <v>441</v>
      </c>
      <c r="L888" s="275" t="s">
        <v>442</v>
      </c>
      <c r="M888" s="275" t="s">
        <v>443</v>
      </c>
      <c r="N888" s="275" t="s">
        <v>444</v>
      </c>
      <c r="O888" s="275" t="s">
        <v>445</v>
      </c>
      <c r="P888" s="275" t="s">
        <v>446</v>
      </c>
      <c r="Q888" s="275" t="s">
        <v>447</v>
      </c>
      <c r="R888" s="275" t="s">
        <v>451</v>
      </c>
      <c r="S888" s="275" t="s">
        <v>452</v>
      </c>
      <c r="T888" s="275" t="s">
        <v>448</v>
      </c>
      <c r="U888" s="275" t="s">
        <v>449</v>
      </c>
      <c r="V888" s="275" t="s">
        <v>450</v>
      </c>
      <c r="W888" s="275" t="s">
        <v>453</v>
      </c>
      <c r="X888" s="275" t="s">
        <v>454</v>
      </c>
      <c r="Y888" s="275" t="s">
        <v>455</v>
      </c>
      <c r="Z888" s="275" t="s">
        <v>456</v>
      </c>
      <c r="AA888" s="275" t="s">
        <v>457</v>
      </c>
    </row>
    <row r="889" spans="1:27">
      <c r="A889" s="273"/>
      <c r="B889" s="274"/>
      <c r="C889" s="207"/>
      <c r="D889" s="275">
        <v>-4865.9057700000003</v>
      </c>
      <c r="E889" s="275">
        <v>-937.45608000000004</v>
      </c>
      <c r="F889" s="275">
        <v>-904.57646</v>
      </c>
      <c r="G889" s="275">
        <v>-720.70226000000002</v>
      </c>
      <c r="H889" s="275">
        <v>-245.25372999999999</v>
      </c>
      <c r="I889" s="275">
        <v>-230.35065</v>
      </c>
      <c r="J889" s="275">
        <v>-187.00104999999999</v>
      </c>
      <c r="K889" s="275">
        <v>-163.83033</v>
      </c>
      <c r="L889" s="275">
        <v>-155.35750999999999</v>
      </c>
      <c r="M889" s="275">
        <v>-67.420950000000005</v>
      </c>
      <c r="N889" s="275">
        <v>-60.547539999999998</v>
      </c>
      <c r="O889" s="275">
        <v>-48.807009999999998</v>
      </c>
      <c r="P889" s="275">
        <v>-37.931190000000001</v>
      </c>
      <c r="Q889" s="275">
        <v>-35.799410000000002</v>
      </c>
      <c r="R889" s="275">
        <v>-21.458379999999998</v>
      </c>
      <c r="S889" s="275">
        <v>-20.88448</v>
      </c>
      <c r="T889" s="275">
        <v>-17.208659999999998</v>
      </c>
      <c r="U889" s="275">
        <v>-14.345090000000001</v>
      </c>
      <c r="V889" s="275">
        <v>-11.407959999999999</v>
      </c>
      <c r="W889" s="275">
        <v>-7.0939300000000003</v>
      </c>
      <c r="X889" s="275">
        <v>-6.64229</v>
      </c>
      <c r="Y889" s="275">
        <v>-3.99316</v>
      </c>
      <c r="Z889" s="275">
        <v>-3.02291</v>
      </c>
      <c r="AA889" s="275">
        <v>-2.4651700000000001</v>
      </c>
    </row>
    <row r="890" spans="1:27">
      <c r="A890" s="273"/>
      <c r="B890" s="274"/>
      <c r="C890" s="207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</row>
    <row r="891" spans="1:27">
      <c r="A891" s="273">
        <v>301</v>
      </c>
      <c r="B891" s="274">
        <v>98</v>
      </c>
      <c r="C891" s="207" t="s">
        <v>407</v>
      </c>
      <c r="D891" s="275" t="s">
        <v>434</v>
      </c>
      <c r="E891" s="275" t="s">
        <v>435</v>
      </c>
      <c r="F891" s="275" t="s">
        <v>436</v>
      </c>
      <c r="G891" s="275" t="s">
        <v>437</v>
      </c>
      <c r="H891" s="275" t="s">
        <v>438</v>
      </c>
      <c r="I891" s="275" t="s">
        <v>439</v>
      </c>
      <c r="J891" s="275" t="s">
        <v>440</v>
      </c>
      <c r="K891" s="275" t="s">
        <v>441</v>
      </c>
      <c r="L891" s="275" t="s">
        <v>442</v>
      </c>
      <c r="M891" s="275" t="s">
        <v>443</v>
      </c>
      <c r="N891" s="275" t="s">
        <v>444</v>
      </c>
      <c r="O891" s="275" t="s">
        <v>445</v>
      </c>
      <c r="P891" s="275" t="s">
        <v>446</v>
      </c>
      <c r="Q891" s="275" t="s">
        <v>447</v>
      </c>
      <c r="R891" s="275" t="s">
        <v>451</v>
      </c>
      <c r="S891" s="275" t="s">
        <v>452</v>
      </c>
      <c r="T891" s="275" t="s">
        <v>448</v>
      </c>
      <c r="U891" s="275" t="s">
        <v>449</v>
      </c>
      <c r="V891" s="275" t="s">
        <v>450</v>
      </c>
      <c r="W891" s="275" t="s">
        <v>453</v>
      </c>
      <c r="X891" s="275" t="s">
        <v>454</v>
      </c>
      <c r="Y891" s="275" t="s">
        <v>455</v>
      </c>
      <c r="Z891" s="275" t="s">
        <v>456</v>
      </c>
      <c r="AA891" s="275" t="s">
        <v>457</v>
      </c>
    </row>
    <row r="892" spans="1:27">
      <c r="A892" s="273"/>
      <c r="B892" s="274"/>
      <c r="C892" s="207"/>
      <c r="D892" s="275">
        <v>-4990.2126799999996</v>
      </c>
      <c r="E892" s="275">
        <v>-964.15616</v>
      </c>
      <c r="F892" s="275">
        <v>-930.70244000000002</v>
      </c>
      <c r="G892" s="275">
        <v>-736.90904</v>
      </c>
      <c r="H892" s="275">
        <v>-251.97683000000001</v>
      </c>
      <c r="I892" s="275">
        <v>-236.79514</v>
      </c>
      <c r="J892" s="275">
        <v>-190.99405999999999</v>
      </c>
      <c r="K892" s="275">
        <v>-167.45043999999999</v>
      </c>
      <c r="L892" s="275">
        <v>-158.56050999999999</v>
      </c>
      <c r="M892" s="275">
        <v>-68.644459999999995</v>
      </c>
      <c r="N892" s="275">
        <v>-61.619300000000003</v>
      </c>
      <c r="O892" s="275">
        <v>-49.157679999999999</v>
      </c>
      <c r="P892" s="275">
        <v>-38.066389999999998</v>
      </c>
      <c r="Q892" s="275">
        <v>-35.81474</v>
      </c>
      <c r="R892" s="275">
        <v>-21.191649999999999</v>
      </c>
      <c r="S892" s="275">
        <v>-20.580169999999999</v>
      </c>
      <c r="T892" s="275">
        <v>-16.615030000000001</v>
      </c>
      <c r="U892" s="275">
        <v>-13.67977</v>
      </c>
      <c r="V892" s="275">
        <v>-10.54227</v>
      </c>
      <c r="W892" s="275">
        <v>-6.1505400000000003</v>
      </c>
      <c r="X892" s="275">
        <v>-5.6690100000000001</v>
      </c>
      <c r="Y892" s="275">
        <v>-2.98597</v>
      </c>
      <c r="Z892" s="275">
        <v>-2.0377000000000001</v>
      </c>
      <c r="AA892" s="275">
        <v>-1.5069900000000001</v>
      </c>
    </row>
    <row r="893" spans="1:27">
      <c r="A893" s="273"/>
      <c r="B893" s="274"/>
      <c r="C893" s="207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</row>
    <row r="894" spans="1:27">
      <c r="A894" s="273">
        <v>302</v>
      </c>
      <c r="B894" s="274">
        <v>98</v>
      </c>
      <c r="C894" s="207" t="s">
        <v>220</v>
      </c>
      <c r="D894" s="275" t="s">
        <v>434</v>
      </c>
      <c r="E894" s="275" t="s">
        <v>435</v>
      </c>
      <c r="F894" s="275" t="s">
        <v>436</v>
      </c>
      <c r="G894" s="275" t="s">
        <v>437</v>
      </c>
      <c r="H894" s="275" t="s">
        <v>438</v>
      </c>
      <c r="I894" s="275" t="s">
        <v>439</v>
      </c>
      <c r="J894" s="275" t="s">
        <v>440</v>
      </c>
      <c r="K894" s="275" t="s">
        <v>441</v>
      </c>
      <c r="L894" s="275" t="s">
        <v>442</v>
      </c>
      <c r="M894" s="275" t="s">
        <v>443</v>
      </c>
      <c r="N894" s="275" t="s">
        <v>444</v>
      </c>
      <c r="O894" s="275" t="s">
        <v>445</v>
      </c>
      <c r="P894" s="275" t="s">
        <v>446</v>
      </c>
      <c r="Q894" s="275" t="s">
        <v>447</v>
      </c>
      <c r="R894" s="275" t="s">
        <v>451</v>
      </c>
      <c r="S894" s="275" t="s">
        <v>452</v>
      </c>
      <c r="T894" s="275" t="s">
        <v>448</v>
      </c>
      <c r="U894" s="275" t="s">
        <v>449</v>
      </c>
      <c r="V894" s="275" t="s">
        <v>450</v>
      </c>
      <c r="W894" s="275" t="s">
        <v>453</v>
      </c>
      <c r="X894" s="275" t="s">
        <v>454</v>
      </c>
      <c r="Y894" s="275" t="s">
        <v>455</v>
      </c>
      <c r="Z894" s="275" t="s">
        <v>456</v>
      </c>
      <c r="AA894" s="275" t="s">
        <v>457</v>
      </c>
    </row>
    <row r="895" spans="1:27">
      <c r="A895" s="273"/>
      <c r="B895" s="274"/>
      <c r="C895" s="207"/>
      <c r="D895" s="275">
        <v>-4990.7577700000002</v>
      </c>
      <c r="E895" s="275">
        <v>-964.74755000000005</v>
      </c>
      <c r="F895" s="275">
        <v>-931.29147</v>
      </c>
      <c r="G895" s="275">
        <v>-737.50081999999998</v>
      </c>
      <c r="H895" s="275">
        <v>-252.57742999999999</v>
      </c>
      <c r="I895" s="275">
        <v>-237.39472000000001</v>
      </c>
      <c r="J895" s="275">
        <v>-191.59475</v>
      </c>
      <c r="K895" s="275">
        <v>-168.04906</v>
      </c>
      <c r="L895" s="275">
        <v>-159.16</v>
      </c>
      <c r="M895" s="275">
        <v>-69.245710000000003</v>
      </c>
      <c r="N895" s="275">
        <v>-62.220039999999997</v>
      </c>
      <c r="O895" s="275">
        <v>-49.758360000000003</v>
      </c>
      <c r="P895" s="275">
        <v>-38.666080000000001</v>
      </c>
      <c r="Q895" s="275">
        <v>-36.414639999999999</v>
      </c>
      <c r="R895" s="275">
        <v>-21.790140000000001</v>
      </c>
      <c r="S895" s="275">
        <v>-21.179210000000001</v>
      </c>
      <c r="T895" s="275">
        <v>-17.214120000000001</v>
      </c>
      <c r="U895" s="275">
        <v>-14.275090000000001</v>
      </c>
      <c r="V895" s="275">
        <v>-11.133710000000001</v>
      </c>
      <c r="W895" s="275">
        <v>-6.7275900000000002</v>
      </c>
      <c r="X895" s="275">
        <v>-6.2458200000000001</v>
      </c>
      <c r="Y895" s="275">
        <v>-3.52047</v>
      </c>
      <c r="Z895" s="275">
        <v>-2.5478700000000001</v>
      </c>
      <c r="AA895" s="275">
        <v>-1.98692</v>
      </c>
    </row>
    <row r="896" spans="1:27">
      <c r="A896" s="273"/>
      <c r="B896" s="274"/>
      <c r="C896" s="207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</row>
    <row r="897" spans="1:27">
      <c r="A897" s="273">
        <v>303</v>
      </c>
      <c r="B897" s="274">
        <v>98</v>
      </c>
      <c r="C897" s="207" t="s">
        <v>221</v>
      </c>
      <c r="D897" s="275" t="s">
        <v>434</v>
      </c>
      <c r="E897" s="275" t="s">
        <v>435</v>
      </c>
      <c r="F897" s="275" t="s">
        <v>436</v>
      </c>
      <c r="G897" s="275" t="s">
        <v>437</v>
      </c>
      <c r="H897" s="275" t="s">
        <v>438</v>
      </c>
      <c r="I897" s="275" t="s">
        <v>439</v>
      </c>
      <c r="J897" s="275" t="s">
        <v>440</v>
      </c>
      <c r="K897" s="275" t="s">
        <v>441</v>
      </c>
      <c r="L897" s="275" t="s">
        <v>442</v>
      </c>
      <c r="M897" s="275" t="s">
        <v>443</v>
      </c>
      <c r="N897" s="275" t="s">
        <v>444</v>
      </c>
      <c r="O897" s="275" t="s">
        <v>445</v>
      </c>
      <c r="P897" s="275" t="s">
        <v>446</v>
      </c>
      <c r="Q897" s="275" t="s">
        <v>447</v>
      </c>
      <c r="R897" s="275" t="s">
        <v>451</v>
      </c>
      <c r="S897" s="275" t="s">
        <v>452</v>
      </c>
      <c r="T897" s="275" t="s">
        <v>448</v>
      </c>
      <c r="U897" s="275" t="s">
        <v>449</v>
      </c>
      <c r="V897" s="275" t="s">
        <v>450</v>
      </c>
      <c r="W897" s="275" t="s">
        <v>453</v>
      </c>
      <c r="X897" s="275" t="s">
        <v>454</v>
      </c>
      <c r="Y897" s="275" t="s">
        <v>455</v>
      </c>
      <c r="Z897" s="275" t="s">
        <v>456</v>
      </c>
      <c r="AA897" s="275" t="s">
        <v>457</v>
      </c>
    </row>
    <row r="898" spans="1:27">
      <c r="A898" s="273"/>
      <c r="B898" s="274"/>
      <c r="C898" s="207"/>
      <c r="D898" s="275">
        <v>-4991.3941999999997</v>
      </c>
      <c r="E898" s="275">
        <v>-965.40569000000005</v>
      </c>
      <c r="F898" s="275">
        <v>-931.94671000000005</v>
      </c>
      <c r="G898" s="275">
        <v>-738.15944000000002</v>
      </c>
      <c r="H898" s="275">
        <v>-253.249</v>
      </c>
      <c r="I898" s="275">
        <v>-238.06513000000001</v>
      </c>
      <c r="J898" s="275">
        <v>-192.26622</v>
      </c>
      <c r="K898" s="275">
        <v>-168.71834000000001</v>
      </c>
      <c r="L898" s="275">
        <v>-159.83009999999999</v>
      </c>
      <c r="M898" s="275">
        <v>-69.915999999999997</v>
      </c>
      <c r="N898" s="275">
        <v>-62.889800000000001</v>
      </c>
      <c r="O898" s="275">
        <v>-50.427520000000001</v>
      </c>
      <c r="P898" s="275">
        <v>-39.334240000000001</v>
      </c>
      <c r="Q898" s="275">
        <v>-37.08287</v>
      </c>
      <c r="R898" s="275">
        <v>-22.456990000000001</v>
      </c>
      <c r="S898" s="275">
        <v>-21.84638</v>
      </c>
      <c r="T898" s="275">
        <v>-17.877600000000001</v>
      </c>
      <c r="U898" s="275">
        <v>-14.93402</v>
      </c>
      <c r="V898" s="275">
        <v>-11.78618</v>
      </c>
      <c r="W898" s="275">
        <v>-7.3627099999999999</v>
      </c>
      <c r="X898" s="275">
        <v>-6.8792099999999996</v>
      </c>
      <c r="Y898" s="275">
        <v>-4.0973600000000001</v>
      </c>
      <c r="Z898" s="275">
        <v>-3.0980799999999999</v>
      </c>
      <c r="AA898" s="275">
        <v>-2.5030399999999999</v>
      </c>
    </row>
    <row r="899" spans="1:27">
      <c r="A899" s="273"/>
      <c r="B899" s="274"/>
      <c r="C899" s="207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</row>
    <row r="900" spans="1:27">
      <c r="A900" s="273">
        <v>304</v>
      </c>
      <c r="B900" s="274">
        <v>99</v>
      </c>
      <c r="C900" s="207" t="s">
        <v>408</v>
      </c>
      <c r="D900" s="275" t="s">
        <v>434</v>
      </c>
      <c r="E900" s="275" t="s">
        <v>435</v>
      </c>
      <c r="F900" s="275" t="s">
        <v>436</v>
      </c>
      <c r="G900" s="275" t="s">
        <v>437</v>
      </c>
      <c r="H900" s="275" t="s">
        <v>438</v>
      </c>
      <c r="I900" s="275" t="s">
        <v>439</v>
      </c>
      <c r="J900" s="275" t="s">
        <v>440</v>
      </c>
      <c r="K900" s="275" t="s">
        <v>441</v>
      </c>
      <c r="L900" s="275" t="s">
        <v>442</v>
      </c>
      <c r="M900" s="275" t="s">
        <v>443</v>
      </c>
      <c r="N900" s="275" t="s">
        <v>444</v>
      </c>
      <c r="O900" s="275" t="s">
        <v>445</v>
      </c>
      <c r="P900" s="275" t="s">
        <v>446</v>
      </c>
      <c r="Q900" s="275" t="s">
        <v>447</v>
      </c>
      <c r="R900" s="275" t="s">
        <v>451</v>
      </c>
      <c r="S900" s="275" t="s">
        <v>452</v>
      </c>
      <c r="T900" s="275" t="s">
        <v>448</v>
      </c>
      <c r="U900" s="275" t="s">
        <v>449</v>
      </c>
      <c r="V900" s="275" t="s">
        <v>450</v>
      </c>
      <c r="W900" s="275" t="s">
        <v>453</v>
      </c>
      <c r="X900" s="275" t="s">
        <v>454</v>
      </c>
      <c r="Y900" s="275" t="s">
        <v>455</v>
      </c>
      <c r="Z900" s="275" t="s">
        <v>456</v>
      </c>
      <c r="AA900" s="275" t="s">
        <v>457</v>
      </c>
    </row>
    <row r="901" spans="1:27">
      <c r="A901" s="273"/>
      <c r="B901" s="274"/>
      <c r="C901" s="207"/>
      <c r="D901" s="275">
        <v>-5118.25407</v>
      </c>
      <c r="E901" s="275">
        <v>-992.79898000000003</v>
      </c>
      <c r="F901" s="275">
        <v>-958.7595</v>
      </c>
      <c r="G901" s="275">
        <v>-754.56005000000005</v>
      </c>
      <c r="H901" s="275">
        <v>-260.15213</v>
      </c>
      <c r="I901" s="275">
        <v>-244.68646000000001</v>
      </c>
      <c r="J901" s="275">
        <v>-196.30921000000001</v>
      </c>
      <c r="K901" s="275">
        <v>-172.38594000000001</v>
      </c>
      <c r="L901" s="275">
        <v>-163.06493</v>
      </c>
      <c r="M901" s="275">
        <v>-71.177379999999999</v>
      </c>
      <c r="N901" s="275">
        <v>-63.99747</v>
      </c>
      <c r="O901" s="275">
        <v>-50.774740000000001</v>
      </c>
      <c r="P901" s="275">
        <v>-39.46463</v>
      </c>
      <c r="Q901" s="275">
        <v>-37.088299999999997</v>
      </c>
      <c r="R901" s="275">
        <v>-22.179510000000001</v>
      </c>
      <c r="S901" s="275">
        <v>-21.52955</v>
      </c>
      <c r="T901" s="275">
        <v>-17.2745</v>
      </c>
      <c r="U901" s="275">
        <v>-14.258459999999999</v>
      </c>
      <c r="V901" s="275">
        <v>-10.8986</v>
      </c>
      <c r="W901" s="275">
        <v>-6.3979600000000003</v>
      </c>
      <c r="X901" s="275">
        <v>-5.883</v>
      </c>
      <c r="Y901" s="275">
        <v>-3.0701700000000001</v>
      </c>
      <c r="Z901" s="275">
        <v>-2.0931500000000001</v>
      </c>
      <c r="AA901" s="275">
        <v>-1.5270600000000001</v>
      </c>
    </row>
    <row r="902" spans="1:27">
      <c r="A902" s="273"/>
      <c r="B902" s="274"/>
      <c r="C902" s="207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</row>
    <row r="903" spans="1:27">
      <c r="A903" s="273">
        <v>305</v>
      </c>
      <c r="B903" s="274">
        <v>99</v>
      </c>
      <c r="C903" s="207" t="s">
        <v>222</v>
      </c>
      <c r="D903" s="275" t="s">
        <v>434</v>
      </c>
      <c r="E903" s="275" t="s">
        <v>435</v>
      </c>
      <c r="F903" s="275" t="s">
        <v>436</v>
      </c>
      <c r="G903" s="275" t="s">
        <v>437</v>
      </c>
      <c r="H903" s="275" t="s">
        <v>438</v>
      </c>
      <c r="I903" s="275" t="s">
        <v>439</v>
      </c>
      <c r="J903" s="275" t="s">
        <v>440</v>
      </c>
      <c r="K903" s="275" t="s">
        <v>441</v>
      </c>
      <c r="L903" s="275" t="s">
        <v>442</v>
      </c>
      <c r="M903" s="275" t="s">
        <v>443</v>
      </c>
      <c r="N903" s="275" t="s">
        <v>444</v>
      </c>
      <c r="O903" s="275" t="s">
        <v>445</v>
      </c>
      <c r="P903" s="275" t="s">
        <v>446</v>
      </c>
      <c r="Q903" s="275" t="s">
        <v>447</v>
      </c>
      <c r="R903" s="275" t="s">
        <v>451</v>
      </c>
      <c r="S903" s="275" t="s">
        <v>452</v>
      </c>
      <c r="T903" s="275" t="s">
        <v>448</v>
      </c>
      <c r="U903" s="275" t="s">
        <v>449</v>
      </c>
      <c r="V903" s="275" t="s">
        <v>450</v>
      </c>
      <c r="W903" s="275" t="s">
        <v>453</v>
      </c>
      <c r="X903" s="275" t="s">
        <v>454</v>
      </c>
      <c r="Y903" s="275" t="s">
        <v>455</v>
      </c>
      <c r="Z903" s="275" t="s">
        <v>456</v>
      </c>
      <c r="AA903" s="275" t="s">
        <v>457</v>
      </c>
    </row>
    <row r="904" spans="1:27">
      <c r="A904" s="273"/>
      <c r="B904" s="274"/>
      <c r="C904" s="207"/>
      <c r="D904" s="275">
        <v>-5118.8846800000001</v>
      </c>
      <c r="E904" s="275">
        <v>-993.40247999999997</v>
      </c>
      <c r="F904" s="275">
        <v>-959.36059999999998</v>
      </c>
      <c r="G904" s="275">
        <v>-755.16290000000004</v>
      </c>
      <c r="H904" s="275">
        <v>-260.76414999999997</v>
      </c>
      <c r="I904" s="275">
        <v>-245.29741000000001</v>
      </c>
      <c r="J904" s="275">
        <v>-196.92167000000001</v>
      </c>
      <c r="K904" s="275">
        <v>-172.99626000000001</v>
      </c>
      <c r="L904" s="275">
        <v>-163.67619999999999</v>
      </c>
      <c r="M904" s="275">
        <v>-71.790379999999999</v>
      </c>
      <c r="N904" s="275">
        <v>-64.609949999999998</v>
      </c>
      <c r="O904" s="275">
        <v>-51.387180000000001</v>
      </c>
      <c r="P904" s="275">
        <v>-40.075989999999997</v>
      </c>
      <c r="Q904" s="275">
        <v>-37.699910000000003</v>
      </c>
      <c r="R904" s="275">
        <v>-22.789670000000001</v>
      </c>
      <c r="S904" s="275">
        <v>-22.140319999999999</v>
      </c>
      <c r="T904" s="275">
        <v>-17.88531</v>
      </c>
      <c r="U904" s="275">
        <v>-14.86544</v>
      </c>
      <c r="V904" s="275">
        <v>-11.501580000000001</v>
      </c>
      <c r="W904" s="275">
        <v>-6.9862799999999998</v>
      </c>
      <c r="X904" s="275">
        <v>-6.4711999999999996</v>
      </c>
      <c r="Y904" s="275">
        <v>-3.6152000000000002</v>
      </c>
      <c r="Z904" s="275">
        <v>-2.6134900000000001</v>
      </c>
      <c r="AA904" s="275">
        <v>-2.0153400000000001</v>
      </c>
    </row>
    <row r="905" spans="1:27">
      <c r="A905" s="273"/>
      <c r="B905" s="274"/>
      <c r="C905" s="207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</row>
    <row r="906" spans="1:27">
      <c r="A906" s="273">
        <v>306</v>
      </c>
      <c r="B906" s="274">
        <v>100</v>
      </c>
      <c r="C906" s="207" t="s">
        <v>409</v>
      </c>
      <c r="D906" s="275" t="s">
        <v>434</v>
      </c>
      <c r="E906" s="275" t="s">
        <v>435</v>
      </c>
      <c r="F906" s="275" t="s">
        <v>436</v>
      </c>
      <c r="G906" s="275" t="s">
        <v>437</v>
      </c>
      <c r="H906" s="275" t="s">
        <v>438</v>
      </c>
      <c r="I906" s="275" t="s">
        <v>439</v>
      </c>
      <c r="J906" s="275" t="s">
        <v>440</v>
      </c>
      <c r="K906" s="275" t="s">
        <v>441</v>
      </c>
      <c r="L906" s="275" t="s">
        <v>442</v>
      </c>
      <c r="M906" s="275" t="s">
        <v>443</v>
      </c>
      <c r="N906" s="275" t="s">
        <v>444</v>
      </c>
      <c r="O906" s="275" t="s">
        <v>445</v>
      </c>
      <c r="P906" s="275" t="s">
        <v>446</v>
      </c>
      <c r="Q906" s="275" t="s">
        <v>447</v>
      </c>
      <c r="R906" s="275" t="s">
        <v>451</v>
      </c>
      <c r="S906" s="275" t="s">
        <v>452</v>
      </c>
      <c r="T906" s="275" t="s">
        <v>448</v>
      </c>
      <c r="U906" s="275" t="s">
        <v>449</v>
      </c>
      <c r="V906" s="275" t="s">
        <v>450</v>
      </c>
      <c r="W906" s="275" t="s">
        <v>453</v>
      </c>
      <c r="X906" s="275" t="s">
        <v>454</v>
      </c>
      <c r="Y906" s="275" t="s">
        <v>455</v>
      </c>
      <c r="Z906" s="275" t="s">
        <v>456</v>
      </c>
      <c r="AA906" s="275" t="s">
        <v>457</v>
      </c>
    </row>
    <row r="907" spans="1:27">
      <c r="A907" s="273"/>
      <c r="B907" s="274"/>
      <c r="C907" s="207"/>
      <c r="D907" s="275">
        <v>-5248.9281099999998</v>
      </c>
      <c r="E907" s="275">
        <v>-1022.15734</v>
      </c>
      <c r="F907" s="275">
        <v>-987.55178999999998</v>
      </c>
      <c r="G907" s="275">
        <v>-772.42943000000002</v>
      </c>
      <c r="H907" s="275">
        <v>-268.52994999999999</v>
      </c>
      <c r="I907" s="275">
        <v>-252.78324000000001</v>
      </c>
      <c r="J907" s="275">
        <v>-201.69836000000001</v>
      </c>
      <c r="K907" s="275">
        <v>-177.39278999999999</v>
      </c>
      <c r="L907" s="275">
        <v>-167.62474</v>
      </c>
      <c r="M907" s="275">
        <v>-73.771829999999994</v>
      </c>
      <c r="N907" s="275">
        <v>-66.436899999999994</v>
      </c>
      <c r="O907" s="275">
        <v>-52.412050000000001</v>
      </c>
      <c r="P907" s="275">
        <v>-40.881529999999998</v>
      </c>
      <c r="Q907" s="275">
        <v>-38.375340000000001</v>
      </c>
      <c r="R907" s="275">
        <v>-23.179929999999999</v>
      </c>
      <c r="S907" s="275">
        <v>-22.489789999999999</v>
      </c>
      <c r="T907" s="275">
        <v>-17.94811</v>
      </c>
      <c r="U907" s="275">
        <v>-14.85087</v>
      </c>
      <c r="V907" s="275">
        <v>-11.256080000000001</v>
      </c>
      <c r="W907" s="275">
        <v>-6.6466399999999997</v>
      </c>
      <c r="X907" s="275">
        <v>-6.0968</v>
      </c>
      <c r="Y907" s="275">
        <v>-3.1554600000000002</v>
      </c>
      <c r="Z907" s="275">
        <v>-2.1493899999999999</v>
      </c>
      <c r="AA907" s="275">
        <v>-1.5462199999999999</v>
      </c>
    </row>
    <row r="908" spans="1:27">
      <c r="A908" s="273"/>
      <c r="B908" s="274"/>
      <c r="C908" s="207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</row>
    <row r="909" spans="1:27">
      <c r="A909" s="273">
        <v>307</v>
      </c>
      <c r="B909" s="274">
        <v>100</v>
      </c>
      <c r="C909" s="207" t="s">
        <v>223</v>
      </c>
      <c r="D909" s="275" t="s">
        <v>434</v>
      </c>
      <c r="E909" s="275" t="s">
        <v>435</v>
      </c>
      <c r="F909" s="275" t="s">
        <v>436</v>
      </c>
      <c r="G909" s="275" t="s">
        <v>437</v>
      </c>
      <c r="H909" s="275" t="s">
        <v>438</v>
      </c>
      <c r="I909" s="275" t="s">
        <v>439</v>
      </c>
      <c r="J909" s="275" t="s">
        <v>440</v>
      </c>
      <c r="K909" s="275" t="s">
        <v>441</v>
      </c>
      <c r="L909" s="275" t="s">
        <v>442</v>
      </c>
      <c r="M909" s="275" t="s">
        <v>443</v>
      </c>
      <c r="N909" s="275" t="s">
        <v>444</v>
      </c>
      <c r="O909" s="275" t="s">
        <v>445</v>
      </c>
      <c r="P909" s="275" t="s">
        <v>446</v>
      </c>
      <c r="Q909" s="275" t="s">
        <v>447</v>
      </c>
      <c r="R909" s="275" t="s">
        <v>451</v>
      </c>
      <c r="S909" s="275" t="s">
        <v>452</v>
      </c>
      <c r="T909" s="275" t="s">
        <v>448</v>
      </c>
      <c r="U909" s="275" t="s">
        <v>449</v>
      </c>
      <c r="V909" s="275" t="s">
        <v>450</v>
      </c>
      <c r="W909" s="275" t="s">
        <v>453</v>
      </c>
      <c r="X909" s="275" t="s">
        <v>454</v>
      </c>
      <c r="Y909" s="275" t="s">
        <v>455</v>
      </c>
      <c r="Z909" s="275" t="s">
        <v>456</v>
      </c>
      <c r="AA909" s="275" t="s">
        <v>457</v>
      </c>
    </row>
    <row r="910" spans="1:27">
      <c r="A910" s="273"/>
      <c r="B910" s="274"/>
      <c r="C910" s="207"/>
      <c r="D910" s="275">
        <v>-5249.5852500000001</v>
      </c>
      <c r="E910" s="275">
        <v>-1022.77004</v>
      </c>
      <c r="F910" s="275">
        <v>-988.16198999999995</v>
      </c>
      <c r="G910" s="275">
        <v>-773.04217000000006</v>
      </c>
      <c r="H910" s="275">
        <v>-269.15357999999998</v>
      </c>
      <c r="I910" s="275">
        <v>-253.40575000000001</v>
      </c>
      <c r="J910" s="275">
        <v>-202.32213999999999</v>
      </c>
      <c r="K910" s="275">
        <v>-178.01458</v>
      </c>
      <c r="L910" s="275">
        <v>-168.24754999999999</v>
      </c>
      <c r="M910" s="275">
        <v>-74.396330000000006</v>
      </c>
      <c r="N910" s="275">
        <v>-67.060860000000005</v>
      </c>
      <c r="O910" s="275">
        <v>-53.035879999999999</v>
      </c>
      <c r="P910" s="275">
        <v>-41.504300000000001</v>
      </c>
      <c r="Q910" s="275">
        <v>-38.998390000000001</v>
      </c>
      <c r="R910" s="275">
        <v>-23.801469999999998</v>
      </c>
      <c r="S910" s="275">
        <v>-23.112020000000001</v>
      </c>
      <c r="T910" s="275">
        <v>-18.570399999999999</v>
      </c>
      <c r="U910" s="275">
        <v>-15.469239999999999</v>
      </c>
      <c r="V910" s="275">
        <v>-11.87035</v>
      </c>
      <c r="W910" s="275">
        <v>-7.2460000000000004</v>
      </c>
      <c r="X910" s="275">
        <v>-6.6961500000000003</v>
      </c>
      <c r="Y910" s="275">
        <v>-3.7108400000000001</v>
      </c>
      <c r="Z910" s="275">
        <v>-2.67977</v>
      </c>
      <c r="AA910" s="275">
        <v>-2.0426600000000001</v>
      </c>
    </row>
    <row r="911" spans="1:27">
      <c r="A911" s="273"/>
      <c r="B911" s="274"/>
      <c r="C911" s="207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</row>
    <row r="912" spans="1:27">
      <c r="A912" s="273">
        <v>308</v>
      </c>
      <c r="B912" s="274">
        <v>101</v>
      </c>
      <c r="C912" s="207" t="s">
        <v>410</v>
      </c>
      <c r="D912" s="275" t="s">
        <v>434</v>
      </c>
      <c r="E912" s="275" t="s">
        <v>435</v>
      </c>
      <c r="F912" s="275" t="s">
        <v>436</v>
      </c>
      <c r="G912" s="275" t="s">
        <v>437</v>
      </c>
      <c r="H912" s="275" t="s">
        <v>438</v>
      </c>
      <c r="I912" s="275" t="s">
        <v>439</v>
      </c>
      <c r="J912" s="275" t="s">
        <v>440</v>
      </c>
      <c r="K912" s="275" t="s">
        <v>441</v>
      </c>
      <c r="L912" s="275" t="s">
        <v>442</v>
      </c>
      <c r="M912" s="275" t="s">
        <v>443</v>
      </c>
      <c r="N912" s="275" t="s">
        <v>444</v>
      </c>
      <c r="O912" s="275" t="s">
        <v>445</v>
      </c>
      <c r="P912" s="275" t="s">
        <v>446</v>
      </c>
      <c r="Q912" s="275" t="s">
        <v>447</v>
      </c>
      <c r="R912" s="275" t="s">
        <v>451</v>
      </c>
      <c r="S912" s="275" t="s">
        <v>452</v>
      </c>
      <c r="T912" s="275" t="s">
        <v>448</v>
      </c>
      <c r="U912" s="275" t="s">
        <v>449</v>
      </c>
      <c r="V912" s="275" t="s">
        <v>450</v>
      </c>
      <c r="W912" s="275" t="s">
        <v>453</v>
      </c>
      <c r="X912" s="275" t="s">
        <v>454</v>
      </c>
      <c r="Y912" s="275" t="s">
        <v>455</v>
      </c>
      <c r="Z912" s="275" t="s">
        <v>456</v>
      </c>
      <c r="AA912" s="275" t="s">
        <v>457</v>
      </c>
    </row>
    <row r="913" spans="1:27">
      <c r="A913" s="273"/>
      <c r="B913" s="274"/>
      <c r="C913" s="207"/>
      <c r="D913" s="275">
        <v>-5382.4230100000004</v>
      </c>
      <c r="E913" s="275">
        <v>-1052.28601</v>
      </c>
      <c r="F913" s="275">
        <v>-1017.10712</v>
      </c>
      <c r="G913" s="275">
        <v>-790.51547000000005</v>
      </c>
      <c r="H913" s="275">
        <v>-277.12601000000001</v>
      </c>
      <c r="I913" s="275">
        <v>-261.09474</v>
      </c>
      <c r="J913" s="275">
        <v>-207.16161</v>
      </c>
      <c r="K913" s="275">
        <v>-182.47110000000001</v>
      </c>
      <c r="L913" s="275">
        <v>-172.23965000000001</v>
      </c>
      <c r="M913" s="275">
        <v>-76.432749999999999</v>
      </c>
      <c r="N913" s="275">
        <v>-68.940709999999996</v>
      </c>
      <c r="O913" s="275">
        <v>-54.06982</v>
      </c>
      <c r="P913" s="275">
        <v>-42.31747</v>
      </c>
      <c r="Q913" s="275">
        <v>-39.676099999999998</v>
      </c>
      <c r="R913" s="275">
        <v>-24.19314</v>
      </c>
      <c r="S913" s="275">
        <v>-23.460999999999999</v>
      </c>
      <c r="T913" s="275">
        <v>-18.637560000000001</v>
      </c>
      <c r="U913" s="275">
        <v>-15.458119999999999</v>
      </c>
      <c r="V913" s="275">
        <v>-11.61506</v>
      </c>
      <c r="W913" s="275">
        <v>-6.8968499999999997</v>
      </c>
      <c r="X913" s="275">
        <v>-6.3106200000000001</v>
      </c>
      <c r="Y913" s="275">
        <v>-3.2422499999999999</v>
      </c>
      <c r="Z913" s="275">
        <v>-2.2067000000000001</v>
      </c>
      <c r="AA913" s="275">
        <v>-1.5645899999999999</v>
      </c>
    </row>
    <row r="914" spans="1:27">
      <c r="A914" s="273"/>
      <c r="B914" s="274"/>
      <c r="C914" s="207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</row>
    <row r="915" spans="1:27">
      <c r="A915" s="273">
        <v>309</v>
      </c>
      <c r="B915" s="274">
        <v>101</v>
      </c>
      <c r="C915" s="207" t="s">
        <v>224</v>
      </c>
      <c r="D915" s="275" t="s">
        <v>434</v>
      </c>
      <c r="E915" s="275" t="s">
        <v>435</v>
      </c>
      <c r="F915" s="275" t="s">
        <v>436</v>
      </c>
      <c r="G915" s="275" t="s">
        <v>437</v>
      </c>
      <c r="H915" s="275" t="s">
        <v>438</v>
      </c>
      <c r="I915" s="275" t="s">
        <v>439</v>
      </c>
      <c r="J915" s="275" t="s">
        <v>440</v>
      </c>
      <c r="K915" s="275" t="s">
        <v>441</v>
      </c>
      <c r="L915" s="275" t="s">
        <v>442</v>
      </c>
      <c r="M915" s="275" t="s">
        <v>443</v>
      </c>
      <c r="N915" s="275" t="s">
        <v>444</v>
      </c>
      <c r="O915" s="275" t="s">
        <v>445</v>
      </c>
      <c r="P915" s="275" t="s">
        <v>446</v>
      </c>
      <c r="Q915" s="275" t="s">
        <v>447</v>
      </c>
      <c r="R915" s="275" t="s">
        <v>451</v>
      </c>
      <c r="S915" s="275" t="s">
        <v>452</v>
      </c>
      <c r="T915" s="275" t="s">
        <v>448</v>
      </c>
      <c r="U915" s="275" t="s">
        <v>449</v>
      </c>
      <c r="V915" s="275" t="s">
        <v>450</v>
      </c>
      <c r="W915" s="275" t="s">
        <v>453</v>
      </c>
      <c r="X915" s="275" t="s">
        <v>454</v>
      </c>
      <c r="Y915" s="275" t="s">
        <v>455</v>
      </c>
      <c r="Z915" s="275" t="s">
        <v>456</v>
      </c>
      <c r="AA915" s="275" t="s">
        <v>457</v>
      </c>
    </row>
    <row r="916" spans="1:27">
      <c r="A916" s="273"/>
      <c r="B916" s="274"/>
      <c r="C916" s="207"/>
      <c r="D916" s="275">
        <v>-5383.1112700000003</v>
      </c>
      <c r="E916" s="275">
        <v>-1052.9085500000001</v>
      </c>
      <c r="F916" s="275">
        <v>-1017.72709</v>
      </c>
      <c r="G916" s="275">
        <v>-791.13864000000001</v>
      </c>
      <c r="H916" s="275">
        <v>-277.76062999999999</v>
      </c>
      <c r="I916" s="275">
        <v>-261.72822000000002</v>
      </c>
      <c r="J916" s="275">
        <v>-207.79679999999999</v>
      </c>
      <c r="K916" s="275">
        <v>-183.10401999999999</v>
      </c>
      <c r="L916" s="275">
        <v>-172.87367</v>
      </c>
      <c r="M916" s="275">
        <v>-77.068299999999994</v>
      </c>
      <c r="N916" s="275">
        <v>-69.575689999999994</v>
      </c>
      <c r="O916" s="275">
        <v>-54.70485</v>
      </c>
      <c r="P916" s="275">
        <v>-42.951410000000003</v>
      </c>
      <c r="Q916" s="275">
        <v>-40.31035</v>
      </c>
      <c r="R916" s="275">
        <v>-24.825800000000001</v>
      </c>
      <c r="S916" s="275">
        <v>-24.094470000000001</v>
      </c>
      <c r="T916" s="275">
        <v>-19.271080000000001</v>
      </c>
      <c r="U916" s="275">
        <v>-16.08765</v>
      </c>
      <c r="V916" s="275">
        <v>-12.24039</v>
      </c>
      <c r="W916" s="275">
        <v>-7.5070100000000002</v>
      </c>
      <c r="X916" s="275">
        <v>-6.9209100000000001</v>
      </c>
      <c r="Y916" s="275">
        <v>-3.8078400000000001</v>
      </c>
      <c r="Z916" s="275">
        <v>-2.7469800000000002</v>
      </c>
      <c r="AA916" s="275">
        <v>-2.0689700000000002</v>
      </c>
    </row>
    <row r="917" spans="1:27">
      <c r="A917" s="273"/>
      <c r="B917" s="274"/>
      <c r="C917" s="207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</row>
    <row r="918" spans="1:27">
      <c r="A918" s="273">
        <v>310</v>
      </c>
      <c r="B918" s="274">
        <v>102</v>
      </c>
      <c r="C918" s="207" t="s">
        <v>411</v>
      </c>
      <c r="D918" s="275" t="s">
        <v>434</v>
      </c>
      <c r="E918" s="275" t="s">
        <v>435</v>
      </c>
      <c r="F918" s="275" t="s">
        <v>436</v>
      </c>
      <c r="G918" s="275" t="s">
        <v>437</v>
      </c>
      <c r="H918" s="275" t="s">
        <v>438</v>
      </c>
      <c r="I918" s="275" t="s">
        <v>439</v>
      </c>
      <c r="J918" s="275" t="s">
        <v>440</v>
      </c>
      <c r="K918" s="275" t="s">
        <v>441</v>
      </c>
      <c r="L918" s="275" t="s">
        <v>442</v>
      </c>
      <c r="M918" s="275" t="s">
        <v>443</v>
      </c>
      <c r="N918" s="275" t="s">
        <v>444</v>
      </c>
      <c r="O918" s="275" t="s">
        <v>445</v>
      </c>
      <c r="P918" s="275" t="s">
        <v>446</v>
      </c>
      <c r="Q918" s="275" t="s">
        <v>447</v>
      </c>
      <c r="R918" s="275" t="s">
        <v>451</v>
      </c>
      <c r="S918" s="275" t="s">
        <v>452</v>
      </c>
      <c r="T918" s="275" t="s">
        <v>448</v>
      </c>
      <c r="U918" s="275" t="s">
        <v>449</v>
      </c>
      <c r="V918" s="275" t="s">
        <v>450</v>
      </c>
      <c r="W918" s="275" t="s">
        <v>453</v>
      </c>
      <c r="X918" s="275" t="s">
        <v>454</v>
      </c>
      <c r="Y918" s="275" t="s">
        <v>455</v>
      </c>
      <c r="Z918" s="275" t="s">
        <v>456</v>
      </c>
      <c r="AA918" s="275" t="s">
        <v>457</v>
      </c>
    </row>
    <row r="919" spans="1:27">
      <c r="A919" s="273"/>
      <c r="B919" s="274"/>
      <c r="C919" s="207"/>
      <c r="D919" s="275">
        <v>-5518.7339899999997</v>
      </c>
      <c r="E919" s="275">
        <v>-1083.19777</v>
      </c>
      <c r="F919" s="275">
        <v>-1047.4550400000001</v>
      </c>
      <c r="G919" s="275">
        <v>-808.81997000000001</v>
      </c>
      <c r="H919" s="275">
        <v>-285.94362000000001</v>
      </c>
      <c r="I919" s="275">
        <v>-269.62828000000002</v>
      </c>
      <c r="J919" s="275">
        <v>-212.69963999999999</v>
      </c>
      <c r="K919" s="275">
        <v>-187.6215</v>
      </c>
      <c r="L919" s="275">
        <v>-176.90985000000001</v>
      </c>
      <c r="M919" s="275">
        <v>-79.161410000000004</v>
      </c>
      <c r="N919" s="275">
        <v>-71.511250000000004</v>
      </c>
      <c r="O919" s="275">
        <v>-55.74859</v>
      </c>
      <c r="P919" s="275">
        <v>-43.772919999999999</v>
      </c>
      <c r="Q919" s="275">
        <v>-40.990900000000003</v>
      </c>
      <c r="R919" s="275">
        <v>-25.219329999999999</v>
      </c>
      <c r="S919" s="275">
        <v>-24.443480000000001</v>
      </c>
      <c r="T919" s="275">
        <v>-19.34366</v>
      </c>
      <c r="U919" s="275">
        <v>-16.081289999999999</v>
      </c>
      <c r="V919" s="275">
        <v>-11.97587</v>
      </c>
      <c r="W919" s="275">
        <v>-7.1488399999999999</v>
      </c>
      <c r="X919" s="275">
        <v>-6.5246500000000003</v>
      </c>
      <c r="Y919" s="275">
        <v>-3.3307600000000002</v>
      </c>
      <c r="Z919" s="275">
        <v>-2.2652899999999998</v>
      </c>
      <c r="AA919" s="275">
        <v>-1.5822400000000001</v>
      </c>
    </row>
    <row r="920" spans="1:27">
      <c r="A920" s="273"/>
      <c r="B920" s="274"/>
      <c r="C920" s="207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</row>
    <row r="921" spans="1:27">
      <c r="A921" s="273">
        <v>311</v>
      </c>
      <c r="B921" s="274">
        <v>102</v>
      </c>
      <c r="C921" s="207" t="s">
        <v>225</v>
      </c>
      <c r="D921" s="275" t="s">
        <v>434</v>
      </c>
      <c r="E921" s="275" t="s">
        <v>435</v>
      </c>
      <c r="F921" s="275" t="s">
        <v>436</v>
      </c>
      <c r="G921" s="275" t="s">
        <v>437</v>
      </c>
      <c r="H921" s="275" t="s">
        <v>438</v>
      </c>
      <c r="I921" s="275" t="s">
        <v>439</v>
      </c>
      <c r="J921" s="275" t="s">
        <v>440</v>
      </c>
      <c r="K921" s="275" t="s">
        <v>441</v>
      </c>
      <c r="L921" s="275" t="s">
        <v>442</v>
      </c>
      <c r="M921" s="275" t="s">
        <v>443</v>
      </c>
      <c r="N921" s="275" t="s">
        <v>444</v>
      </c>
      <c r="O921" s="275" t="s">
        <v>445</v>
      </c>
      <c r="P921" s="275" t="s">
        <v>446</v>
      </c>
      <c r="Q921" s="275" t="s">
        <v>447</v>
      </c>
      <c r="R921" s="275" t="s">
        <v>451</v>
      </c>
      <c r="S921" s="275" t="s">
        <v>452</v>
      </c>
      <c r="T921" s="275" t="s">
        <v>448</v>
      </c>
      <c r="U921" s="275" t="s">
        <v>449</v>
      </c>
      <c r="V921" s="275" t="s">
        <v>450</v>
      </c>
      <c r="W921" s="275" t="s">
        <v>453</v>
      </c>
      <c r="X921" s="275" t="s">
        <v>454</v>
      </c>
      <c r="Y921" s="275" t="s">
        <v>455</v>
      </c>
      <c r="Z921" s="275" t="s">
        <v>456</v>
      </c>
      <c r="AA921" s="275" t="s">
        <v>457</v>
      </c>
    </row>
    <row r="922" spans="1:27">
      <c r="A922" s="273"/>
      <c r="B922" s="274"/>
      <c r="C922" s="207"/>
      <c r="D922" s="275">
        <v>-5519.4589500000002</v>
      </c>
      <c r="E922" s="275">
        <v>-1083.8301200000001</v>
      </c>
      <c r="F922" s="275">
        <v>-1048.08476</v>
      </c>
      <c r="G922" s="275">
        <v>-809.45303999999999</v>
      </c>
      <c r="H922" s="275">
        <v>-286.58963</v>
      </c>
      <c r="I922" s="275">
        <v>-270.2731</v>
      </c>
      <c r="J922" s="275">
        <v>-213.34586999999999</v>
      </c>
      <c r="K922" s="275">
        <v>-188.26539</v>
      </c>
      <c r="L922" s="275">
        <v>-177.55493000000001</v>
      </c>
      <c r="M922" s="275">
        <v>-79.80789</v>
      </c>
      <c r="N922" s="275">
        <v>-72.157139999999998</v>
      </c>
      <c r="O922" s="275">
        <v>-56.394570000000002</v>
      </c>
      <c r="P922" s="275">
        <v>-44.41769</v>
      </c>
      <c r="Q922" s="275">
        <v>-41.636009999999999</v>
      </c>
      <c r="R922" s="275">
        <v>-25.8629</v>
      </c>
      <c r="S922" s="275">
        <v>-25.087910000000001</v>
      </c>
      <c r="T922" s="275">
        <v>-19.98818</v>
      </c>
      <c r="U922" s="275">
        <v>-16.72174</v>
      </c>
      <c r="V922" s="275">
        <v>-12.612030000000001</v>
      </c>
      <c r="W922" s="275">
        <v>-7.7695800000000004</v>
      </c>
      <c r="X922" s="275">
        <v>-7.1456600000000003</v>
      </c>
      <c r="Y922" s="275">
        <v>-3.9064299999999998</v>
      </c>
      <c r="Z922" s="275">
        <v>-2.8153600000000001</v>
      </c>
      <c r="AA922" s="275">
        <v>-2.0943999999999998</v>
      </c>
    </row>
    <row r="923" spans="1:27">
      <c r="A923" s="273"/>
      <c r="B923" s="274"/>
      <c r="C923" s="207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</row>
    <row r="924" spans="1:27">
      <c r="A924" s="273">
        <v>312</v>
      </c>
      <c r="B924" s="274">
        <v>103</v>
      </c>
      <c r="C924" s="207" t="s">
        <v>412</v>
      </c>
      <c r="D924" s="275" t="s">
        <v>434</v>
      </c>
      <c r="E924" s="275" t="s">
        <v>435</v>
      </c>
      <c r="F924" s="275" t="s">
        <v>436</v>
      </c>
      <c r="G924" s="275" t="s">
        <v>437</v>
      </c>
      <c r="H924" s="275" t="s">
        <v>438</v>
      </c>
      <c r="I924" s="275" t="s">
        <v>439</v>
      </c>
      <c r="J924" s="275" t="s">
        <v>440</v>
      </c>
      <c r="K924" s="275" t="s">
        <v>441</v>
      </c>
      <c r="L924" s="275" t="s">
        <v>442</v>
      </c>
      <c r="M924" s="275" t="s">
        <v>443</v>
      </c>
      <c r="N924" s="275" t="s">
        <v>444</v>
      </c>
      <c r="O924" s="275" t="s">
        <v>445</v>
      </c>
      <c r="P924" s="275" t="s">
        <v>446</v>
      </c>
      <c r="Q924" s="275" t="s">
        <v>447</v>
      </c>
      <c r="R924" s="275" t="s">
        <v>451</v>
      </c>
      <c r="S924" s="275" t="s">
        <v>452</v>
      </c>
      <c r="T924" s="275" t="s">
        <v>448</v>
      </c>
      <c r="U924" s="275" t="s">
        <v>449</v>
      </c>
      <c r="V924" s="275" t="s">
        <v>450</v>
      </c>
      <c r="W924" s="275" t="s">
        <v>453</v>
      </c>
      <c r="X924" s="275" t="s">
        <v>454</v>
      </c>
      <c r="Y924" s="275" t="s">
        <v>455</v>
      </c>
      <c r="Z924" s="275" t="s">
        <v>456</v>
      </c>
      <c r="AA924" s="275" t="s">
        <v>457</v>
      </c>
    </row>
    <row r="925" spans="1:27">
      <c r="A925" s="273"/>
      <c r="B925" s="274"/>
      <c r="C925" s="207"/>
      <c r="D925" s="275">
        <v>-5658.6529600000003</v>
      </c>
      <c r="E925" s="275">
        <v>-1115.5510200000001</v>
      </c>
      <c r="F925" s="275">
        <v>-1079.2646999999999</v>
      </c>
      <c r="G925" s="275">
        <v>-827.98621000000003</v>
      </c>
      <c r="H925" s="275">
        <v>-295.64465000000001</v>
      </c>
      <c r="I925" s="275">
        <v>-279.04764</v>
      </c>
      <c r="J925" s="275">
        <v>-218.97021000000001</v>
      </c>
      <c r="K925" s="275">
        <v>-193.49930000000001</v>
      </c>
      <c r="L925" s="275">
        <v>-182.29151999999999</v>
      </c>
      <c r="M925" s="275">
        <v>-82.617019999999997</v>
      </c>
      <c r="N925" s="275">
        <v>-74.808000000000007</v>
      </c>
      <c r="O925" s="275">
        <v>-58.105339999999998</v>
      </c>
      <c r="P925" s="275">
        <v>-45.903680000000001</v>
      </c>
      <c r="Q925" s="275">
        <v>-42.975749999999998</v>
      </c>
      <c r="R925" s="275">
        <v>-26.913019999999999</v>
      </c>
      <c r="S925" s="275">
        <v>-26.092500000000001</v>
      </c>
      <c r="T925" s="275">
        <v>-20.722560000000001</v>
      </c>
      <c r="U925" s="275">
        <v>-17.372599999999998</v>
      </c>
      <c r="V925" s="275">
        <v>-12.985569999999999</v>
      </c>
      <c r="W925" s="275">
        <v>-8.0339299999999998</v>
      </c>
      <c r="X925" s="275">
        <v>-7.3705999999999996</v>
      </c>
      <c r="Y925" s="275">
        <v>-4.00685</v>
      </c>
      <c r="Z925" s="275">
        <v>-2.8851499999999999</v>
      </c>
      <c r="AA925" s="275">
        <v>-2.1190099999999998</v>
      </c>
    </row>
    <row r="926" spans="1:27">
      <c r="A926" s="273"/>
      <c r="B926" s="274"/>
      <c r="C926" s="207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</row>
    <row r="927" spans="1:27">
      <c r="A927" s="273">
        <v>313</v>
      </c>
      <c r="B927" s="274">
        <v>104</v>
      </c>
      <c r="C927" s="207" t="s">
        <v>413</v>
      </c>
      <c r="D927" s="275" t="s">
        <v>434</v>
      </c>
      <c r="E927" s="275" t="s">
        <v>435</v>
      </c>
      <c r="F927" s="275" t="s">
        <v>436</v>
      </c>
      <c r="G927" s="275" t="s">
        <v>437</v>
      </c>
      <c r="H927" s="275" t="s">
        <v>438</v>
      </c>
      <c r="I927" s="275" t="s">
        <v>439</v>
      </c>
      <c r="J927" s="275" t="s">
        <v>440</v>
      </c>
      <c r="K927" s="275" t="s">
        <v>441</v>
      </c>
      <c r="L927" s="275" t="s">
        <v>442</v>
      </c>
      <c r="M927" s="275" t="s">
        <v>443</v>
      </c>
      <c r="N927" s="275" t="s">
        <v>444</v>
      </c>
      <c r="O927" s="275" t="s">
        <v>445</v>
      </c>
      <c r="P927" s="275" t="s">
        <v>446</v>
      </c>
      <c r="Q927" s="275" t="s">
        <v>447</v>
      </c>
      <c r="R927" s="275" t="s">
        <v>451</v>
      </c>
      <c r="S927" s="275" t="s">
        <v>452</v>
      </c>
      <c r="T927" s="275" t="s">
        <v>448</v>
      </c>
      <c r="U927" s="275" t="s">
        <v>449</v>
      </c>
      <c r="V927" s="275" t="s">
        <v>450</v>
      </c>
      <c r="W927" s="275" t="s">
        <v>453</v>
      </c>
      <c r="X927" s="275" t="s">
        <v>454</v>
      </c>
      <c r="Y927" s="275" t="s">
        <v>455</v>
      </c>
      <c r="Z927" s="275" t="s">
        <v>456</v>
      </c>
      <c r="AA927" s="275" t="s">
        <v>457</v>
      </c>
    </row>
    <row r="928" spans="1:27">
      <c r="A928" s="273"/>
      <c r="B928" s="274"/>
      <c r="C928" s="207"/>
      <c r="D928" s="275">
        <v>-5801.4191199999996</v>
      </c>
      <c r="E928" s="275">
        <v>-1148.8214800000001</v>
      </c>
      <c r="F928" s="275">
        <v>-1112.0207600000001</v>
      </c>
      <c r="G928" s="275">
        <v>-847.46155999999996</v>
      </c>
      <c r="H928" s="275">
        <v>-305.66653000000002</v>
      </c>
      <c r="I928" s="275">
        <v>-288.79289</v>
      </c>
      <c r="J928" s="275">
        <v>-225.40369000000001</v>
      </c>
      <c r="K928" s="275">
        <v>-199.53709000000001</v>
      </c>
      <c r="L928" s="275">
        <v>-187.81555</v>
      </c>
      <c r="M928" s="275">
        <v>-86.231589999999997</v>
      </c>
      <c r="N928" s="275">
        <v>-78.26397</v>
      </c>
      <c r="O928" s="275">
        <v>-60.570309999999999</v>
      </c>
      <c r="P928" s="275">
        <v>-48.141129999999997</v>
      </c>
      <c r="Q928" s="275">
        <v>-45.06138</v>
      </c>
      <c r="R928" s="275">
        <v>-28.706430000000001</v>
      </c>
      <c r="S928" s="275">
        <v>-27.839179999999999</v>
      </c>
      <c r="T928" s="275">
        <v>-22.2028</v>
      </c>
      <c r="U928" s="275">
        <v>-18.764150000000001</v>
      </c>
      <c r="V928" s="275">
        <v>-14.076750000000001</v>
      </c>
      <c r="W928" s="275">
        <v>-8.9977699999999992</v>
      </c>
      <c r="X928" s="275">
        <v>-8.2920700000000007</v>
      </c>
      <c r="Y928" s="275">
        <v>-4.7461500000000001</v>
      </c>
      <c r="Z928" s="275">
        <v>-3.56548</v>
      </c>
      <c r="AA928" s="275">
        <v>-2.7056100000000001</v>
      </c>
    </row>
    <row r="929" spans="1:27">
      <c r="A929" s="273"/>
      <c r="B929" s="274"/>
      <c r="C929" s="207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</row>
    <row r="930" spans="1:27">
      <c r="A930" s="273">
        <v>314</v>
      </c>
      <c r="B930" s="274">
        <v>105</v>
      </c>
      <c r="C930" s="207" t="s">
        <v>414</v>
      </c>
      <c r="D930" s="275" t="s">
        <v>434</v>
      </c>
      <c r="E930" s="275" t="s">
        <v>435</v>
      </c>
      <c r="F930" s="275" t="s">
        <v>436</v>
      </c>
      <c r="G930" s="275" t="s">
        <v>437</v>
      </c>
      <c r="H930" s="275" t="s">
        <v>438</v>
      </c>
      <c r="I930" s="275" t="s">
        <v>439</v>
      </c>
      <c r="J930" s="275" t="s">
        <v>440</v>
      </c>
      <c r="K930" s="275" t="s">
        <v>441</v>
      </c>
      <c r="L930" s="275" t="s">
        <v>442</v>
      </c>
      <c r="M930" s="275" t="s">
        <v>443</v>
      </c>
      <c r="N930" s="275" t="s">
        <v>444</v>
      </c>
      <c r="O930" s="275" t="s">
        <v>445</v>
      </c>
      <c r="P930" s="275" t="s">
        <v>446</v>
      </c>
      <c r="Q930" s="275" t="s">
        <v>447</v>
      </c>
      <c r="R930" s="275" t="s">
        <v>451</v>
      </c>
      <c r="S930" s="275" t="s">
        <v>452</v>
      </c>
      <c r="T930" s="275" t="s">
        <v>448</v>
      </c>
      <c r="U930" s="275" t="s">
        <v>449</v>
      </c>
      <c r="V930" s="275" t="s">
        <v>450</v>
      </c>
      <c r="W930" s="275" t="s">
        <v>453</v>
      </c>
      <c r="X930" s="275" t="s">
        <v>454</v>
      </c>
      <c r="Y930" s="275" t="s">
        <v>455</v>
      </c>
      <c r="Z930" s="275" t="s">
        <v>456</v>
      </c>
      <c r="AA930" s="275" t="s">
        <v>457</v>
      </c>
    </row>
    <row r="931" spans="1:27">
      <c r="A931" s="273"/>
      <c r="B931" s="274"/>
      <c r="C931" s="207"/>
      <c r="D931" s="275">
        <v>-5947.4084300000004</v>
      </c>
      <c r="E931" s="275">
        <v>-1183.04594</v>
      </c>
      <c r="F931" s="275">
        <v>-1145.7434499999999</v>
      </c>
      <c r="G931" s="275">
        <v>-867.23374999999999</v>
      </c>
      <c r="H931" s="275">
        <v>-316.01548000000003</v>
      </c>
      <c r="I931" s="275">
        <v>-298.86631</v>
      </c>
      <c r="J931" s="275">
        <v>-231.99225000000001</v>
      </c>
      <c r="K931" s="275">
        <v>-205.72708</v>
      </c>
      <c r="L931" s="275">
        <v>-193.47377</v>
      </c>
      <c r="M931" s="275">
        <v>-90.000050000000002</v>
      </c>
      <c r="N931" s="275">
        <v>-81.872960000000006</v>
      </c>
      <c r="O931" s="275">
        <v>-63.13373</v>
      </c>
      <c r="P931" s="275">
        <v>-50.475529999999999</v>
      </c>
      <c r="Q931" s="275">
        <v>-47.237900000000003</v>
      </c>
      <c r="R931" s="275">
        <v>-30.589749999999999</v>
      </c>
      <c r="S931" s="275">
        <v>-29.673729999999999</v>
      </c>
      <c r="T931" s="275">
        <v>-23.775860000000002</v>
      </c>
      <c r="U931" s="275">
        <v>-20.247160000000001</v>
      </c>
      <c r="V931" s="275">
        <v>-15.23964</v>
      </c>
      <c r="W931" s="275">
        <v>-10.030860000000001</v>
      </c>
      <c r="X931" s="275">
        <v>-9.2798800000000004</v>
      </c>
      <c r="Y931" s="275">
        <v>-5.5418000000000003</v>
      </c>
      <c r="Z931" s="275">
        <v>-4.3002900000000004</v>
      </c>
      <c r="AA931" s="275">
        <v>-3.3367800000000001</v>
      </c>
    </row>
    <row r="932" spans="1:27">
      <c r="A932" s="273"/>
      <c r="B932" s="274"/>
      <c r="C932" s="207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</row>
    <row r="933" spans="1:27">
      <c r="A933" s="273">
        <v>315</v>
      </c>
      <c r="B933" s="274">
        <v>106</v>
      </c>
      <c r="C933" s="207" t="s">
        <v>415</v>
      </c>
      <c r="D933" s="275" t="s">
        <v>434</v>
      </c>
      <c r="E933" s="275" t="s">
        <v>435</v>
      </c>
      <c r="F933" s="275" t="s">
        <v>436</v>
      </c>
      <c r="G933" s="275" t="s">
        <v>437</v>
      </c>
      <c r="H933" s="275" t="s">
        <v>438</v>
      </c>
      <c r="I933" s="275" t="s">
        <v>439</v>
      </c>
      <c r="J933" s="275" t="s">
        <v>440</v>
      </c>
      <c r="K933" s="275" t="s">
        <v>441</v>
      </c>
      <c r="L933" s="275" t="s">
        <v>442</v>
      </c>
      <c r="M933" s="275" t="s">
        <v>443</v>
      </c>
      <c r="N933" s="275" t="s">
        <v>444</v>
      </c>
      <c r="O933" s="275" t="s">
        <v>445</v>
      </c>
      <c r="P933" s="275" t="s">
        <v>446</v>
      </c>
      <c r="Q933" s="275" t="s">
        <v>447</v>
      </c>
      <c r="R933" s="275" t="s">
        <v>451</v>
      </c>
      <c r="S933" s="275" t="s">
        <v>452</v>
      </c>
      <c r="T933" s="275" t="s">
        <v>448</v>
      </c>
      <c r="U933" s="275" t="s">
        <v>449</v>
      </c>
      <c r="V933" s="275" t="s">
        <v>450</v>
      </c>
      <c r="W933" s="275" t="s">
        <v>453</v>
      </c>
      <c r="X933" s="275" t="s">
        <v>454</v>
      </c>
      <c r="Y933" s="275" t="s">
        <v>455</v>
      </c>
      <c r="Z933" s="275" t="s">
        <v>456</v>
      </c>
      <c r="AA933" s="275" t="s">
        <v>457</v>
      </c>
    </row>
    <row r="934" spans="1:27">
      <c r="A934" s="273"/>
      <c r="B934" s="274"/>
      <c r="C934" s="207"/>
      <c r="D934" s="275">
        <v>-6096.7963</v>
      </c>
      <c r="E934" s="275">
        <v>-1218.2750900000001</v>
      </c>
      <c r="F934" s="275">
        <v>-1180.47246</v>
      </c>
      <c r="G934" s="275">
        <v>-887.29517999999996</v>
      </c>
      <c r="H934" s="275">
        <v>-326.69853000000001</v>
      </c>
      <c r="I934" s="275">
        <v>-309.27222</v>
      </c>
      <c r="J934" s="275">
        <v>-238.72962000000001</v>
      </c>
      <c r="K934" s="275">
        <v>-212.06303</v>
      </c>
      <c r="L934" s="275">
        <v>-199.25953000000001</v>
      </c>
      <c r="M934" s="275">
        <v>-93.920850000000002</v>
      </c>
      <c r="N934" s="275">
        <v>-85.632620000000003</v>
      </c>
      <c r="O934" s="275">
        <v>-65.789860000000004</v>
      </c>
      <c r="P934" s="275">
        <v>-52.901159999999997</v>
      </c>
      <c r="Q934" s="275">
        <v>-49.499409999999997</v>
      </c>
      <c r="R934" s="275">
        <v>-32.55715</v>
      </c>
      <c r="S934" s="275">
        <v>-31.59029</v>
      </c>
      <c r="T934" s="275">
        <v>-25.437080000000002</v>
      </c>
      <c r="U934" s="275">
        <v>-21.816780000000001</v>
      </c>
      <c r="V934" s="275">
        <v>-16.468260000000001</v>
      </c>
      <c r="W934" s="275">
        <v>-11.127509999999999</v>
      </c>
      <c r="X934" s="275">
        <v>-10.3284</v>
      </c>
      <c r="Y934" s="275">
        <v>-6.3901000000000003</v>
      </c>
      <c r="Z934" s="275">
        <v>-5.0863899999999997</v>
      </c>
      <c r="AA934" s="275">
        <v>-4.0094799999999999</v>
      </c>
    </row>
    <row r="935" spans="1:27">
      <c r="A935" s="273"/>
      <c r="B935" s="274"/>
      <c r="C935" s="207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</row>
    <row r="936" spans="1:27">
      <c r="A936" s="273">
        <v>316</v>
      </c>
      <c r="B936" s="274">
        <v>107</v>
      </c>
      <c r="C936" s="207" t="s">
        <v>416</v>
      </c>
      <c r="D936" s="275" t="s">
        <v>434</v>
      </c>
      <c r="E936" s="275" t="s">
        <v>435</v>
      </c>
      <c r="F936" s="275" t="s">
        <v>436</v>
      </c>
      <c r="G936" s="275" t="s">
        <v>437</v>
      </c>
      <c r="H936" s="275" t="s">
        <v>438</v>
      </c>
      <c r="I936" s="275" t="s">
        <v>439</v>
      </c>
      <c r="J936" s="275" t="s">
        <v>440</v>
      </c>
      <c r="K936" s="275" t="s">
        <v>441</v>
      </c>
      <c r="L936" s="275" t="s">
        <v>442</v>
      </c>
      <c r="M936" s="275" t="s">
        <v>443</v>
      </c>
      <c r="N936" s="275" t="s">
        <v>444</v>
      </c>
      <c r="O936" s="275" t="s">
        <v>445</v>
      </c>
      <c r="P936" s="275" t="s">
        <v>446</v>
      </c>
      <c r="Q936" s="275" t="s">
        <v>447</v>
      </c>
      <c r="R936" s="275" t="s">
        <v>451</v>
      </c>
      <c r="S936" s="275" t="s">
        <v>452</v>
      </c>
      <c r="T936" s="275" t="s">
        <v>448</v>
      </c>
      <c r="U936" s="275" t="s">
        <v>449</v>
      </c>
      <c r="V936" s="275" t="s">
        <v>450</v>
      </c>
      <c r="W936" s="275" t="s">
        <v>453</v>
      </c>
      <c r="X936" s="275" t="s">
        <v>454</v>
      </c>
      <c r="Y936" s="275" t="s">
        <v>455</v>
      </c>
      <c r="Z936" s="275" t="s">
        <v>456</v>
      </c>
      <c r="AA936" s="275" t="s">
        <v>457</v>
      </c>
    </row>
    <row r="937" spans="1:27">
      <c r="A937" s="273"/>
      <c r="B937" s="274"/>
      <c r="C937" s="207"/>
      <c r="D937" s="275">
        <v>-6249.4662799999996</v>
      </c>
      <c r="E937" s="275">
        <v>-1254.4982299999999</v>
      </c>
      <c r="F937" s="275">
        <v>-1216.2396100000001</v>
      </c>
      <c r="G937" s="275">
        <v>-907.64539000000002</v>
      </c>
      <c r="H937" s="275">
        <v>-337.71107000000001</v>
      </c>
      <c r="I937" s="275">
        <v>-320.01616000000001</v>
      </c>
      <c r="J937" s="275">
        <v>-245.61269999999999</v>
      </c>
      <c r="K937" s="275">
        <v>-218.54182</v>
      </c>
      <c r="L937" s="275">
        <v>-205.16923</v>
      </c>
      <c r="M937" s="275">
        <v>-97.99</v>
      </c>
      <c r="N937" s="275">
        <v>-89.541839999999993</v>
      </c>
      <c r="O937" s="275">
        <v>-68.534999999999997</v>
      </c>
      <c r="P937" s="275">
        <v>-55.414319999999996</v>
      </c>
      <c r="Q937" s="275">
        <v>-51.842030000000001</v>
      </c>
      <c r="R937" s="275">
        <v>-34.604680000000002</v>
      </c>
      <c r="S937" s="275">
        <v>-33.584890000000001</v>
      </c>
      <c r="T937" s="275">
        <v>-27.18262</v>
      </c>
      <c r="U937" s="275">
        <v>-23.47</v>
      </c>
      <c r="V937" s="275">
        <v>-17.758610000000001</v>
      </c>
      <c r="W937" s="275">
        <v>-12.283910000000001</v>
      </c>
      <c r="X937" s="275">
        <v>-11.43383</v>
      </c>
      <c r="Y937" s="275">
        <v>-7.2886100000000003</v>
      </c>
      <c r="Z937" s="275">
        <v>-5.9218299999999999</v>
      </c>
      <c r="AA937" s="275">
        <v>-4.7216899999999997</v>
      </c>
    </row>
    <row r="938" spans="1:27">
      <c r="A938" s="273"/>
      <c r="B938" s="274"/>
      <c r="C938" s="207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</row>
    <row r="939" spans="1:27">
      <c r="A939" s="273">
        <v>317</v>
      </c>
      <c r="B939" s="274">
        <v>108</v>
      </c>
      <c r="C939" s="207" t="s">
        <v>417</v>
      </c>
      <c r="D939" s="275" t="s">
        <v>434</v>
      </c>
      <c r="E939" s="275" t="s">
        <v>435</v>
      </c>
      <c r="F939" s="275" t="s">
        <v>436</v>
      </c>
      <c r="G939" s="275" t="s">
        <v>437</v>
      </c>
      <c r="H939" s="275" t="s">
        <v>438</v>
      </c>
      <c r="I939" s="275" t="s">
        <v>439</v>
      </c>
      <c r="J939" s="275" t="s">
        <v>440</v>
      </c>
      <c r="K939" s="275" t="s">
        <v>441</v>
      </c>
      <c r="L939" s="275" t="s">
        <v>442</v>
      </c>
      <c r="M939" s="275" t="s">
        <v>443</v>
      </c>
      <c r="N939" s="275" t="s">
        <v>444</v>
      </c>
      <c r="O939" s="275" t="s">
        <v>445</v>
      </c>
      <c r="P939" s="275" t="s">
        <v>446</v>
      </c>
      <c r="Q939" s="275" t="s">
        <v>447</v>
      </c>
      <c r="R939" s="275" t="s">
        <v>451</v>
      </c>
      <c r="S939" s="275" t="s">
        <v>452</v>
      </c>
      <c r="T939" s="275" t="s">
        <v>448</v>
      </c>
      <c r="U939" s="275" t="s">
        <v>449</v>
      </c>
      <c r="V939" s="275" t="s">
        <v>450</v>
      </c>
      <c r="W939" s="275" t="s">
        <v>453</v>
      </c>
      <c r="X939" s="275" t="s">
        <v>454</v>
      </c>
      <c r="Y939" s="275" t="s">
        <v>455</v>
      </c>
      <c r="Z939" s="275" t="s">
        <v>456</v>
      </c>
      <c r="AA939" s="275" t="s">
        <v>457</v>
      </c>
    </row>
    <row r="940" spans="1:27">
      <c r="A940" s="273"/>
      <c r="B940" s="274"/>
      <c r="C940" s="207"/>
      <c r="D940" s="275">
        <v>-6405.6855299999997</v>
      </c>
      <c r="E940" s="275">
        <v>-1291.7818299999999</v>
      </c>
      <c r="F940" s="275">
        <v>-1253.08988</v>
      </c>
      <c r="G940" s="275">
        <v>-928.28084000000001</v>
      </c>
      <c r="H940" s="275">
        <v>-349.06817999999998</v>
      </c>
      <c r="I940" s="275">
        <v>-331.10798999999997</v>
      </c>
      <c r="J940" s="275">
        <v>-252.63865999999999</v>
      </c>
      <c r="K940" s="275">
        <v>-225.16065</v>
      </c>
      <c r="L940" s="275">
        <v>-211.19963000000001</v>
      </c>
      <c r="M940" s="275">
        <v>-102.21008</v>
      </c>
      <c r="N940" s="275">
        <v>-93.601690000000005</v>
      </c>
      <c r="O940" s="275">
        <v>-71.366200000000006</v>
      </c>
      <c r="P940" s="275">
        <v>-58.012059999999998</v>
      </c>
      <c r="Q940" s="275">
        <v>-54.262639999999998</v>
      </c>
      <c r="R940" s="275">
        <v>-36.729340000000001</v>
      </c>
      <c r="S940" s="275">
        <v>-35.654429999999998</v>
      </c>
      <c r="T940" s="275">
        <v>-29.011279999999999</v>
      </c>
      <c r="U940" s="275">
        <v>-25.205210000000001</v>
      </c>
      <c r="V940" s="275">
        <v>-19.107690000000002</v>
      </c>
      <c r="W940" s="275">
        <v>-13.497249999999999</v>
      </c>
      <c r="X940" s="275">
        <v>-12.59338</v>
      </c>
      <c r="Y940" s="275">
        <v>-8.2360699999999998</v>
      </c>
      <c r="Z940" s="275">
        <v>-6.8054600000000001</v>
      </c>
      <c r="AA940" s="275">
        <v>-5.4719600000000002</v>
      </c>
    </row>
    <row r="941" spans="1:27">
      <c r="A941" s="273"/>
      <c r="B941" s="274"/>
      <c r="C941" s="207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</row>
    <row r="942" spans="1:27">
      <c r="A942" s="273">
        <v>318</v>
      </c>
      <c r="B942" s="274">
        <v>112</v>
      </c>
      <c r="C942" s="207" t="s">
        <v>418</v>
      </c>
      <c r="D942" s="275" t="s">
        <v>434</v>
      </c>
      <c r="E942" s="275" t="s">
        <v>435</v>
      </c>
      <c r="F942" s="275" t="s">
        <v>436</v>
      </c>
      <c r="G942" s="275" t="s">
        <v>437</v>
      </c>
      <c r="H942" s="275" t="s">
        <v>438</v>
      </c>
      <c r="I942" s="275" t="s">
        <v>439</v>
      </c>
      <c r="J942" s="275" t="s">
        <v>440</v>
      </c>
      <c r="K942" s="275" t="s">
        <v>441</v>
      </c>
      <c r="L942" s="275" t="s">
        <v>442</v>
      </c>
      <c r="M942" s="275" t="s">
        <v>443</v>
      </c>
      <c r="N942" s="275" t="s">
        <v>444</v>
      </c>
      <c r="O942" s="275" t="s">
        <v>445</v>
      </c>
      <c r="P942" s="275" t="s">
        <v>446</v>
      </c>
      <c r="Q942" s="275" t="s">
        <v>447</v>
      </c>
      <c r="R942" s="275" t="s">
        <v>451</v>
      </c>
      <c r="S942" s="275" t="s">
        <v>452</v>
      </c>
      <c r="T942" s="275" t="s">
        <v>448</v>
      </c>
      <c r="U942" s="275" t="s">
        <v>449</v>
      </c>
      <c r="V942" s="275" t="s">
        <v>450</v>
      </c>
      <c r="W942" s="275" t="s">
        <v>453</v>
      </c>
      <c r="X942" s="275" t="s">
        <v>454</v>
      </c>
      <c r="Y942" s="275" t="s">
        <v>455</v>
      </c>
      <c r="Z942" s="275" t="s">
        <v>456</v>
      </c>
      <c r="AA942" s="275" t="s">
        <v>457</v>
      </c>
    </row>
    <row r="943" spans="1:27">
      <c r="A943" s="273"/>
      <c r="B943" s="274"/>
      <c r="C943" s="207"/>
      <c r="D943" s="275">
        <v>-7059.8289100000002</v>
      </c>
      <c r="E943" s="275">
        <v>-1445.34647</v>
      </c>
      <c r="F943" s="275">
        <v>-1405.69318</v>
      </c>
      <c r="G943" s="275">
        <v>-1007.12305</v>
      </c>
      <c r="H943" s="275">
        <v>-391.53447999999997</v>
      </c>
      <c r="I943" s="275">
        <v>-372.67104</v>
      </c>
      <c r="J943" s="275">
        <v>-275.67126999999999</v>
      </c>
      <c r="K943" s="275">
        <v>-246.52946</v>
      </c>
      <c r="L943" s="275">
        <v>-230.01439999999999</v>
      </c>
      <c r="M943" s="275">
        <v>-114.16691</v>
      </c>
      <c r="N943" s="275">
        <v>-104.95483</v>
      </c>
      <c r="O943" s="275">
        <v>-77.091430000000003</v>
      </c>
      <c r="P943" s="275">
        <v>-62.798400000000001</v>
      </c>
      <c r="Q943" s="275">
        <v>-58.271410000000003</v>
      </c>
      <c r="R943" s="275">
        <v>-39.534750000000003</v>
      </c>
      <c r="S943" s="275">
        <v>-38.217100000000002</v>
      </c>
      <c r="T943" s="275">
        <v>-30.7713</v>
      </c>
      <c r="U943" s="275">
        <v>-26.604690000000002</v>
      </c>
      <c r="V943" s="275">
        <v>-18.712859999999999</v>
      </c>
      <c r="W943" s="275">
        <v>-12.568519999999999</v>
      </c>
      <c r="X943" s="275">
        <v>-11.42292</v>
      </c>
      <c r="Y943" s="275">
        <v>-6.3884499999999997</v>
      </c>
      <c r="Z943" s="275">
        <v>-4.8431300000000004</v>
      </c>
      <c r="AA943" s="275">
        <v>-3.1352199999999999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3867-9D59-4DC0-BAC3-9015E2E0F44F}">
  <dimension ref="A1:J958"/>
  <sheetViews>
    <sheetView workbookViewId="0">
      <selection activeCell="A4" sqref="A4:J4"/>
    </sheetView>
  </sheetViews>
  <sheetFormatPr defaultRowHeight="15"/>
  <cols>
    <col min="1" max="1" width="9.140625" style="264"/>
    <col min="2" max="2" width="9.140625" style="39"/>
    <col min="3" max="3" width="9.140625" style="38"/>
    <col min="4" max="10" width="9.140625" style="264"/>
  </cols>
  <sheetData>
    <row r="1" spans="1:10">
      <c r="A1" s="143" t="s">
        <v>462</v>
      </c>
    </row>
    <row r="2" spans="1:10">
      <c r="B2" s="38" t="s">
        <v>432</v>
      </c>
      <c r="E2" s="277"/>
    </row>
    <row r="4" spans="1:10">
      <c r="A4" s="269" t="s">
        <v>286</v>
      </c>
      <c r="B4" s="270" t="s">
        <v>0</v>
      </c>
      <c r="C4" s="276" t="s">
        <v>421</v>
      </c>
      <c r="D4" s="272" t="s">
        <v>433</v>
      </c>
      <c r="E4" s="272" t="s">
        <v>433</v>
      </c>
      <c r="F4" s="272" t="s">
        <v>433</v>
      </c>
      <c r="G4" s="272" t="s">
        <v>433</v>
      </c>
      <c r="H4" s="272" t="s">
        <v>433</v>
      </c>
      <c r="I4" s="272" t="s">
        <v>433</v>
      </c>
      <c r="J4" s="272" t="s">
        <v>433</v>
      </c>
    </row>
    <row r="5" spans="1:10">
      <c r="A5" s="273"/>
      <c r="B5" s="274"/>
      <c r="C5" s="278"/>
      <c r="D5" s="275"/>
      <c r="E5" s="275"/>
      <c r="F5" s="275"/>
      <c r="G5" s="275"/>
      <c r="H5" s="275"/>
      <c r="I5" s="275"/>
      <c r="J5" s="275"/>
    </row>
    <row r="6" spans="1:10">
      <c r="A6" s="273">
        <v>1</v>
      </c>
      <c r="B6" s="274">
        <v>3</v>
      </c>
      <c r="C6" s="278" t="s">
        <v>2</v>
      </c>
      <c r="D6" s="275" t="s">
        <v>434</v>
      </c>
      <c r="E6" s="275"/>
      <c r="F6" s="275"/>
      <c r="G6" s="275"/>
      <c r="H6" s="275"/>
      <c r="I6" s="275"/>
      <c r="J6" s="275"/>
    </row>
    <row r="7" spans="1:10">
      <c r="A7" s="273"/>
      <c r="B7" s="274"/>
      <c r="C7" s="278"/>
      <c r="D7" s="275">
        <v>-2.7925300000000002</v>
      </c>
      <c r="E7" s="275"/>
      <c r="F7" s="275"/>
      <c r="G7" s="275"/>
      <c r="H7" s="275"/>
      <c r="I7" s="275"/>
      <c r="J7" s="275"/>
    </row>
    <row r="8" spans="1:10">
      <c r="A8" s="273"/>
      <c r="B8" s="274"/>
      <c r="C8" s="278"/>
      <c r="D8" s="275"/>
      <c r="E8" s="275"/>
      <c r="F8" s="275"/>
      <c r="G8" s="275"/>
      <c r="H8" s="275"/>
      <c r="I8" s="275"/>
      <c r="J8" s="275"/>
    </row>
    <row r="9" spans="1:10">
      <c r="A9" s="273">
        <v>2</v>
      </c>
      <c r="B9" s="274">
        <v>4</v>
      </c>
      <c r="C9" s="278" t="s">
        <v>298</v>
      </c>
      <c r="D9" s="275" t="s">
        <v>434</v>
      </c>
      <c r="E9" s="275"/>
      <c r="F9" s="275"/>
      <c r="G9" s="275"/>
      <c r="H9" s="275"/>
      <c r="I9" s="275"/>
      <c r="J9" s="275"/>
    </row>
    <row r="10" spans="1:10">
      <c r="A10" s="273"/>
      <c r="B10" s="274"/>
      <c r="C10" s="278"/>
      <c r="D10" s="275">
        <v>-5.6678699999999997</v>
      </c>
      <c r="E10" s="275"/>
      <c r="F10" s="275"/>
      <c r="G10" s="275"/>
      <c r="H10" s="275"/>
      <c r="I10" s="275"/>
      <c r="J10" s="275"/>
    </row>
    <row r="11" spans="1:10">
      <c r="A11" s="273"/>
      <c r="B11" s="274"/>
      <c r="C11" s="278"/>
      <c r="D11" s="275"/>
      <c r="E11" s="275"/>
      <c r="F11" s="275"/>
      <c r="G11" s="275"/>
      <c r="H11" s="275"/>
      <c r="I11" s="275"/>
      <c r="J11" s="275"/>
    </row>
    <row r="12" spans="1:10">
      <c r="A12" s="273">
        <v>3</v>
      </c>
      <c r="B12" s="274">
        <v>5</v>
      </c>
      <c r="C12" s="278" t="s">
        <v>3</v>
      </c>
      <c r="D12" s="275" t="s">
        <v>435</v>
      </c>
      <c r="E12" s="275"/>
      <c r="F12" s="275"/>
      <c r="G12" s="275"/>
      <c r="H12" s="275"/>
      <c r="I12" s="275"/>
      <c r="J12" s="275"/>
    </row>
    <row r="13" spans="1:10">
      <c r="A13" s="273"/>
      <c r="B13" s="274"/>
      <c r="C13" s="278"/>
      <c r="D13" s="275">
        <v>-0.87407999999999997</v>
      </c>
      <c r="E13" s="275"/>
      <c r="F13" s="275"/>
      <c r="G13" s="275"/>
      <c r="H13" s="275"/>
      <c r="I13" s="275"/>
      <c r="J13" s="275"/>
    </row>
    <row r="14" spans="1:10">
      <c r="A14" s="273"/>
      <c r="B14" s="274"/>
      <c r="C14" s="278"/>
      <c r="D14" s="275"/>
      <c r="E14" s="275"/>
      <c r="F14" s="275"/>
      <c r="G14" s="275"/>
      <c r="H14" s="275"/>
      <c r="I14" s="275"/>
      <c r="J14" s="275"/>
    </row>
    <row r="15" spans="1:10">
      <c r="A15" s="273">
        <v>4</v>
      </c>
      <c r="B15" s="274">
        <v>5</v>
      </c>
      <c r="C15" s="278" t="s">
        <v>4</v>
      </c>
      <c r="D15" s="275" t="s">
        <v>435</v>
      </c>
      <c r="E15" s="275"/>
      <c r="F15" s="275"/>
      <c r="G15" s="275"/>
      <c r="H15" s="275"/>
      <c r="I15" s="275"/>
      <c r="J15" s="275"/>
    </row>
    <row r="16" spans="1:10">
      <c r="A16" s="273"/>
      <c r="B16" s="274"/>
      <c r="C16" s="278"/>
      <c r="D16" s="275">
        <v>-1.3902099999999999</v>
      </c>
      <c r="E16" s="275"/>
      <c r="F16" s="275"/>
      <c r="G16" s="275"/>
      <c r="H16" s="275"/>
      <c r="I16" s="275"/>
      <c r="J16" s="275"/>
    </row>
    <row r="17" spans="1:10">
      <c r="A17" s="273"/>
      <c r="B17" s="274"/>
      <c r="C17" s="278"/>
      <c r="D17" s="275"/>
      <c r="E17" s="275"/>
      <c r="F17" s="275"/>
      <c r="G17" s="275"/>
      <c r="H17" s="275"/>
      <c r="I17" s="275"/>
      <c r="J17" s="275"/>
    </row>
    <row r="18" spans="1:10">
      <c r="A18" s="273">
        <v>5</v>
      </c>
      <c r="B18" s="274">
        <v>5</v>
      </c>
      <c r="C18" s="278" t="s">
        <v>5</v>
      </c>
      <c r="D18" s="275" t="s">
        <v>434</v>
      </c>
      <c r="E18" s="275"/>
      <c r="F18" s="275"/>
      <c r="G18" s="275"/>
      <c r="H18" s="275"/>
      <c r="I18" s="275"/>
      <c r="J18" s="275"/>
    </row>
    <row r="19" spans="1:10">
      <c r="A19" s="273"/>
      <c r="B19" s="274"/>
      <c r="C19" s="278"/>
      <c r="D19" s="275">
        <v>-9.5441900000000004</v>
      </c>
      <c r="E19" s="275"/>
      <c r="F19" s="275"/>
      <c r="G19" s="275"/>
      <c r="H19" s="275"/>
      <c r="I19" s="275"/>
      <c r="J19" s="275"/>
    </row>
    <row r="20" spans="1:10">
      <c r="A20" s="273"/>
      <c r="B20" s="274"/>
      <c r="C20" s="278"/>
      <c r="D20" s="275"/>
      <c r="E20" s="275"/>
      <c r="F20" s="275"/>
      <c r="G20" s="275"/>
      <c r="H20" s="275"/>
      <c r="I20" s="275"/>
      <c r="J20" s="275"/>
    </row>
    <row r="21" spans="1:10">
      <c r="A21" s="273">
        <v>6</v>
      </c>
      <c r="B21" s="274">
        <v>6</v>
      </c>
      <c r="C21" s="278" t="s">
        <v>6</v>
      </c>
      <c r="D21" s="275" t="s">
        <v>435</v>
      </c>
      <c r="E21" s="275" t="s">
        <v>436</v>
      </c>
      <c r="F21" s="275" t="s">
        <v>437</v>
      </c>
      <c r="G21" s="275"/>
      <c r="H21" s="275"/>
      <c r="I21" s="275"/>
      <c r="J21" s="275"/>
    </row>
    <row r="22" spans="1:10">
      <c r="A22" s="273"/>
      <c r="B22" s="274"/>
      <c r="C22" s="278"/>
      <c r="D22" s="275">
        <v>-1.15439</v>
      </c>
      <c r="E22" s="275">
        <v>-0.90485000000000004</v>
      </c>
      <c r="F22" s="275">
        <v>-0.90449000000000002</v>
      </c>
      <c r="G22" s="275"/>
      <c r="H22" s="275"/>
      <c r="I22" s="275"/>
      <c r="J22" s="275"/>
    </row>
    <row r="23" spans="1:10">
      <c r="A23" s="273"/>
      <c r="B23" s="274"/>
      <c r="C23" s="278"/>
      <c r="D23" s="275"/>
      <c r="E23" s="275"/>
      <c r="F23" s="275"/>
      <c r="G23" s="275"/>
      <c r="H23" s="275"/>
      <c r="I23" s="275"/>
      <c r="J23" s="275"/>
    </row>
    <row r="24" spans="1:10">
      <c r="A24" s="273">
        <v>7</v>
      </c>
      <c r="B24" s="274">
        <v>6</v>
      </c>
      <c r="C24" s="278" t="s">
        <v>7</v>
      </c>
      <c r="D24" s="275" t="s">
        <v>435</v>
      </c>
      <c r="E24" s="275"/>
      <c r="F24" s="275"/>
      <c r="G24" s="275"/>
      <c r="H24" s="275"/>
      <c r="I24" s="275"/>
      <c r="J24" s="275"/>
    </row>
    <row r="25" spans="1:10">
      <c r="A25" s="273"/>
      <c r="B25" s="274"/>
      <c r="C25" s="278"/>
      <c r="D25" s="275">
        <v>-1.6948099999999999</v>
      </c>
      <c r="E25" s="275"/>
      <c r="F25" s="275"/>
      <c r="G25" s="275"/>
      <c r="H25" s="275"/>
      <c r="I25" s="275"/>
      <c r="J25" s="275"/>
    </row>
    <row r="26" spans="1:10">
      <c r="A26" s="273"/>
      <c r="B26" s="274"/>
      <c r="C26" s="278"/>
      <c r="D26" s="275"/>
      <c r="E26" s="275"/>
      <c r="F26" s="275"/>
      <c r="G26" s="275"/>
      <c r="H26" s="275"/>
      <c r="I26" s="275"/>
      <c r="J26" s="275"/>
    </row>
    <row r="27" spans="1:10">
      <c r="A27" s="273">
        <v>8</v>
      </c>
      <c r="B27" s="274">
        <v>6</v>
      </c>
      <c r="C27" s="278" t="s">
        <v>8</v>
      </c>
      <c r="D27" s="275" t="s">
        <v>435</v>
      </c>
      <c r="E27" s="275"/>
      <c r="F27" s="275"/>
      <c r="G27" s="275"/>
      <c r="H27" s="275"/>
      <c r="I27" s="275"/>
      <c r="J27" s="275"/>
    </row>
    <row r="28" spans="1:10">
      <c r="A28" s="273"/>
      <c r="B28" s="274"/>
      <c r="C28" s="278"/>
      <c r="D28" s="275">
        <v>-2.3660199999999998</v>
      </c>
      <c r="E28" s="275"/>
      <c r="F28" s="275"/>
      <c r="G28" s="275"/>
      <c r="H28" s="275"/>
      <c r="I28" s="275"/>
      <c r="J28" s="275"/>
    </row>
    <row r="29" spans="1:10">
      <c r="A29" s="273"/>
      <c r="B29" s="274"/>
      <c r="C29" s="278"/>
      <c r="D29" s="275"/>
      <c r="E29" s="275"/>
      <c r="F29" s="275"/>
      <c r="G29" s="275"/>
      <c r="H29" s="275"/>
      <c r="I29" s="275"/>
      <c r="J29" s="275"/>
    </row>
    <row r="30" spans="1:10">
      <c r="A30" s="273">
        <v>9</v>
      </c>
      <c r="B30" s="274">
        <v>6</v>
      </c>
      <c r="C30" s="278" t="s">
        <v>9</v>
      </c>
      <c r="D30" s="275" t="s">
        <v>434</v>
      </c>
      <c r="E30" s="275"/>
      <c r="F30" s="275"/>
      <c r="G30" s="275"/>
      <c r="H30" s="275"/>
      <c r="I30" s="275"/>
      <c r="J30" s="275"/>
    </row>
    <row r="31" spans="1:10">
      <c r="A31" s="273"/>
      <c r="B31" s="274"/>
      <c r="C31" s="278"/>
      <c r="D31" s="275">
        <v>-14.422040000000001</v>
      </c>
      <c r="E31" s="275"/>
      <c r="F31" s="275"/>
      <c r="G31" s="275"/>
      <c r="H31" s="275"/>
      <c r="I31" s="275"/>
      <c r="J31" s="275"/>
    </row>
    <row r="32" spans="1:10">
      <c r="A32" s="273"/>
      <c r="B32" s="274"/>
      <c r="C32" s="278"/>
      <c r="D32" s="275"/>
      <c r="E32" s="275"/>
      <c r="F32" s="275"/>
      <c r="G32" s="275"/>
      <c r="H32" s="275"/>
      <c r="I32" s="275"/>
      <c r="J32" s="275"/>
    </row>
    <row r="33" spans="1:10">
      <c r="A33" s="273">
        <v>10</v>
      </c>
      <c r="B33" s="274">
        <v>6</v>
      </c>
      <c r="C33" s="278" t="s">
        <v>306</v>
      </c>
      <c r="D33" s="275" t="s">
        <v>435</v>
      </c>
      <c r="E33" s="275" t="s">
        <v>436</v>
      </c>
      <c r="F33" s="275" t="s">
        <v>437</v>
      </c>
      <c r="G33" s="275"/>
      <c r="H33" s="275"/>
      <c r="I33" s="275"/>
      <c r="J33" s="275"/>
    </row>
    <row r="34" spans="1:10">
      <c r="A34" s="273"/>
      <c r="B34" s="274"/>
      <c r="C34" s="278"/>
      <c r="D34" s="275">
        <v>-0.79937999999999998</v>
      </c>
      <c r="E34" s="275">
        <v>-0.38884999999999997</v>
      </c>
      <c r="F34" s="275">
        <v>-0.38851999999999998</v>
      </c>
      <c r="G34" s="275"/>
      <c r="H34" s="275"/>
      <c r="I34" s="275"/>
      <c r="J34" s="275"/>
    </row>
    <row r="35" spans="1:10">
      <c r="A35" s="273"/>
      <c r="B35" s="274"/>
      <c r="C35" s="278"/>
      <c r="D35" s="275"/>
      <c r="E35" s="275"/>
      <c r="F35" s="275"/>
      <c r="G35" s="275"/>
      <c r="H35" s="275"/>
      <c r="I35" s="275"/>
      <c r="J35" s="275"/>
    </row>
    <row r="36" spans="1:10">
      <c r="A36" s="273">
        <v>11</v>
      </c>
      <c r="B36" s="274">
        <v>7</v>
      </c>
      <c r="C36" s="278" t="s">
        <v>10</v>
      </c>
      <c r="D36" s="275" t="s">
        <v>435</v>
      </c>
      <c r="E36" s="275" t="s">
        <v>436</v>
      </c>
      <c r="F36" s="275" t="s">
        <v>437</v>
      </c>
      <c r="G36" s="275"/>
      <c r="H36" s="275"/>
      <c r="I36" s="275"/>
      <c r="J36" s="275"/>
    </row>
    <row r="37" spans="1:10">
      <c r="A37" s="273"/>
      <c r="B37" s="274"/>
      <c r="C37" s="278"/>
      <c r="D37" s="275">
        <v>-1.4689700000000001</v>
      </c>
      <c r="E37" s="275">
        <v>-1.07219</v>
      </c>
      <c r="F37" s="275">
        <v>-1.0713900000000001</v>
      </c>
      <c r="G37" s="275"/>
      <c r="H37" s="275"/>
      <c r="I37" s="275"/>
      <c r="J37" s="275"/>
    </row>
    <row r="38" spans="1:10">
      <c r="A38" s="273"/>
      <c r="B38" s="274"/>
      <c r="C38" s="278"/>
      <c r="D38" s="275"/>
      <c r="E38" s="275"/>
      <c r="F38" s="275"/>
      <c r="G38" s="275"/>
      <c r="H38" s="275"/>
      <c r="I38" s="275"/>
      <c r="J38" s="275"/>
    </row>
    <row r="39" spans="1:10">
      <c r="A39" s="273">
        <v>12</v>
      </c>
      <c r="B39" s="274">
        <v>7</v>
      </c>
      <c r="C39" s="278" t="s">
        <v>11</v>
      </c>
      <c r="D39" s="275" t="s">
        <v>435</v>
      </c>
      <c r="E39" s="275" t="s">
        <v>436</v>
      </c>
      <c r="F39" s="275" t="s">
        <v>437</v>
      </c>
      <c r="G39" s="275"/>
      <c r="H39" s="275"/>
      <c r="I39" s="275"/>
      <c r="J39" s="275"/>
    </row>
    <row r="40" spans="1:10">
      <c r="A40" s="273"/>
      <c r="B40" s="274"/>
      <c r="C40" s="278"/>
      <c r="D40" s="275">
        <v>-2.07348</v>
      </c>
      <c r="E40" s="275">
        <v>-1.75613</v>
      </c>
      <c r="F40" s="275">
        <v>-1.7551699999999999</v>
      </c>
      <c r="G40" s="275"/>
      <c r="H40" s="275"/>
      <c r="I40" s="275"/>
      <c r="J40" s="275"/>
    </row>
    <row r="41" spans="1:10">
      <c r="A41" s="273"/>
      <c r="B41" s="274"/>
      <c r="C41" s="278"/>
      <c r="D41" s="275"/>
      <c r="E41" s="275"/>
      <c r="F41" s="275"/>
      <c r="G41" s="275"/>
      <c r="H41" s="275"/>
      <c r="I41" s="275"/>
      <c r="J41" s="275"/>
    </row>
    <row r="42" spans="1:10">
      <c r="A42" s="273">
        <v>13</v>
      </c>
      <c r="B42" s="274">
        <v>7</v>
      </c>
      <c r="C42" s="278" t="s">
        <v>12</v>
      </c>
      <c r="D42" s="275" t="s">
        <v>435</v>
      </c>
      <c r="E42" s="275"/>
      <c r="F42" s="275"/>
      <c r="G42" s="275"/>
      <c r="H42" s="275"/>
      <c r="I42" s="275"/>
      <c r="J42" s="275"/>
    </row>
    <row r="43" spans="1:10">
      <c r="A43" s="273"/>
      <c r="B43" s="274"/>
      <c r="C43" s="278"/>
      <c r="D43" s="275">
        <v>-2.76851</v>
      </c>
      <c r="E43" s="275"/>
      <c r="F43" s="275"/>
      <c r="G43" s="275"/>
      <c r="H43" s="275"/>
      <c r="I43" s="275"/>
      <c r="J43" s="275"/>
    </row>
    <row r="44" spans="1:10">
      <c r="A44" s="273"/>
      <c r="B44" s="274"/>
      <c r="C44" s="278"/>
      <c r="D44" s="275"/>
      <c r="E44" s="275"/>
      <c r="F44" s="275"/>
      <c r="G44" s="275"/>
      <c r="H44" s="275"/>
      <c r="I44" s="275"/>
      <c r="J44" s="275"/>
    </row>
    <row r="45" spans="1:10">
      <c r="A45" s="273">
        <v>14</v>
      </c>
      <c r="B45" s="274">
        <v>7</v>
      </c>
      <c r="C45" s="278" t="s">
        <v>13</v>
      </c>
      <c r="D45" s="275" t="s">
        <v>435</v>
      </c>
      <c r="E45" s="275"/>
      <c r="F45" s="275"/>
      <c r="G45" s="275"/>
      <c r="H45" s="275"/>
      <c r="I45" s="275"/>
      <c r="J45" s="275"/>
    </row>
    <row r="46" spans="1:10">
      <c r="A46" s="273"/>
      <c r="B46" s="274"/>
      <c r="C46" s="278"/>
      <c r="D46" s="275">
        <v>-3.5931199999999999</v>
      </c>
      <c r="E46" s="275"/>
      <c r="F46" s="275"/>
      <c r="G46" s="275"/>
      <c r="H46" s="275"/>
      <c r="I46" s="275"/>
      <c r="J46" s="275"/>
    </row>
    <row r="47" spans="1:10">
      <c r="A47" s="273"/>
      <c r="B47" s="274"/>
      <c r="C47" s="278"/>
      <c r="D47" s="275"/>
      <c r="E47" s="275"/>
      <c r="F47" s="275"/>
      <c r="G47" s="275"/>
      <c r="H47" s="275"/>
      <c r="I47" s="275"/>
      <c r="J47" s="275"/>
    </row>
    <row r="48" spans="1:10">
      <c r="A48" s="273">
        <v>15</v>
      </c>
      <c r="B48" s="274">
        <v>7</v>
      </c>
      <c r="C48" s="278" t="s">
        <v>14</v>
      </c>
      <c r="D48" s="275" t="s">
        <v>434</v>
      </c>
      <c r="E48" s="275"/>
      <c r="F48" s="275"/>
      <c r="G48" s="275"/>
      <c r="H48" s="275"/>
      <c r="I48" s="275"/>
      <c r="J48" s="275"/>
    </row>
    <row r="49" spans="1:10">
      <c r="A49" s="273"/>
      <c r="B49" s="274"/>
      <c r="C49" s="278"/>
      <c r="D49" s="275">
        <v>-20.30217</v>
      </c>
      <c r="E49" s="275"/>
      <c r="F49" s="275"/>
      <c r="G49" s="275"/>
      <c r="H49" s="275"/>
      <c r="I49" s="275"/>
      <c r="J49" s="275"/>
    </row>
    <row r="50" spans="1:10">
      <c r="A50" s="273"/>
      <c r="B50" s="274"/>
      <c r="C50" s="278"/>
      <c r="D50" s="275"/>
      <c r="E50" s="275"/>
      <c r="F50" s="275"/>
      <c r="G50" s="275"/>
      <c r="H50" s="275"/>
      <c r="I50" s="275"/>
      <c r="J50" s="275"/>
    </row>
    <row r="51" spans="1:10">
      <c r="A51" s="273">
        <v>16</v>
      </c>
      <c r="B51" s="274">
        <v>8</v>
      </c>
      <c r="C51" s="278" t="s">
        <v>15</v>
      </c>
      <c r="D51" s="275" t="s">
        <v>435</v>
      </c>
      <c r="E51" s="275" t="s">
        <v>436</v>
      </c>
      <c r="F51" s="275" t="s">
        <v>437</v>
      </c>
      <c r="G51" s="275"/>
      <c r="H51" s="275"/>
      <c r="I51" s="275"/>
      <c r="J51" s="275"/>
    </row>
    <row r="52" spans="1:10">
      <c r="A52" s="273"/>
      <c r="B52" s="274"/>
      <c r="C52" s="278"/>
      <c r="D52" s="275">
        <v>-1.8186</v>
      </c>
      <c r="E52" s="275">
        <v>-1.2449699999999999</v>
      </c>
      <c r="F52" s="275">
        <v>-1.2433799999999999</v>
      </c>
      <c r="G52" s="275"/>
      <c r="H52" s="275"/>
      <c r="I52" s="275"/>
      <c r="J52" s="275"/>
    </row>
    <row r="53" spans="1:10">
      <c r="A53" s="273"/>
      <c r="B53" s="274"/>
      <c r="C53" s="278"/>
      <c r="D53" s="275"/>
      <c r="E53" s="275"/>
      <c r="F53" s="275"/>
      <c r="G53" s="275"/>
      <c r="H53" s="275"/>
      <c r="I53" s="275"/>
      <c r="J53" s="275"/>
    </row>
    <row r="54" spans="1:10">
      <c r="A54" s="273">
        <v>17</v>
      </c>
      <c r="B54" s="274">
        <v>8</v>
      </c>
      <c r="C54" s="278" t="s">
        <v>16</v>
      </c>
      <c r="D54" s="275" t="s">
        <v>435</v>
      </c>
      <c r="E54" s="275" t="s">
        <v>436</v>
      </c>
      <c r="F54" s="275" t="s">
        <v>437</v>
      </c>
      <c r="G54" s="275"/>
      <c r="H54" s="275"/>
      <c r="I54" s="275"/>
      <c r="J54" s="275"/>
    </row>
    <row r="55" spans="1:10">
      <c r="A55" s="273"/>
      <c r="B55" s="274"/>
      <c r="C55" s="278"/>
      <c r="D55" s="275">
        <v>-2.48692</v>
      </c>
      <c r="E55" s="275">
        <v>-1.99546</v>
      </c>
      <c r="F55" s="275">
        <v>-1.99366</v>
      </c>
      <c r="G55" s="275"/>
      <c r="H55" s="275"/>
      <c r="I55" s="275"/>
      <c r="J55" s="275"/>
    </row>
    <row r="56" spans="1:10">
      <c r="A56" s="273"/>
      <c r="B56" s="274"/>
      <c r="C56" s="278"/>
      <c r="D56" s="275"/>
      <c r="E56" s="275"/>
      <c r="F56" s="275"/>
      <c r="G56" s="275"/>
      <c r="H56" s="275"/>
      <c r="I56" s="275"/>
      <c r="J56" s="275"/>
    </row>
    <row r="57" spans="1:10">
      <c r="A57" s="273">
        <v>18</v>
      </c>
      <c r="B57" s="274">
        <v>8</v>
      </c>
      <c r="C57" s="278" t="s">
        <v>326</v>
      </c>
      <c r="D57" s="275" t="s">
        <v>435</v>
      </c>
      <c r="E57" s="275" t="s">
        <v>436</v>
      </c>
      <c r="F57" s="275" t="s">
        <v>437</v>
      </c>
      <c r="G57" s="275"/>
      <c r="H57" s="275"/>
      <c r="I57" s="275"/>
      <c r="J57" s="275"/>
    </row>
    <row r="58" spans="1:10">
      <c r="A58" s="273"/>
      <c r="B58" s="274"/>
      <c r="C58" s="278"/>
      <c r="D58" s="275">
        <v>-0.81571000000000005</v>
      </c>
      <c r="E58" s="275">
        <v>-0.13056999999999999</v>
      </c>
      <c r="F58" s="275">
        <v>-0.129</v>
      </c>
      <c r="G58" s="275"/>
      <c r="H58" s="275"/>
      <c r="I58" s="275"/>
      <c r="J58" s="275"/>
    </row>
    <row r="59" spans="1:10">
      <c r="A59" s="273"/>
      <c r="B59" s="274"/>
      <c r="C59" s="278"/>
      <c r="D59" s="275"/>
      <c r="E59" s="275"/>
      <c r="F59" s="275"/>
      <c r="G59" s="275"/>
      <c r="H59" s="275"/>
      <c r="I59" s="275"/>
      <c r="J59" s="275"/>
    </row>
    <row r="60" spans="1:10">
      <c r="A60" s="273">
        <v>19</v>
      </c>
      <c r="B60" s="274">
        <v>9</v>
      </c>
      <c r="C60" s="278" t="s">
        <v>328</v>
      </c>
      <c r="D60" s="275" t="s">
        <v>435</v>
      </c>
      <c r="E60" s="275" t="s">
        <v>436</v>
      </c>
      <c r="F60" s="275" t="s">
        <v>437</v>
      </c>
      <c r="G60" s="275"/>
      <c r="H60" s="275"/>
      <c r="I60" s="275"/>
      <c r="J60" s="275"/>
    </row>
    <row r="61" spans="1:10">
      <c r="A61" s="273"/>
      <c r="B61" s="274"/>
      <c r="C61" s="278"/>
      <c r="D61" s="275">
        <v>-1.0780400000000001</v>
      </c>
      <c r="E61" s="275">
        <v>-0.18260999999999999</v>
      </c>
      <c r="F61" s="275">
        <v>-0.17963000000000001</v>
      </c>
      <c r="G61" s="275"/>
      <c r="H61" s="275"/>
      <c r="I61" s="275"/>
      <c r="J61" s="275"/>
    </row>
    <row r="62" spans="1:10">
      <c r="A62" s="273"/>
      <c r="B62" s="274"/>
      <c r="C62" s="278"/>
      <c r="D62" s="275"/>
      <c r="E62" s="275"/>
      <c r="F62" s="275"/>
      <c r="G62" s="275"/>
      <c r="H62" s="275"/>
      <c r="I62" s="275"/>
      <c r="J62" s="275"/>
    </row>
    <row r="63" spans="1:10">
      <c r="A63" s="273">
        <v>20</v>
      </c>
      <c r="B63" s="274">
        <v>11</v>
      </c>
      <c r="C63" s="278" t="s">
        <v>17</v>
      </c>
      <c r="D63" s="275" t="s">
        <v>435</v>
      </c>
      <c r="E63" s="275" t="s">
        <v>436</v>
      </c>
      <c r="F63" s="275" t="s">
        <v>437</v>
      </c>
      <c r="G63" s="275"/>
      <c r="H63" s="275"/>
      <c r="I63" s="275"/>
      <c r="J63" s="275"/>
    </row>
    <row r="64" spans="1:10">
      <c r="A64" s="273"/>
      <c r="B64" s="274"/>
      <c r="C64" s="278"/>
      <c r="D64" s="275">
        <v>-3.0824400000000001</v>
      </c>
      <c r="E64" s="275">
        <v>-1.8014300000000001</v>
      </c>
      <c r="F64" s="275">
        <v>-1.79392</v>
      </c>
      <c r="G64" s="275"/>
      <c r="H64" s="275"/>
      <c r="I64" s="275"/>
      <c r="J64" s="275"/>
    </row>
    <row r="65" spans="1:10">
      <c r="A65" s="273"/>
      <c r="B65" s="274"/>
      <c r="C65" s="278"/>
      <c r="D65" s="275"/>
      <c r="E65" s="275"/>
      <c r="F65" s="275"/>
      <c r="G65" s="275"/>
      <c r="H65" s="275"/>
      <c r="I65" s="275"/>
      <c r="J65" s="275"/>
    </row>
    <row r="66" spans="1:10">
      <c r="A66" s="273">
        <v>21</v>
      </c>
      <c r="B66" s="274">
        <v>12</v>
      </c>
      <c r="C66" s="278" t="s">
        <v>329</v>
      </c>
      <c r="D66" s="275" t="s">
        <v>435</v>
      </c>
      <c r="E66" s="275" t="s">
        <v>436</v>
      </c>
      <c r="F66" s="275" t="s">
        <v>437</v>
      </c>
      <c r="G66" s="275"/>
      <c r="H66" s="275"/>
      <c r="I66" s="275"/>
      <c r="J66" s="275"/>
    </row>
    <row r="67" spans="1:10">
      <c r="A67" s="273"/>
      <c r="B67" s="274"/>
      <c r="C67" s="278"/>
      <c r="D67" s="275">
        <v>-4.4965099999999998</v>
      </c>
      <c r="E67" s="275">
        <v>-3.01336</v>
      </c>
      <c r="F67" s="275">
        <v>-3.0015900000000002</v>
      </c>
      <c r="G67" s="275"/>
      <c r="H67" s="275"/>
      <c r="I67" s="275"/>
      <c r="J67" s="275"/>
    </row>
    <row r="68" spans="1:10">
      <c r="A68" s="273"/>
      <c r="B68" s="274"/>
      <c r="C68" s="278"/>
      <c r="D68" s="275"/>
      <c r="E68" s="275"/>
      <c r="F68" s="275"/>
      <c r="G68" s="275"/>
      <c r="H68" s="275"/>
      <c r="I68" s="275"/>
      <c r="J68" s="275"/>
    </row>
    <row r="69" spans="1:10">
      <c r="A69" s="273">
        <v>22</v>
      </c>
      <c r="B69" s="274">
        <v>13</v>
      </c>
      <c r="C69" s="278" t="s">
        <v>18</v>
      </c>
      <c r="D69" s="275" t="s">
        <v>438</v>
      </c>
      <c r="E69" s="275"/>
      <c r="F69" s="275"/>
      <c r="G69" s="275"/>
      <c r="H69" s="275"/>
      <c r="I69" s="275"/>
      <c r="J69" s="275"/>
    </row>
    <row r="70" spans="1:10">
      <c r="A70" s="273"/>
      <c r="B70" s="274"/>
      <c r="C70" s="278"/>
      <c r="D70" s="275">
        <v>-0.65347999999999995</v>
      </c>
      <c r="E70" s="275"/>
      <c r="F70" s="275"/>
      <c r="G70" s="275"/>
      <c r="H70" s="275"/>
      <c r="I70" s="275"/>
      <c r="J70" s="275"/>
    </row>
    <row r="71" spans="1:10">
      <c r="A71" s="273"/>
      <c r="B71" s="274"/>
      <c r="C71" s="278"/>
      <c r="D71" s="275"/>
      <c r="E71" s="275"/>
      <c r="F71" s="275"/>
      <c r="G71" s="275"/>
      <c r="H71" s="275"/>
      <c r="I71" s="275"/>
      <c r="J71" s="275"/>
    </row>
    <row r="72" spans="1:10">
      <c r="A72" s="273">
        <v>23</v>
      </c>
      <c r="B72" s="274">
        <v>13</v>
      </c>
      <c r="C72" s="278" t="s">
        <v>330</v>
      </c>
      <c r="D72" s="275" t="s">
        <v>435</v>
      </c>
      <c r="E72" s="275" t="s">
        <v>436</v>
      </c>
      <c r="F72" s="275" t="s">
        <v>437</v>
      </c>
      <c r="G72" s="275"/>
      <c r="H72" s="275"/>
      <c r="I72" s="275"/>
      <c r="J72" s="275"/>
    </row>
    <row r="73" spans="1:10">
      <c r="A73" s="273"/>
      <c r="B73" s="274"/>
      <c r="C73" s="278"/>
      <c r="D73" s="275">
        <v>-6.17136</v>
      </c>
      <c r="E73" s="275">
        <v>-4.4838500000000003</v>
      </c>
      <c r="F73" s="275">
        <v>-4.4661400000000002</v>
      </c>
      <c r="G73" s="275"/>
      <c r="H73" s="275"/>
      <c r="I73" s="275"/>
      <c r="J73" s="275"/>
    </row>
    <row r="74" spans="1:10">
      <c r="A74" s="273"/>
      <c r="B74" s="274"/>
      <c r="C74" s="278"/>
      <c r="D74" s="275"/>
      <c r="E74" s="275"/>
      <c r="F74" s="275"/>
      <c r="G74" s="275"/>
      <c r="H74" s="275"/>
      <c r="I74" s="275"/>
      <c r="J74" s="275"/>
    </row>
    <row r="75" spans="1:10">
      <c r="A75" s="273">
        <v>24</v>
      </c>
      <c r="B75" s="274">
        <v>14</v>
      </c>
      <c r="C75" s="278" t="s">
        <v>19</v>
      </c>
      <c r="D75" s="275" t="s">
        <v>438</v>
      </c>
      <c r="E75" s="275" t="s">
        <v>439</v>
      </c>
      <c r="F75" s="275" t="s">
        <v>440</v>
      </c>
      <c r="G75" s="275"/>
      <c r="H75" s="275"/>
      <c r="I75" s="275"/>
      <c r="J75" s="275"/>
    </row>
    <row r="76" spans="1:10">
      <c r="A76" s="273"/>
      <c r="B76" s="274"/>
      <c r="C76" s="278"/>
      <c r="D76" s="275">
        <v>-0.84050999999999998</v>
      </c>
      <c r="E76" s="275">
        <v>-0.58635000000000004</v>
      </c>
      <c r="F76" s="275">
        <v>-0.58496000000000004</v>
      </c>
      <c r="G76" s="275"/>
      <c r="H76" s="275"/>
      <c r="I76" s="275"/>
      <c r="J76" s="275"/>
    </row>
    <row r="77" spans="1:10">
      <c r="A77" s="273"/>
      <c r="B77" s="274"/>
      <c r="C77" s="278"/>
      <c r="D77" s="275"/>
      <c r="E77" s="275"/>
      <c r="F77" s="275"/>
      <c r="G77" s="275"/>
      <c r="H77" s="275"/>
      <c r="I77" s="275"/>
      <c r="J77" s="275"/>
    </row>
    <row r="78" spans="1:10">
      <c r="A78" s="273">
        <v>25</v>
      </c>
      <c r="B78" s="274">
        <v>14</v>
      </c>
      <c r="C78" s="278" t="s">
        <v>20</v>
      </c>
      <c r="D78" s="275" t="s">
        <v>438</v>
      </c>
      <c r="E78" s="275"/>
      <c r="F78" s="275"/>
      <c r="G78" s="275"/>
      <c r="H78" s="275"/>
      <c r="I78" s="275"/>
      <c r="J78" s="275"/>
    </row>
    <row r="79" spans="1:10">
      <c r="A79" s="273"/>
      <c r="B79" s="274"/>
      <c r="C79" s="278"/>
      <c r="D79" s="275">
        <v>-1.1844399999999999</v>
      </c>
      <c r="E79" s="275"/>
      <c r="F79" s="275"/>
      <c r="G79" s="275"/>
      <c r="H79" s="275"/>
      <c r="I79" s="275"/>
      <c r="J79" s="275"/>
    </row>
    <row r="80" spans="1:10">
      <c r="A80" s="273"/>
      <c r="B80" s="274"/>
      <c r="C80" s="278"/>
      <c r="D80" s="275"/>
      <c r="E80" s="275"/>
      <c r="F80" s="275"/>
      <c r="G80" s="275"/>
      <c r="H80" s="275"/>
      <c r="I80" s="275"/>
      <c r="J80" s="275"/>
    </row>
    <row r="81" spans="1:10">
      <c r="A81" s="273">
        <v>26</v>
      </c>
      <c r="B81" s="274">
        <v>14</v>
      </c>
      <c r="C81" s="278" t="s">
        <v>21</v>
      </c>
      <c r="D81" s="275" t="s">
        <v>438</v>
      </c>
      <c r="E81" s="275"/>
      <c r="F81" s="275"/>
      <c r="G81" s="275"/>
      <c r="H81" s="275"/>
      <c r="I81" s="275"/>
      <c r="J81" s="275"/>
    </row>
    <row r="82" spans="1:10">
      <c r="A82" s="273"/>
      <c r="B82" s="274"/>
      <c r="C82" s="278"/>
      <c r="D82" s="275">
        <v>-1.6448400000000001</v>
      </c>
      <c r="E82" s="275"/>
      <c r="F82" s="275"/>
      <c r="G82" s="275"/>
      <c r="H82" s="275"/>
      <c r="I82" s="275"/>
      <c r="J82" s="275"/>
    </row>
    <row r="83" spans="1:10">
      <c r="A83" s="273"/>
      <c r="B83" s="274"/>
      <c r="C83" s="278"/>
      <c r="D83" s="275"/>
      <c r="E83" s="275"/>
      <c r="F83" s="275"/>
      <c r="G83" s="275"/>
      <c r="H83" s="275"/>
      <c r="I83" s="275"/>
      <c r="J83" s="275"/>
    </row>
    <row r="84" spans="1:10">
      <c r="A84" s="273">
        <v>27</v>
      </c>
      <c r="B84" s="274">
        <v>14</v>
      </c>
      <c r="C84" s="278" t="s">
        <v>22</v>
      </c>
      <c r="D84" s="275" t="s">
        <v>435</v>
      </c>
      <c r="E84" s="275" t="s">
        <v>436</v>
      </c>
      <c r="F84" s="275" t="s">
        <v>437</v>
      </c>
      <c r="G84" s="275"/>
      <c r="H84" s="275"/>
      <c r="I84" s="275"/>
      <c r="J84" s="275"/>
    </row>
    <row r="85" spans="1:10">
      <c r="A85" s="273"/>
      <c r="B85" s="274"/>
      <c r="C85" s="278"/>
      <c r="D85" s="275">
        <v>-8.1041699999999999</v>
      </c>
      <c r="E85" s="275">
        <v>-6.2108800000000004</v>
      </c>
      <c r="F85" s="275">
        <v>-6.1851500000000001</v>
      </c>
      <c r="G85" s="275"/>
      <c r="H85" s="275"/>
      <c r="I85" s="275"/>
      <c r="J85" s="275"/>
    </row>
    <row r="86" spans="1:10">
      <c r="A86" s="273"/>
      <c r="B86" s="274"/>
      <c r="C86" s="278"/>
      <c r="D86" s="275"/>
      <c r="E86" s="275"/>
      <c r="F86" s="275"/>
      <c r="G86" s="275"/>
      <c r="H86" s="275"/>
      <c r="I86" s="275"/>
      <c r="J86" s="275"/>
    </row>
    <row r="87" spans="1:10">
      <c r="A87" s="273">
        <v>28</v>
      </c>
      <c r="B87" s="274">
        <v>14</v>
      </c>
      <c r="C87" s="278" t="s">
        <v>331</v>
      </c>
      <c r="D87" s="275" t="s">
        <v>438</v>
      </c>
      <c r="E87" s="275" t="s">
        <v>439</v>
      </c>
      <c r="F87" s="275" t="s">
        <v>440</v>
      </c>
      <c r="G87" s="275"/>
      <c r="H87" s="275"/>
      <c r="I87" s="275"/>
      <c r="J87" s="275"/>
    </row>
    <row r="88" spans="1:10">
      <c r="A88" s="273"/>
      <c r="B88" s="274"/>
      <c r="C88" s="278"/>
      <c r="D88" s="275">
        <v>-0.62777000000000005</v>
      </c>
      <c r="E88" s="275">
        <v>-0.28172000000000003</v>
      </c>
      <c r="F88" s="275">
        <v>-0.28044000000000002</v>
      </c>
      <c r="G88" s="275"/>
      <c r="H88" s="275"/>
      <c r="I88" s="275"/>
      <c r="J88" s="275"/>
    </row>
    <row r="89" spans="1:10">
      <c r="A89" s="273"/>
      <c r="B89" s="274"/>
      <c r="C89" s="278"/>
      <c r="D89" s="275"/>
      <c r="E89" s="275"/>
      <c r="F89" s="275"/>
      <c r="G89" s="275"/>
      <c r="H89" s="275"/>
      <c r="I89" s="275"/>
      <c r="J89" s="275"/>
    </row>
    <row r="90" spans="1:10">
      <c r="A90" s="273">
        <v>29</v>
      </c>
      <c r="B90" s="274">
        <v>15</v>
      </c>
      <c r="C90" s="278" t="s">
        <v>23</v>
      </c>
      <c r="D90" s="275" t="s">
        <v>438</v>
      </c>
      <c r="E90" s="275" t="s">
        <v>439</v>
      </c>
      <c r="F90" s="275" t="s">
        <v>440</v>
      </c>
      <c r="G90" s="275"/>
      <c r="H90" s="275"/>
      <c r="I90" s="275"/>
      <c r="J90" s="275"/>
    </row>
    <row r="91" spans="1:10">
      <c r="A91" s="273"/>
      <c r="B91" s="274"/>
      <c r="C91" s="278"/>
      <c r="D91" s="275">
        <v>-1.0399499999999999</v>
      </c>
      <c r="E91" s="275">
        <v>-0.69623999999999997</v>
      </c>
      <c r="F91" s="275">
        <v>-0.69389000000000001</v>
      </c>
      <c r="G91" s="275"/>
      <c r="H91" s="275"/>
      <c r="I91" s="275"/>
      <c r="J91" s="275"/>
    </row>
    <row r="92" spans="1:10">
      <c r="A92" s="273"/>
      <c r="B92" s="274"/>
      <c r="C92" s="278"/>
      <c r="D92" s="275"/>
      <c r="E92" s="275"/>
      <c r="F92" s="275"/>
      <c r="G92" s="275"/>
      <c r="H92" s="275"/>
      <c r="I92" s="275"/>
      <c r="J92" s="275"/>
    </row>
    <row r="93" spans="1:10">
      <c r="A93" s="273">
        <v>30</v>
      </c>
      <c r="B93" s="274">
        <v>15</v>
      </c>
      <c r="C93" s="278" t="s">
        <v>24</v>
      </c>
      <c r="D93" s="275" t="s">
        <v>438</v>
      </c>
      <c r="E93" s="275" t="s">
        <v>439</v>
      </c>
      <c r="F93" s="275" t="s">
        <v>440</v>
      </c>
      <c r="G93" s="275"/>
      <c r="H93" s="275"/>
      <c r="I93" s="275"/>
      <c r="J93" s="275"/>
    </row>
    <row r="94" spans="1:10">
      <c r="A94" s="273"/>
      <c r="B94" s="274"/>
      <c r="C94" s="278"/>
      <c r="D94" s="275">
        <v>-1.4183699999999999</v>
      </c>
      <c r="E94" s="275">
        <v>-1.0918699999999999</v>
      </c>
      <c r="F94" s="275">
        <v>-1.08917</v>
      </c>
      <c r="G94" s="275"/>
      <c r="H94" s="275"/>
      <c r="I94" s="275"/>
      <c r="J94" s="275"/>
    </row>
    <row r="95" spans="1:10">
      <c r="A95" s="273"/>
      <c r="B95" s="274"/>
      <c r="C95" s="278"/>
      <c r="D95" s="275"/>
      <c r="E95" s="275"/>
      <c r="F95" s="275"/>
      <c r="G95" s="275"/>
      <c r="H95" s="275"/>
      <c r="I95" s="275"/>
      <c r="J95" s="275"/>
    </row>
    <row r="96" spans="1:10">
      <c r="A96" s="273">
        <v>31</v>
      </c>
      <c r="B96" s="274">
        <v>15</v>
      </c>
      <c r="C96" s="278" t="s">
        <v>25</v>
      </c>
      <c r="D96" s="275" t="s">
        <v>438</v>
      </c>
      <c r="E96" s="275"/>
      <c r="F96" s="275"/>
      <c r="G96" s="275"/>
      <c r="H96" s="275"/>
      <c r="I96" s="275"/>
      <c r="J96" s="275"/>
    </row>
    <row r="97" spans="1:10">
      <c r="A97" s="273"/>
      <c r="B97" s="274"/>
      <c r="C97" s="278"/>
      <c r="D97" s="275">
        <v>-1.8375999999999999</v>
      </c>
      <c r="E97" s="275"/>
      <c r="F97" s="275"/>
      <c r="G97" s="275"/>
      <c r="H97" s="275"/>
      <c r="I97" s="275"/>
      <c r="J97" s="275"/>
    </row>
    <row r="98" spans="1:10">
      <c r="A98" s="273"/>
      <c r="B98" s="274"/>
      <c r="C98" s="278"/>
      <c r="D98" s="275"/>
      <c r="E98" s="275"/>
      <c r="F98" s="275"/>
      <c r="G98" s="275"/>
      <c r="H98" s="275"/>
      <c r="I98" s="275"/>
      <c r="J98" s="275"/>
    </row>
    <row r="99" spans="1:10">
      <c r="A99" s="273">
        <v>32</v>
      </c>
      <c r="B99" s="274">
        <v>15</v>
      </c>
      <c r="C99" s="278" t="s">
        <v>26</v>
      </c>
      <c r="D99" s="275" t="s">
        <v>438</v>
      </c>
      <c r="E99" s="275"/>
      <c r="F99" s="275"/>
      <c r="G99" s="275"/>
      <c r="H99" s="275"/>
      <c r="I99" s="275"/>
      <c r="J99" s="275"/>
    </row>
    <row r="100" spans="1:10">
      <c r="A100" s="273"/>
      <c r="B100" s="274"/>
      <c r="C100" s="278"/>
      <c r="D100" s="275">
        <v>-2.3744299999999998</v>
      </c>
      <c r="E100" s="275"/>
      <c r="F100" s="275"/>
      <c r="G100" s="275"/>
      <c r="H100" s="275"/>
      <c r="I100" s="275"/>
      <c r="J100" s="275"/>
    </row>
    <row r="101" spans="1:10">
      <c r="A101" s="273"/>
      <c r="B101" s="274"/>
      <c r="C101" s="278"/>
      <c r="D101" s="275"/>
      <c r="E101" s="275"/>
      <c r="F101" s="275"/>
      <c r="G101" s="275"/>
      <c r="H101" s="275"/>
      <c r="I101" s="275"/>
      <c r="J101" s="275"/>
    </row>
    <row r="102" spans="1:10">
      <c r="A102" s="273">
        <v>33</v>
      </c>
      <c r="B102" s="274">
        <v>15</v>
      </c>
      <c r="C102" s="278" t="s">
        <v>27</v>
      </c>
      <c r="D102" s="275" t="s">
        <v>435</v>
      </c>
      <c r="E102" s="275" t="s">
        <v>436</v>
      </c>
      <c r="F102" s="275" t="s">
        <v>437</v>
      </c>
      <c r="G102" s="275"/>
      <c r="H102" s="275"/>
      <c r="I102" s="275"/>
      <c r="J102" s="275"/>
    </row>
    <row r="103" spans="1:10">
      <c r="A103" s="273"/>
      <c r="B103" s="274"/>
      <c r="C103" s="278"/>
      <c r="D103" s="275">
        <v>-10.293670000000001</v>
      </c>
      <c r="E103" s="275">
        <v>-8.1935300000000009</v>
      </c>
      <c r="F103" s="275">
        <v>-8.1572800000000001</v>
      </c>
      <c r="G103" s="275"/>
      <c r="H103" s="275"/>
      <c r="I103" s="275"/>
      <c r="J103" s="275"/>
    </row>
    <row r="104" spans="1:10">
      <c r="A104" s="273"/>
      <c r="B104" s="274"/>
      <c r="C104" s="278"/>
      <c r="D104" s="275"/>
      <c r="E104" s="275"/>
      <c r="F104" s="275"/>
      <c r="G104" s="275"/>
      <c r="H104" s="275"/>
      <c r="I104" s="275"/>
      <c r="J104" s="275"/>
    </row>
    <row r="105" spans="1:10">
      <c r="A105" s="273">
        <v>34</v>
      </c>
      <c r="B105" s="274">
        <v>16</v>
      </c>
      <c r="C105" s="278" t="s">
        <v>28</v>
      </c>
      <c r="D105" s="275" t="s">
        <v>438</v>
      </c>
      <c r="E105" s="275" t="s">
        <v>439</v>
      </c>
      <c r="F105" s="275" t="s">
        <v>440</v>
      </c>
      <c r="G105" s="275"/>
      <c r="H105" s="275"/>
      <c r="I105" s="275"/>
      <c r="J105" s="275"/>
    </row>
    <row r="106" spans="1:10">
      <c r="A106" s="273"/>
      <c r="B106" s="274"/>
      <c r="C106" s="278"/>
      <c r="D106" s="275">
        <v>-1.2528300000000001</v>
      </c>
      <c r="E106" s="275">
        <v>-0.80981999999999998</v>
      </c>
      <c r="F106" s="275">
        <v>-0.80610999999999999</v>
      </c>
      <c r="G106" s="275"/>
      <c r="H106" s="275"/>
      <c r="I106" s="275"/>
      <c r="J106" s="275"/>
    </row>
    <row r="107" spans="1:10">
      <c r="A107" s="273"/>
      <c r="B107" s="274"/>
      <c r="C107" s="278"/>
      <c r="D107" s="275"/>
      <c r="E107" s="275"/>
      <c r="F107" s="275"/>
      <c r="G107" s="275"/>
      <c r="H107" s="275"/>
      <c r="I107" s="275"/>
      <c r="J107" s="275"/>
    </row>
    <row r="108" spans="1:10">
      <c r="A108" s="273">
        <v>35</v>
      </c>
      <c r="B108" s="274">
        <v>16</v>
      </c>
      <c r="C108" s="278" t="s">
        <v>29</v>
      </c>
      <c r="D108" s="275" t="s">
        <v>438</v>
      </c>
      <c r="E108" s="275" t="s">
        <v>439</v>
      </c>
      <c r="F108" s="275" t="s">
        <v>440</v>
      </c>
      <c r="G108" s="275"/>
      <c r="H108" s="275"/>
      <c r="I108" s="275"/>
      <c r="J108" s="275"/>
    </row>
    <row r="109" spans="1:10">
      <c r="A109" s="273"/>
      <c r="B109" s="274"/>
      <c r="C109" s="278"/>
      <c r="D109" s="275">
        <v>-1.6655800000000001</v>
      </c>
      <c r="E109" s="275">
        <v>-1.2423</v>
      </c>
      <c r="F109" s="275">
        <v>-1.2381800000000001</v>
      </c>
      <c r="G109" s="275"/>
      <c r="H109" s="275"/>
      <c r="I109" s="275"/>
      <c r="J109" s="275"/>
    </row>
    <row r="110" spans="1:10">
      <c r="A110" s="273"/>
      <c r="B110" s="274"/>
      <c r="C110" s="278"/>
      <c r="D110" s="275"/>
      <c r="E110" s="275"/>
      <c r="F110" s="275"/>
      <c r="G110" s="275"/>
      <c r="H110" s="275"/>
      <c r="I110" s="275"/>
      <c r="J110" s="275"/>
    </row>
    <row r="111" spans="1:10">
      <c r="A111" s="273">
        <v>36</v>
      </c>
      <c r="B111" s="274">
        <v>16</v>
      </c>
      <c r="C111" s="278" t="s">
        <v>30</v>
      </c>
      <c r="D111" s="275" t="s">
        <v>438</v>
      </c>
      <c r="E111" s="275" t="s">
        <v>439</v>
      </c>
      <c r="F111" s="275" t="s">
        <v>440</v>
      </c>
      <c r="G111" s="275"/>
      <c r="H111" s="275"/>
      <c r="I111" s="275"/>
      <c r="J111" s="275"/>
    </row>
    <row r="112" spans="1:10">
      <c r="A112" s="273"/>
      <c r="B112" s="274"/>
      <c r="C112" s="278"/>
      <c r="D112" s="275">
        <v>-2.1189200000000001</v>
      </c>
      <c r="E112" s="275">
        <v>-1.7196400000000001</v>
      </c>
      <c r="F112" s="275">
        <v>-1.7150399999999999</v>
      </c>
      <c r="G112" s="275"/>
      <c r="H112" s="275"/>
      <c r="I112" s="275"/>
      <c r="J112" s="275"/>
    </row>
    <row r="113" spans="1:10">
      <c r="A113" s="273"/>
      <c r="B113" s="274"/>
      <c r="C113" s="278"/>
      <c r="D113" s="275"/>
      <c r="E113" s="275"/>
      <c r="F113" s="275"/>
      <c r="G113" s="275"/>
      <c r="H113" s="275"/>
      <c r="I113" s="275"/>
      <c r="J113" s="275"/>
    </row>
    <row r="114" spans="1:10">
      <c r="A114" s="273">
        <v>37</v>
      </c>
      <c r="B114" s="274">
        <v>16</v>
      </c>
      <c r="C114" s="278" t="s">
        <v>31</v>
      </c>
      <c r="D114" s="275" t="s">
        <v>438</v>
      </c>
      <c r="E114" s="275"/>
      <c r="F114" s="275"/>
      <c r="G114" s="275"/>
      <c r="H114" s="275"/>
      <c r="I114" s="275"/>
      <c r="J114" s="275"/>
    </row>
    <row r="115" spans="1:10">
      <c r="A115" s="273"/>
      <c r="B115" s="274"/>
      <c r="C115" s="278"/>
      <c r="D115" s="275">
        <v>-2.6091899999999999</v>
      </c>
      <c r="E115" s="275"/>
      <c r="F115" s="275"/>
      <c r="G115" s="275"/>
      <c r="H115" s="275"/>
      <c r="I115" s="275"/>
      <c r="J115" s="275"/>
    </row>
    <row r="116" spans="1:10">
      <c r="A116" s="273"/>
      <c r="B116" s="274"/>
      <c r="C116" s="278"/>
      <c r="D116" s="275"/>
      <c r="E116" s="275"/>
      <c r="F116" s="275"/>
      <c r="G116" s="275"/>
      <c r="H116" s="275"/>
      <c r="I116" s="275"/>
      <c r="J116" s="275"/>
    </row>
    <row r="117" spans="1:10">
      <c r="A117" s="273">
        <v>38</v>
      </c>
      <c r="B117" s="274">
        <v>16</v>
      </c>
      <c r="C117" s="278" t="s">
        <v>32</v>
      </c>
      <c r="D117" s="275" t="s">
        <v>438</v>
      </c>
      <c r="E117" s="275"/>
      <c r="F117" s="275"/>
      <c r="G117" s="275"/>
      <c r="H117" s="275"/>
      <c r="I117" s="275"/>
      <c r="J117" s="275"/>
    </row>
    <row r="118" spans="1:10">
      <c r="A118" s="273"/>
      <c r="B118" s="274"/>
      <c r="C118" s="278"/>
      <c r="D118" s="275">
        <v>-3.2198899999999999</v>
      </c>
      <c r="E118" s="275"/>
      <c r="F118" s="275"/>
      <c r="G118" s="275"/>
      <c r="H118" s="275"/>
      <c r="I118" s="275"/>
      <c r="J118" s="275"/>
    </row>
    <row r="119" spans="1:10">
      <c r="A119" s="273"/>
      <c r="B119" s="274"/>
      <c r="C119" s="278"/>
      <c r="D119" s="275"/>
      <c r="E119" s="275"/>
      <c r="F119" s="275"/>
      <c r="G119" s="275"/>
      <c r="H119" s="275"/>
      <c r="I119" s="275"/>
      <c r="J119" s="275"/>
    </row>
    <row r="120" spans="1:10">
      <c r="A120" s="273">
        <v>39</v>
      </c>
      <c r="B120" s="274">
        <v>16</v>
      </c>
      <c r="C120" s="278" t="s">
        <v>33</v>
      </c>
      <c r="D120" s="275" t="s">
        <v>435</v>
      </c>
      <c r="E120" s="275" t="s">
        <v>436</v>
      </c>
      <c r="F120" s="275" t="s">
        <v>437</v>
      </c>
      <c r="G120" s="275"/>
      <c r="H120" s="275"/>
      <c r="I120" s="275"/>
      <c r="J120" s="275"/>
    </row>
    <row r="121" spans="1:10">
      <c r="A121" s="273"/>
      <c r="B121" s="274"/>
      <c r="C121" s="278"/>
      <c r="D121" s="275">
        <v>-12.73936</v>
      </c>
      <c r="E121" s="275">
        <v>-10.431480000000001</v>
      </c>
      <c r="F121" s="275">
        <v>-10.38172</v>
      </c>
      <c r="G121" s="275"/>
      <c r="H121" s="275"/>
      <c r="I121" s="275"/>
      <c r="J121" s="275"/>
    </row>
    <row r="122" spans="1:10">
      <c r="A122" s="273"/>
      <c r="B122" s="274"/>
      <c r="C122" s="278"/>
      <c r="D122" s="275"/>
      <c r="E122" s="275"/>
      <c r="F122" s="275"/>
      <c r="G122" s="275"/>
      <c r="H122" s="275"/>
      <c r="I122" s="275"/>
      <c r="J122" s="275"/>
    </row>
    <row r="123" spans="1:10">
      <c r="A123" s="273">
        <v>40</v>
      </c>
      <c r="B123" s="274">
        <v>17</v>
      </c>
      <c r="C123" s="278" t="s">
        <v>34</v>
      </c>
      <c r="D123" s="275" t="s">
        <v>438</v>
      </c>
      <c r="E123" s="275" t="s">
        <v>439</v>
      </c>
      <c r="F123" s="275" t="s">
        <v>440</v>
      </c>
      <c r="G123" s="275"/>
      <c r="H123" s="275"/>
      <c r="I123" s="275"/>
      <c r="J123" s="275"/>
    </row>
    <row r="124" spans="1:10">
      <c r="A124" s="273"/>
      <c r="B124" s="274"/>
      <c r="C124" s="278"/>
      <c r="D124" s="275">
        <v>-1.47973</v>
      </c>
      <c r="E124" s="275">
        <v>-0.92764999999999997</v>
      </c>
      <c r="F124" s="275">
        <v>-0.92210999999999999</v>
      </c>
      <c r="G124" s="275"/>
      <c r="H124" s="275"/>
      <c r="I124" s="275"/>
      <c r="J124" s="275"/>
    </row>
    <row r="125" spans="1:10">
      <c r="A125" s="273"/>
      <c r="B125" s="274"/>
      <c r="C125" s="278"/>
      <c r="D125" s="275"/>
      <c r="E125" s="275"/>
      <c r="F125" s="275"/>
      <c r="G125" s="275"/>
      <c r="H125" s="275"/>
      <c r="I125" s="275"/>
      <c r="J125" s="275"/>
    </row>
    <row r="126" spans="1:10">
      <c r="A126" s="273">
        <v>41</v>
      </c>
      <c r="B126" s="274">
        <v>17</v>
      </c>
      <c r="C126" s="278" t="s">
        <v>35</v>
      </c>
      <c r="D126" s="275" t="s">
        <v>438</v>
      </c>
      <c r="E126" s="275" t="s">
        <v>439</v>
      </c>
      <c r="F126" s="275" t="s">
        <v>440</v>
      </c>
      <c r="G126" s="275"/>
      <c r="H126" s="275"/>
      <c r="I126" s="275"/>
      <c r="J126" s="275"/>
    </row>
    <row r="127" spans="1:10">
      <c r="A127" s="273"/>
      <c r="B127" s="274"/>
      <c r="C127" s="278"/>
      <c r="D127" s="275">
        <v>-1.92666</v>
      </c>
      <c r="E127" s="275">
        <v>-1.39669</v>
      </c>
      <c r="F127" s="275">
        <v>-1.3906700000000001</v>
      </c>
      <c r="G127" s="275"/>
      <c r="H127" s="275"/>
      <c r="I127" s="275"/>
      <c r="J127" s="275"/>
    </row>
    <row r="128" spans="1:10">
      <c r="A128" s="273"/>
      <c r="B128" s="274"/>
      <c r="C128" s="278"/>
      <c r="D128" s="275"/>
      <c r="E128" s="275"/>
      <c r="F128" s="275"/>
      <c r="G128" s="275"/>
      <c r="H128" s="275"/>
      <c r="I128" s="275"/>
      <c r="J128" s="275"/>
    </row>
    <row r="129" spans="1:10">
      <c r="A129" s="273">
        <v>42</v>
      </c>
      <c r="B129" s="274">
        <v>17</v>
      </c>
      <c r="C129" s="278" t="s">
        <v>36</v>
      </c>
      <c r="D129" s="275" t="s">
        <v>438</v>
      </c>
      <c r="E129" s="275" t="s">
        <v>439</v>
      </c>
      <c r="F129" s="275" t="s">
        <v>440</v>
      </c>
      <c r="G129" s="275"/>
      <c r="H129" s="275"/>
      <c r="I129" s="275"/>
      <c r="J129" s="275"/>
    </row>
    <row r="130" spans="1:10">
      <c r="A130" s="273"/>
      <c r="B130" s="274"/>
      <c r="C130" s="278"/>
      <c r="D130" s="275">
        <v>-2.4140799999999998</v>
      </c>
      <c r="E130" s="275">
        <v>-1.91066</v>
      </c>
      <c r="F130" s="275">
        <v>-1.9040900000000001</v>
      </c>
      <c r="G130" s="275"/>
      <c r="H130" s="275"/>
      <c r="I130" s="275"/>
      <c r="J130" s="275"/>
    </row>
    <row r="131" spans="1:10">
      <c r="A131" s="273"/>
      <c r="B131" s="274"/>
      <c r="C131" s="278"/>
      <c r="D131" s="275"/>
      <c r="E131" s="275"/>
      <c r="F131" s="275"/>
      <c r="G131" s="275"/>
      <c r="H131" s="275"/>
      <c r="I131" s="275"/>
      <c r="J131" s="275"/>
    </row>
    <row r="132" spans="1:10">
      <c r="A132" s="273">
        <v>43</v>
      </c>
      <c r="B132" s="274">
        <v>17</v>
      </c>
      <c r="C132" s="278" t="s">
        <v>37</v>
      </c>
      <c r="D132" s="275" t="s">
        <v>438</v>
      </c>
      <c r="E132" s="275" t="s">
        <v>439</v>
      </c>
      <c r="F132" s="275" t="s">
        <v>440</v>
      </c>
      <c r="G132" s="275"/>
      <c r="H132" s="275"/>
      <c r="I132" s="275"/>
      <c r="J132" s="275"/>
    </row>
    <row r="133" spans="1:10">
      <c r="A133" s="273"/>
      <c r="B133" s="274"/>
      <c r="C133" s="278"/>
      <c r="D133" s="275">
        <v>-2.93838</v>
      </c>
      <c r="E133" s="275">
        <v>-2.4662299999999999</v>
      </c>
      <c r="F133" s="275">
        <v>-2.4590399999999999</v>
      </c>
      <c r="G133" s="275"/>
      <c r="H133" s="275"/>
      <c r="I133" s="275"/>
      <c r="J133" s="275"/>
    </row>
    <row r="134" spans="1:10">
      <c r="A134" s="273"/>
      <c r="B134" s="274"/>
      <c r="C134" s="278"/>
      <c r="D134" s="275"/>
      <c r="E134" s="275"/>
      <c r="F134" s="275"/>
      <c r="G134" s="275"/>
      <c r="H134" s="275"/>
      <c r="I134" s="275"/>
      <c r="J134" s="275"/>
    </row>
    <row r="135" spans="1:10">
      <c r="A135" s="273">
        <v>44</v>
      </c>
      <c r="B135" s="274">
        <v>17</v>
      </c>
      <c r="C135" s="278" t="s">
        <v>38</v>
      </c>
      <c r="D135" s="275" t="s">
        <v>438</v>
      </c>
      <c r="E135" s="275"/>
      <c r="F135" s="275"/>
      <c r="G135" s="275"/>
      <c r="H135" s="275"/>
      <c r="I135" s="275"/>
      <c r="J135" s="275"/>
    </row>
    <row r="136" spans="1:10">
      <c r="A136" s="273"/>
      <c r="B136" s="274"/>
      <c r="C136" s="278"/>
      <c r="D136" s="275">
        <v>-3.49729</v>
      </c>
      <c r="E136" s="275"/>
      <c r="F136" s="275"/>
      <c r="G136" s="275"/>
      <c r="H136" s="275"/>
      <c r="I136" s="275"/>
      <c r="J136" s="275"/>
    </row>
    <row r="137" spans="1:10">
      <c r="A137" s="273"/>
      <c r="B137" s="274"/>
      <c r="C137" s="278"/>
      <c r="D137" s="275"/>
      <c r="E137" s="275"/>
      <c r="F137" s="275"/>
      <c r="G137" s="275"/>
      <c r="H137" s="275"/>
      <c r="I137" s="275"/>
      <c r="J137" s="275"/>
    </row>
    <row r="138" spans="1:10">
      <c r="A138" s="273">
        <v>45</v>
      </c>
      <c r="B138" s="274">
        <v>17</v>
      </c>
      <c r="C138" s="278" t="s">
        <v>39</v>
      </c>
      <c r="D138" s="275" t="s">
        <v>438</v>
      </c>
      <c r="E138" s="275"/>
      <c r="F138" s="275"/>
      <c r="G138" s="275"/>
      <c r="H138" s="275"/>
      <c r="I138" s="275"/>
      <c r="J138" s="275"/>
    </row>
    <row r="139" spans="1:10">
      <c r="A139" s="273"/>
      <c r="B139" s="274"/>
      <c r="C139" s="278"/>
      <c r="D139" s="275">
        <v>-4.1802700000000002</v>
      </c>
      <c r="E139" s="275"/>
      <c r="F139" s="275"/>
      <c r="G139" s="275"/>
      <c r="H139" s="275"/>
      <c r="I139" s="275"/>
      <c r="J139" s="275"/>
    </row>
    <row r="140" spans="1:10">
      <c r="A140" s="273"/>
      <c r="B140" s="274"/>
      <c r="C140" s="278"/>
      <c r="D140" s="275"/>
      <c r="E140" s="275"/>
      <c r="F140" s="275"/>
      <c r="G140" s="275"/>
      <c r="H140" s="275"/>
      <c r="I140" s="275"/>
      <c r="J140" s="275"/>
    </row>
    <row r="141" spans="1:10">
      <c r="A141" s="273">
        <v>46</v>
      </c>
      <c r="B141" s="274">
        <v>17</v>
      </c>
      <c r="C141" s="278" t="s">
        <v>40</v>
      </c>
      <c r="D141" s="275" t="s">
        <v>435</v>
      </c>
      <c r="E141" s="275" t="s">
        <v>436</v>
      </c>
      <c r="F141" s="275" t="s">
        <v>437</v>
      </c>
      <c r="G141" s="275"/>
      <c r="H141" s="275"/>
      <c r="I141" s="275"/>
      <c r="J141" s="275"/>
    </row>
    <row r="142" spans="1:10">
      <c r="A142" s="273"/>
      <c r="B142" s="274"/>
      <c r="C142" s="278"/>
      <c r="D142" s="275">
        <v>-15.44117</v>
      </c>
      <c r="E142" s="275">
        <v>-12.924720000000001</v>
      </c>
      <c r="F142" s="275">
        <v>-12.85796</v>
      </c>
      <c r="G142" s="275"/>
      <c r="H142" s="275"/>
      <c r="I142" s="275"/>
      <c r="J142" s="275"/>
    </row>
    <row r="143" spans="1:10">
      <c r="A143" s="273"/>
      <c r="B143" s="274"/>
      <c r="C143" s="278"/>
      <c r="D143" s="275"/>
      <c r="E143" s="275"/>
      <c r="F143" s="275"/>
      <c r="G143" s="275"/>
      <c r="H143" s="275"/>
      <c r="I143" s="275"/>
      <c r="J143" s="275"/>
    </row>
    <row r="144" spans="1:10">
      <c r="A144" s="273">
        <v>47</v>
      </c>
      <c r="B144" s="274">
        <v>17</v>
      </c>
      <c r="C144" s="278" t="s">
        <v>332</v>
      </c>
      <c r="D144" s="275" t="s">
        <v>438</v>
      </c>
      <c r="E144" s="275" t="s">
        <v>439</v>
      </c>
      <c r="F144" s="275" t="s">
        <v>440</v>
      </c>
      <c r="G144" s="275"/>
      <c r="H144" s="275"/>
      <c r="I144" s="275"/>
      <c r="J144" s="275"/>
    </row>
    <row r="145" spans="1:10">
      <c r="A145" s="273"/>
      <c r="B145" s="274"/>
      <c r="C145" s="278"/>
      <c r="D145" s="275">
        <v>-0.73982999999999999</v>
      </c>
      <c r="E145" s="275">
        <v>-0.15321000000000001</v>
      </c>
      <c r="F145" s="275">
        <v>-0.14799000000000001</v>
      </c>
      <c r="G145" s="275"/>
      <c r="H145" s="275"/>
      <c r="I145" s="275"/>
      <c r="J145" s="275"/>
    </row>
    <row r="146" spans="1:10">
      <c r="A146" s="273"/>
      <c r="B146" s="274"/>
      <c r="C146" s="278"/>
      <c r="D146" s="275"/>
      <c r="E146" s="275"/>
      <c r="F146" s="275"/>
      <c r="G146" s="275"/>
      <c r="H146" s="275"/>
      <c r="I146" s="275"/>
      <c r="J146" s="275"/>
    </row>
    <row r="147" spans="1:10">
      <c r="A147" s="273">
        <v>48</v>
      </c>
      <c r="B147" s="274">
        <v>19</v>
      </c>
      <c r="C147" s="278" t="s">
        <v>41</v>
      </c>
      <c r="D147" s="275" t="s">
        <v>438</v>
      </c>
      <c r="E147" s="275" t="s">
        <v>439</v>
      </c>
      <c r="F147" s="275" t="s">
        <v>440</v>
      </c>
      <c r="G147" s="275"/>
      <c r="H147" s="275"/>
      <c r="I147" s="275"/>
      <c r="J147" s="275"/>
    </row>
    <row r="148" spans="1:10">
      <c r="A148" s="273"/>
      <c r="B148" s="274"/>
      <c r="C148" s="278"/>
      <c r="D148" s="275">
        <v>-1.9771099999999999</v>
      </c>
      <c r="E148" s="275">
        <v>-1.1774500000000001</v>
      </c>
      <c r="F148" s="275">
        <v>-1.1664300000000001</v>
      </c>
      <c r="G148" s="275"/>
      <c r="H148" s="275"/>
      <c r="I148" s="275"/>
      <c r="J148" s="275"/>
    </row>
    <row r="149" spans="1:10">
      <c r="A149" s="273"/>
      <c r="B149" s="274"/>
      <c r="C149" s="278"/>
      <c r="D149" s="275"/>
      <c r="E149" s="275"/>
      <c r="F149" s="275"/>
      <c r="G149" s="275"/>
      <c r="H149" s="275"/>
      <c r="I149" s="275"/>
      <c r="J149" s="275"/>
    </row>
    <row r="150" spans="1:10">
      <c r="A150" s="273">
        <v>49</v>
      </c>
      <c r="B150" s="274">
        <v>20</v>
      </c>
      <c r="C150" s="278" t="s">
        <v>333</v>
      </c>
      <c r="D150" s="275" t="s">
        <v>438</v>
      </c>
      <c r="E150" s="275" t="s">
        <v>439</v>
      </c>
      <c r="F150" s="275" t="s">
        <v>440</v>
      </c>
      <c r="G150" s="275"/>
      <c r="H150" s="275"/>
      <c r="I150" s="275"/>
      <c r="J150" s="275"/>
    </row>
    <row r="151" spans="1:10">
      <c r="A151" s="273"/>
      <c r="B151" s="274"/>
      <c r="C151" s="278"/>
      <c r="D151" s="275">
        <v>-2.7967599999999999</v>
      </c>
      <c r="E151" s="275">
        <v>-1.88737</v>
      </c>
      <c r="F151" s="275">
        <v>-1.8718300000000001</v>
      </c>
      <c r="G151" s="275"/>
      <c r="H151" s="275"/>
      <c r="I151" s="275"/>
      <c r="J151" s="275"/>
    </row>
    <row r="152" spans="1:10">
      <c r="A152" s="273"/>
      <c r="B152" s="274"/>
      <c r="C152" s="278"/>
      <c r="D152" s="275"/>
      <c r="E152" s="275"/>
      <c r="F152" s="275"/>
      <c r="G152" s="275"/>
      <c r="H152" s="275"/>
      <c r="I152" s="275"/>
      <c r="J152" s="275"/>
    </row>
    <row r="153" spans="1:10">
      <c r="A153" s="273">
        <v>50</v>
      </c>
      <c r="B153" s="274">
        <v>21</v>
      </c>
      <c r="C153" s="278" t="s">
        <v>42</v>
      </c>
      <c r="D153" s="275" t="s">
        <v>441</v>
      </c>
      <c r="E153" s="275" t="s">
        <v>442</v>
      </c>
      <c r="F153" s="275" t="s">
        <v>443</v>
      </c>
      <c r="G153" s="275"/>
      <c r="H153" s="275"/>
      <c r="I153" s="275"/>
      <c r="J153" s="275"/>
    </row>
    <row r="154" spans="1:10">
      <c r="A154" s="273"/>
      <c r="B154" s="274"/>
      <c r="C154" s="278"/>
      <c r="D154" s="275">
        <v>-0.59119999999999995</v>
      </c>
      <c r="E154" s="275">
        <v>-0.59036999999999995</v>
      </c>
      <c r="F154" s="275">
        <v>-0.44577</v>
      </c>
      <c r="G154" s="275"/>
      <c r="H154" s="275"/>
      <c r="I154" s="275"/>
      <c r="J154" s="275"/>
    </row>
    <row r="155" spans="1:10">
      <c r="A155" s="273"/>
      <c r="B155" s="274"/>
      <c r="C155" s="278"/>
      <c r="D155" s="275"/>
      <c r="E155" s="275"/>
      <c r="F155" s="275"/>
      <c r="G155" s="275"/>
      <c r="H155" s="275"/>
      <c r="I155" s="275"/>
      <c r="J155" s="275"/>
    </row>
    <row r="156" spans="1:10">
      <c r="A156" s="273">
        <v>51</v>
      </c>
      <c r="B156" s="274">
        <v>21</v>
      </c>
      <c r="C156" s="278" t="s">
        <v>43</v>
      </c>
      <c r="D156" s="275" t="s">
        <v>441</v>
      </c>
      <c r="E156" s="275" t="s">
        <v>442</v>
      </c>
      <c r="F156" s="275"/>
      <c r="G156" s="275"/>
      <c r="H156" s="275"/>
      <c r="I156" s="275"/>
      <c r="J156" s="275"/>
    </row>
    <row r="157" spans="1:10">
      <c r="A157" s="273"/>
      <c r="B157" s="274"/>
      <c r="C157" s="278"/>
      <c r="D157" s="275">
        <v>-0.89917000000000002</v>
      </c>
      <c r="E157" s="275">
        <v>-0.89825999999999995</v>
      </c>
      <c r="F157" s="275"/>
      <c r="G157" s="275"/>
      <c r="H157" s="275"/>
      <c r="I157" s="275"/>
      <c r="J157" s="275"/>
    </row>
    <row r="158" spans="1:10">
      <c r="A158" s="273"/>
      <c r="B158" s="274"/>
      <c r="C158" s="278"/>
      <c r="D158" s="275"/>
      <c r="E158" s="275"/>
      <c r="F158" s="275"/>
      <c r="G158" s="275"/>
      <c r="H158" s="275"/>
      <c r="I158" s="275"/>
      <c r="J158" s="275"/>
    </row>
    <row r="159" spans="1:10">
      <c r="A159" s="273">
        <v>52</v>
      </c>
      <c r="B159" s="274">
        <v>21</v>
      </c>
      <c r="C159" s="278" t="s">
        <v>44</v>
      </c>
      <c r="D159" s="275" t="s">
        <v>438</v>
      </c>
      <c r="E159" s="275" t="s">
        <v>439</v>
      </c>
      <c r="F159" s="275" t="s">
        <v>440</v>
      </c>
      <c r="G159" s="275"/>
      <c r="H159" s="275"/>
      <c r="I159" s="275"/>
      <c r="J159" s="275"/>
    </row>
    <row r="160" spans="1:10">
      <c r="A160" s="273"/>
      <c r="B160" s="274"/>
      <c r="C160" s="278"/>
      <c r="D160" s="275">
        <v>-3.7397</v>
      </c>
      <c r="E160" s="275">
        <v>-2.72</v>
      </c>
      <c r="F160" s="275">
        <v>-2.6987199999999998</v>
      </c>
      <c r="G160" s="275"/>
      <c r="H160" s="275"/>
      <c r="I160" s="275"/>
      <c r="J160" s="275"/>
    </row>
    <row r="161" spans="1:10">
      <c r="A161" s="273"/>
      <c r="B161" s="274"/>
      <c r="C161" s="278"/>
      <c r="D161" s="275"/>
      <c r="E161" s="275"/>
      <c r="F161" s="275"/>
      <c r="G161" s="275"/>
      <c r="H161" s="275"/>
      <c r="I161" s="275"/>
      <c r="J161" s="275"/>
    </row>
    <row r="162" spans="1:10">
      <c r="A162" s="273">
        <v>53</v>
      </c>
      <c r="B162" s="274">
        <v>22</v>
      </c>
      <c r="C162" s="278" t="s">
        <v>334</v>
      </c>
      <c r="D162" s="275" t="s">
        <v>441</v>
      </c>
      <c r="E162" s="275" t="s">
        <v>442</v>
      </c>
      <c r="F162" s="275"/>
      <c r="G162" s="275"/>
      <c r="H162" s="275"/>
      <c r="I162" s="275"/>
      <c r="J162" s="275"/>
    </row>
    <row r="163" spans="1:10">
      <c r="A163" s="273"/>
      <c r="B163" s="274"/>
      <c r="C163" s="278"/>
      <c r="D163" s="275">
        <v>-0.98241000000000001</v>
      </c>
      <c r="E163" s="275">
        <v>-0.98090999999999995</v>
      </c>
      <c r="F163" s="275"/>
      <c r="G163" s="275"/>
      <c r="H163" s="275"/>
      <c r="I163" s="275"/>
      <c r="J163" s="275"/>
    </row>
    <row r="164" spans="1:10">
      <c r="A164" s="273"/>
      <c r="B164" s="274"/>
      <c r="C164" s="278"/>
      <c r="D164" s="275"/>
      <c r="E164" s="275"/>
      <c r="F164" s="275"/>
      <c r="G164" s="275"/>
      <c r="H164" s="275"/>
      <c r="I164" s="275"/>
      <c r="J164" s="275"/>
    </row>
    <row r="165" spans="1:10">
      <c r="A165" s="273">
        <v>54</v>
      </c>
      <c r="B165" s="274">
        <v>22</v>
      </c>
      <c r="C165" s="278" t="s">
        <v>45</v>
      </c>
      <c r="D165" s="275" t="s">
        <v>441</v>
      </c>
      <c r="E165" s="275" t="s">
        <v>442</v>
      </c>
      <c r="F165" s="275"/>
      <c r="G165" s="275"/>
      <c r="H165" s="275"/>
      <c r="I165" s="275"/>
      <c r="J165" s="275"/>
    </row>
    <row r="166" spans="1:10">
      <c r="A166" s="273"/>
      <c r="B166" s="274"/>
      <c r="C166" s="278"/>
      <c r="D166" s="275">
        <v>-1.5858000000000001</v>
      </c>
      <c r="E166" s="275">
        <v>-1.5839399999999999</v>
      </c>
      <c r="F166" s="275"/>
      <c r="G166" s="275"/>
      <c r="H166" s="275"/>
      <c r="I166" s="275"/>
      <c r="J166" s="275"/>
    </row>
    <row r="167" spans="1:10">
      <c r="A167" s="273"/>
      <c r="B167" s="274"/>
      <c r="C167" s="278"/>
      <c r="D167" s="275"/>
      <c r="E167" s="275"/>
      <c r="F167" s="275"/>
      <c r="G167" s="275"/>
      <c r="H167" s="275"/>
      <c r="I167" s="275"/>
      <c r="J167" s="275"/>
    </row>
    <row r="168" spans="1:10">
      <c r="A168" s="273">
        <v>55</v>
      </c>
      <c r="B168" s="274">
        <v>22</v>
      </c>
      <c r="C168" s="278" t="s">
        <v>46</v>
      </c>
      <c r="D168" s="275" t="s">
        <v>438</v>
      </c>
      <c r="E168" s="275" t="s">
        <v>439</v>
      </c>
      <c r="F168" s="275" t="s">
        <v>440</v>
      </c>
      <c r="G168" s="275"/>
      <c r="H168" s="275"/>
      <c r="I168" s="275"/>
      <c r="J168" s="275"/>
    </row>
    <row r="169" spans="1:10">
      <c r="A169" s="273"/>
      <c r="B169" s="274"/>
      <c r="C169" s="278"/>
      <c r="D169" s="275">
        <v>-4.8029200000000003</v>
      </c>
      <c r="E169" s="275">
        <v>-3.67259</v>
      </c>
      <c r="F169" s="275">
        <v>-3.6441699999999999</v>
      </c>
      <c r="G169" s="275"/>
      <c r="H169" s="275"/>
      <c r="I169" s="275"/>
      <c r="J169" s="275"/>
    </row>
    <row r="170" spans="1:10">
      <c r="A170" s="273"/>
      <c r="B170" s="274"/>
      <c r="C170" s="278"/>
      <c r="D170" s="275"/>
      <c r="E170" s="275"/>
      <c r="F170" s="275"/>
      <c r="G170" s="275"/>
      <c r="H170" s="275"/>
      <c r="I170" s="275"/>
      <c r="J170" s="275"/>
    </row>
    <row r="171" spans="1:10">
      <c r="A171" s="273">
        <v>56</v>
      </c>
      <c r="B171" s="274">
        <v>23</v>
      </c>
      <c r="C171" s="278" t="s">
        <v>47</v>
      </c>
      <c r="D171" s="275" t="s">
        <v>441</v>
      </c>
      <c r="E171" s="275" t="s">
        <v>442</v>
      </c>
      <c r="F171" s="275"/>
      <c r="G171" s="275"/>
      <c r="H171" s="275"/>
      <c r="I171" s="275"/>
      <c r="J171" s="275"/>
    </row>
    <row r="172" spans="1:10">
      <c r="A172" s="273"/>
      <c r="B172" s="274"/>
      <c r="C172" s="278"/>
      <c r="D172" s="275">
        <v>-0.54093000000000002</v>
      </c>
      <c r="E172" s="275">
        <v>-0.53893999999999997</v>
      </c>
      <c r="F172" s="275"/>
      <c r="G172" s="275"/>
      <c r="H172" s="275"/>
      <c r="I172" s="275"/>
      <c r="J172" s="275"/>
    </row>
    <row r="173" spans="1:10">
      <c r="A173" s="273"/>
      <c r="B173" s="274"/>
      <c r="C173" s="278"/>
      <c r="D173" s="275"/>
      <c r="E173" s="275"/>
      <c r="F173" s="275"/>
      <c r="G173" s="275"/>
      <c r="H173" s="275"/>
      <c r="I173" s="275"/>
      <c r="J173" s="275"/>
    </row>
    <row r="174" spans="1:10">
      <c r="A174" s="273">
        <v>57</v>
      </c>
      <c r="B174" s="274">
        <v>23</v>
      </c>
      <c r="C174" s="278" t="s">
        <v>48</v>
      </c>
      <c r="D174" s="275" t="s">
        <v>441</v>
      </c>
      <c r="E174" s="275" t="s">
        <v>442</v>
      </c>
      <c r="F174" s="275"/>
      <c r="G174" s="275"/>
      <c r="H174" s="275"/>
      <c r="I174" s="275"/>
      <c r="J174" s="275"/>
    </row>
    <row r="175" spans="1:10">
      <c r="A175" s="273"/>
      <c r="B175" s="274"/>
      <c r="C175" s="278"/>
      <c r="D175" s="275">
        <v>-1.05985</v>
      </c>
      <c r="E175" s="275">
        <v>-1.0575699999999999</v>
      </c>
      <c r="F175" s="275"/>
      <c r="G175" s="275"/>
      <c r="H175" s="275"/>
      <c r="I175" s="275"/>
      <c r="J175" s="275"/>
    </row>
    <row r="176" spans="1:10">
      <c r="A176" s="273"/>
      <c r="B176" s="274"/>
      <c r="C176" s="278"/>
      <c r="D176" s="275"/>
      <c r="E176" s="275"/>
      <c r="F176" s="275"/>
      <c r="G176" s="275"/>
      <c r="H176" s="275"/>
      <c r="I176" s="275"/>
      <c r="J176" s="275"/>
    </row>
    <row r="177" spans="1:10">
      <c r="A177" s="273">
        <v>58</v>
      </c>
      <c r="B177" s="274">
        <v>23</v>
      </c>
      <c r="C177" s="278" t="s">
        <v>49</v>
      </c>
      <c r="D177" s="275" t="s">
        <v>441</v>
      </c>
      <c r="E177" s="275" t="s">
        <v>442</v>
      </c>
      <c r="F177" s="275"/>
      <c r="G177" s="275"/>
      <c r="H177" s="275"/>
      <c r="I177" s="275"/>
      <c r="J177" s="275"/>
    </row>
    <row r="178" spans="1:10">
      <c r="A178" s="273"/>
      <c r="B178" s="274"/>
      <c r="C178" s="278"/>
      <c r="D178" s="275">
        <v>-1.6858200000000001</v>
      </c>
      <c r="E178" s="275">
        <v>-1.6831700000000001</v>
      </c>
      <c r="F178" s="275"/>
      <c r="G178" s="275"/>
      <c r="H178" s="275"/>
      <c r="I178" s="275"/>
      <c r="J178" s="275"/>
    </row>
    <row r="179" spans="1:10">
      <c r="A179" s="273"/>
      <c r="B179" s="274"/>
      <c r="C179" s="278"/>
      <c r="D179" s="275"/>
      <c r="E179" s="275"/>
      <c r="F179" s="275"/>
      <c r="G179" s="275"/>
      <c r="H179" s="275"/>
      <c r="I179" s="275"/>
      <c r="J179" s="275"/>
    </row>
    <row r="180" spans="1:10">
      <c r="A180" s="273">
        <v>59</v>
      </c>
      <c r="B180" s="274">
        <v>23</v>
      </c>
      <c r="C180" s="278" t="s">
        <v>50</v>
      </c>
      <c r="D180" s="275" t="s">
        <v>441</v>
      </c>
      <c r="E180" s="275" t="s">
        <v>442</v>
      </c>
      <c r="F180" s="275"/>
      <c r="G180" s="275"/>
      <c r="H180" s="275"/>
      <c r="I180" s="275"/>
      <c r="J180" s="275"/>
    </row>
    <row r="181" spans="1:10">
      <c r="A181" s="273"/>
      <c r="B181" s="274"/>
      <c r="C181" s="278"/>
      <c r="D181" s="275">
        <v>-2.3992499999999999</v>
      </c>
      <c r="E181" s="275">
        <v>-2.3961700000000001</v>
      </c>
      <c r="F181" s="275"/>
      <c r="G181" s="275"/>
      <c r="H181" s="275"/>
      <c r="I181" s="275"/>
      <c r="J181" s="275"/>
    </row>
    <row r="182" spans="1:10">
      <c r="A182" s="273"/>
      <c r="B182" s="274"/>
      <c r="C182" s="278"/>
      <c r="D182" s="275"/>
      <c r="E182" s="275"/>
      <c r="F182" s="275"/>
      <c r="G182" s="275"/>
      <c r="H182" s="275"/>
      <c r="I182" s="275"/>
      <c r="J182" s="275"/>
    </row>
    <row r="183" spans="1:10">
      <c r="A183" s="273">
        <v>60</v>
      </c>
      <c r="B183" s="274">
        <v>23</v>
      </c>
      <c r="C183" s="278" t="s">
        <v>51</v>
      </c>
      <c r="D183" s="275" t="s">
        <v>438</v>
      </c>
      <c r="E183" s="275" t="s">
        <v>439</v>
      </c>
      <c r="F183" s="275" t="s">
        <v>440</v>
      </c>
      <c r="G183" s="275"/>
      <c r="H183" s="275"/>
      <c r="I183" s="275"/>
      <c r="J183" s="275"/>
    </row>
    <row r="184" spans="1:10">
      <c r="A184" s="273"/>
      <c r="B184" s="274"/>
      <c r="C184" s="278"/>
      <c r="D184" s="275">
        <v>-5.9847200000000003</v>
      </c>
      <c r="E184" s="275">
        <v>-4.7435</v>
      </c>
      <c r="F184" s="275">
        <v>-4.7063499999999996</v>
      </c>
      <c r="G184" s="275"/>
      <c r="H184" s="275"/>
      <c r="I184" s="275"/>
      <c r="J184" s="275"/>
    </row>
    <row r="185" spans="1:10">
      <c r="A185" s="273"/>
      <c r="B185" s="274"/>
      <c r="C185" s="278"/>
      <c r="D185" s="275"/>
      <c r="E185" s="275"/>
      <c r="F185" s="275"/>
      <c r="G185" s="275"/>
      <c r="H185" s="275"/>
      <c r="I185" s="275"/>
      <c r="J185" s="275"/>
    </row>
    <row r="186" spans="1:10">
      <c r="A186" s="273">
        <v>61</v>
      </c>
      <c r="B186" s="274">
        <v>24</v>
      </c>
      <c r="C186" s="278" t="s">
        <v>52</v>
      </c>
      <c r="D186" s="275" t="s">
        <v>441</v>
      </c>
      <c r="E186" s="275" t="s">
        <v>442</v>
      </c>
      <c r="F186" s="275"/>
      <c r="G186" s="275"/>
      <c r="H186" s="275"/>
      <c r="I186" s="275"/>
      <c r="J186" s="275"/>
    </row>
    <row r="187" spans="1:10">
      <c r="A187" s="273"/>
      <c r="B187" s="274"/>
      <c r="C187" s="278"/>
      <c r="D187" s="275">
        <v>-0.59045999999999998</v>
      </c>
      <c r="E187" s="275">
        <v>-0.58745000000000003</v>
      </c>
      <c r="F187" s="275"/>
      <c r="G187" s="275"/>
      <c r="H187" s="275"/>
      <c r="I187" s="275"/>
      <c r="J187" s="275"/>
    </row>
    <row r="188" spans="1:10">
      <c r="A188" s="273"/>
      <c r="B188" s="274"/>
      <c r="C188" s="278"/>
      <c r="D188" s="275"/>
      <c r="E188" s="275"/>
      <c r="F188" s="275"/>
      <c r="G188" s="275"/>
      <c r="H188" s="275"/>
      <c r="I188" s="275"/>
      <c r="J188" s="275"/>
    </row>
    <row r="189" spans="1:10">
      <c r="A189" s="273">
        <v>62</v>
      </c>
      <c r="B189" s="274">
        <v>24</v>
      </c>
      <c r="C189" s="278" t="s">
        <v>53</v>
      </c>
      <c r="D189" s="275" t="s">
        <v>441</v>
      </c>
      <c r="E189" s="275" t="s">
        <v>442</v>
      </c>
      <c r="F189" s="275"/>
      <c r="G189" s="275"/>
      <c r="H189" s="275"/>
      <c r="I189" s="275"/>
      <c r="J189" s="275"/>
    </row>
    <row r="190" spans="1:10">
      <c r="A190" s="273"/>
      <c r="B190" s="274"/>
      <c r="C190" s="278"/>
      <c r="D190" s="275">
        <v>-1.13327</v>
      </c>
      <c r="E190" s="275">
        <v>-1.13001</v>
      </c>
      <c r="F190" s="275"/>
      <c r="G190" s="275"/>
      <c r="H190" s="275"/>
      <c r="I190" s="275"/>
      <c r="J190" s="275"/>
    </row>
    <row r="191" spans="1:10">
      <c r="A191" s="273"/>
      <c r="B191" s="274"/>
      <c r="C191" s="278"/>
      <c r="D191" s="275"/>
      <c r="E191" s="275"/>
      <c r="F191" s="275"/>
      <c r="G191" s="275"/>
      <c r="H191" s="275"/>
      <c r="I191" s="275"/>
      <c r="J191" s="275"/>
    </row>
    <row r="192" spans="1:10">
      <c r="A192" s="273">
        <v>63</v>
      </c>
      <c r="B192" s="274">
        <v>24</v>
      </c>
      <c r="C192" s="278" t="s">
        <v>54</v>
      </c>
      <c r="D192" s="275" t="s">
        <v>441</v>
      </c>
      <c r="E192" s="275" t="s">
        <v>442</v>
      </c>
      <c r="F192" s="275"/>
      <c r="G192" s="275"/>
      <c r="H192" s="275"/>
      <c r="I192" s="275"/>
      <c r="J192" s="275"/>
    </row>
    <row r="193" spans="1:10">
      <c r="A193" s="273"/>
      <c r="B193" s="274"/>
      <c r="C193" s="278"/>
      <c r="D193" s="275">
        <v>-1.7822899999999999</v>
      </c>
      <c r="E193" s="275">
        <v>-1.7786299999999999</v>
      </c>
      <c r="F193" s="275"/>
      <c r="G193" s="275"/>
      <c r="H193" s="275"/>
      <c r="I193" s="275"/>
      <c r="J193" s="275"/>
    </row>
    <row r="194" spans="1:10">
      <c r="A194" s="273"/>
      <c r="B194" s="274"/>
      <c r="C194" s="278"/>
      <c r="D194" s="275"/>
      <c r="E194" s="275"/>
      <c r="F194" s="275"/>
      <c r="G194" s="275"/>
      <c r="H194" s="275"/>
      <c r="I194" s="275"/>
      <c r="J194" s="275"/>
    </row>
    <row r="195" spans="1:10">
      <c r="A195" s="273">
        <v>64</v>
      </c>
      <c r="B195" s="274">
        <v>24</v>
      </c>
      <c r="C195" s="278" t="s">
        <v>55</v>
      </c>
      <c r="D195" s="275" t="s">
        <v>441</v>
      </c>
      <c r="E195" s="275" t="s">
        <v>442</v>
      </c>
      <c r="F195" s="275"/>
      <c r="G195" s="275"/>
      <c r="H195" s="275"/>
      <c r="I195" s="275"/>
      <c r="J195" s="275"/>
    </row>
    <row r="196" spans="1:10">
      <c r="A196" s="273"/>
      <c r="B196" s="274"/>
      <c r="C196" s="278"/>
      <c r="D196" s="275">
        <v>-2.51925</v>
      </c>
      <c r="E196" s="275">
        <v>-2.51512</v>
      </c>
      <c r="F196" s="275"/>
      <c r="G196" s="275"/>
      <c r="H196" s="275"/>
      <c r="I196" s="275"/>
      <c r="J196" s="275"/>
    </row>
    <row r="197" spans="1:10">
      <c r="A197" s="273"/>
      <c r="B197" s="274"/>
      <c r="C197" s="278"/>
      <c r="D197" s="275"/>
      <c r="E197" s="275"/>
      <c r="F197" s="275"/>
      <c r="G197" s="275"/>
      <c r="H197" s="275"/>
      <c r="I197" s="275"/>
      <c r="J197" s="275"/>
    </row>
    <row r="198" spans="1:10">
      <c r="A198" s="273">
        <v>65</v>
      </c>
      <c r="B198" s="274">
        <v>24</v>
      </c>
      <c r="C198" s="278" t="s">
        <v>56</v>
      </c>
      <c r="D198" s="275" t="s">
        <v>441</v>
      </c>
      <c r="E198" s="275" t="s">
        <v>442</v>
      </c>
      <c r="F198" s="275"/>
      <c r="G198" s="275"/>
      <c r="H198" s="275"/>
      <c r="I198" s="275"/>
      <c r="J198" s="275"/>
    </row>
    <row r="199" spans="1:10">
      <c r="A199" s="273"/>
      <c r="B199" s="274"/>
      <c r="C199" s="278"/>
      <c r="D199" s="275">
        <v>-3.33432</v>
      </c>
      <c r="E199" s="275">
        <v>-3.3296899999999998</v>
      </c>
      <c r="F199" s="275"/>
      <c r="G199" s="275"/>
      <c r="H199" s="275"/>
      <c r="I199" s="275"/>
      <c r="J199" s="275"/>
    </row>
    <row r="200" spans="1:10">
      <c r="A200" s="273"/>
      <c r="B200" s="274"/>
      <c r="C200" s="278"/>
      <c r="D200" s="275"/>
      <c r="E200" s="275"/>
      <c r="F200" s="275"/>
      <c r="G200" s="275"/>
      <c r="H200" s="275"/>
      <c r="I200" s="275"/>
      <c r="J200" s="275"/>
    </row>
    <row r="201" spans="1:10">
      <c r="A201" s="273">
        <v>66</v>
      </c>
      <c r="B201" s="274">
        <v>24</v>
      </c>
      <c r="C201" s="278" t="s">
        <v>57</v>
      </c>
      <c r="D201" s="275" t="s">
        <v>438</v>
      </c>
      <c r="E201" s="275" t="s">
        <v>439</v>
      </c>
      <c r="F201" s="275" t="s">
        <v>440</v>
      </c>
      <c r="G201" s="275"/>
      <c r="H201" s="275"/>
      <c r="I201" s="275"/>
      <c r="J201" s="275"/>
    </row>
    <row r="202" spans="1:10">
      <c r="A202" s="273"/>
      <c r="B202" s="274"/>
      <c r="C202" s="278"/>
      <c r="D202" s="275">
        <v>-7.2840800000000003</v>
      </c>
      <c r="E202" s="275">
        <v>-5.9317299999999999</v>
      </c>
      <c r="F202" s="275">
        <v>-5.8840500000000002</v>
      </c>
      <c r="G202" s="275"/>
      <c r="H202" s="275"/>
      <c r="I202" s="275"/>
      <c r="J202" s="275"/>
    </row>
    <row r="203" spans="1:10">
      <c r="A203" s="273"/>
      <c r="B203" s="274"/>
      <c r="C203" s="278"/>
      <c r="D203" s="275"/>
      <c r="E203" s="275"/>
      <c r="F203" s="275"/>
      <c r="G203" s="275"/>
      <c r="H203" s="275"/>
      <c r="I203" s="275"/>
      <c r="J203" s="275"/>
    </row>
    <row r="204" spans="1:10">
      <c r="A204" s="273">
        <v>67</v>
      </c>
      <c r="B204" s="274">
        <v>25</v>
      </c>
      <c r="C204" s="278" t="s">
        <v>58</v>
      </c>
      <c r="D204" s="275" t="s">
        <v>441</v>
      </c>
      <c r="E204" s="275" t="s">
        <v>442</v>
      </c>
      <c r="F204" s="275" t="s">
        <v>443</v>
      </c>
      <c r="G204" s="275"/>
      <c r="H204" s="275"/>
      <c r="I204" s="275"/>
      <c r="J204" s="275"/>
    </row>
    <row r="205" spans="1:10">
      <c r="A205" s="273"/>
      <c r="B205" s="274"/>
      <c r="C205" s="278"/>
      <c r="D205" s="275">
        <v>-0.84845000000000004</v>
      </c>
      <c r="E205" s="275">
        <v>-0.84399000000000002</v>
      </c>
      <c r="F205" s="275">
        <v>-0.53220999999999996</v>
      </c>
      <c r="G205" s="275"/>
      <c r="H205" s="275"/>
      <c r="I205" s="275"/>
      <c r="J205" s="275"/>
    </row>
    <row r="206" spans="1:10">
      <c r="A206" s="273"/>
      <c r="B206" s="274"/>
      <c r="C206" s="278"/>
      <c r="D206" s="275"/>
      <c r="E206" s="275"/>
      <c r="F206" s="275"/>
      <c r="G206" s="275"/>
      <c r="H206" s="275"/>
      <c r="I206" s="275"/>
      <c r="J206" s="275"/>
    </row>
    <row r="207" spans="1:10">
      <c r="A207" s="273">
        <v>68</v>
      </c>
      <c r="B207" s="274">
        <v>25</v>
      </c>
      <c r="C207" s="278" t="s">
        <v>59</v>
      </c>
      <c r="D207" s="275" t="s">
        <v>441</v>
      </c>
      <c r="E207" s="275" t="s">
        <v>442</v>
      </c>
      <c r="F207" s="275"/>
      <c r="G207" s="275"/>
      <c r="H207" s="275"/>
      <c r="I207" s="275"/>
      <c r="J207" s="275"/>
    </row>
    <row r="208" spans="1:10">
      <c r="A208" s="273"/>
      <c r="B208" s="274"/>
      <c r="C208" s="278"/>
      <c r="D208" s="275">
        <v>-1.20377</v>
      </c>
      <c r="E208" s="275">
        <v>-1.19926</v>
      </c>
      <c r="F208" s="275"/>
      <c r="G208" s="275"/>
      <c r="H208" s="275"/>
      <c r="I208" s="275"/>
      <c r="J208" s="275"/>
    </row>
    <row r="209" spans="1:10">
      <c r="A209" s="273"/>
      <c r="B209" s="274"/>
      <c r="C209" s="278"/>
      <c r="D209" s="275"/>
      <c r="E209" s="275"/>
      <c r="F209" s="275"/>
      <c r="G209" s="275"/>
      <c r="H209" s="275"/>
      <c r="I209" s="275"/>
      <c r="J209" s="275"/>
    </row>
    <row r="210" spans="1:10">
      <c r="A210" s="273">
        <v>69</v>
      </c>
      <c r="B210" s="274">
        <v>25</v>
      </c>
      <c r="C210" s="278" t="s">
        <v>60</v>
      </c>
      <c r="D210" s="275" t="s">
        <v>441</v>
      </c>
      <c r="E210" s="275" t="s">
        <v>442</v>
      </c>
      <c r="F210" s="275"/>
      <c r="G210" s="275"/>
      <c r="H210" s="275"/>
      <c r="I210" s="275"/>
      <c r="J210" s="275"/>
    </row>
    <row r="211" spans="1:10">
      <c r="A211" s="273"/>
      <c r="B211" s="274"/>
      <c r="C211" s="278"/>
      <c r="D211" s="275">
        <v>-1.8759600000000001</v>
      </c>
      <c r="E211" s="275">
        <v>-1.8710500000000001</v>
      </c>
      <c r="F211" s="275"/>
      <c r="G211" s="275"/>
      <c r="H211" s="275"/>
      <c r="I211" s="275"/>
      <c r="J211" s="275"/>
    </row>
    <row r="212" spans="1:10">
      <c r="A212" s="273"/>
      <c r="B212" s="274"/>
      <c r="C212" s="278"/>
      <c r="D212" s="275"/>
      <c r="E212" s="275"/>
      <c r="F212" s="275"/>
      <c r="G212" s="275"/>
      <c r="H212" s="275"/>
      <c r="I212" s="275"/>
      <c r="J212" s="275"/>
    </row>
    <row r="213" spans="1:10">
      <c r="A213" s="273">
        <v>70</v>
      </c>
      <c r="B213" s="274">
        <v>25</v>
      </c>
      <c r="C213" s="278" t="s">
        <v>61</v>
      </c>
      <c r="D213" s="275" t="s">
        <v>441</v>
      </c>
      <c r="E213" s="275" t="s">
        <v>442</v>
      </c>
      <c r="F213" s="275"/>
      <c r="G213" s="275"/>
      <c r="H213" s="275"/>
      <c r="I213" s="275"/>
      <c r="J213" s="275"/>
    </row>
    <row r="214" spans="1:10">
      <c r="A214" s="273"/>
      <c r="B214" s="274"/>
      <c r="C214" s="278"/>
      <c r="D214" s="275">
        <v>-2.6365699999999999</v>
      </c>
      <c r="E214" s="275">
        <v>-2.63117</v>
      </c>
      <c r="F214" s="275"/>
      <c r="G214" s="275"/>
      <c r="H214" s="275"/>
      <c r="I214" s="275"/>
      <c r="J214" s="275"/>
    </row>
    <row r="215" spans="1:10">
      <c r="A215" s="273"/>
      <c r="B215" s="274"/>
      <c r="C215" s="278"/>
      <c r="D215" s="275"/>
      <c r="E215" s="275"/>
      <c r="F215" s="275"/>
      <c r="G215" s="275"/>
      <c r="H215" s="275"/>
      <c r="I215" s="275"/>
      <c r="J215" s="275"/>
    </row>
    <row r="216" spans="1:10">
      <c r="A216" s="273">
        <v>71</v>
      </c>
      <c r="B216" s="274">
        <v>25</v>
      </c>
      <c r="C216" s="278" t="s">
        <v>62</v>
      </c>
      <c r="D216" s="275" t="s">
        <v>441</v>
      </c>
      <c r="E216" s="275" t="s">
        <v>442</v>
      </c>
      <c r="F216" s="275"/>
      <c r="G216" s="275"/>
      <c r="H216" s="275"/>
      <c r="I216" s="275"/>
      <c r="J216" s="275"/>
    </row>
    <row r="217" spans="1:10">
      <c r="A217" s="273"/>
      <c r="B217" s="274"/>
      <c r="C217" s="278"/>
      <c r="D217" s="275">
        <v>-3.47594</v>
      </c>
      <c r="E217" s="275">
        <v>-3.4699800000000001</v>
      </c>
      <c r="F217" s="275"/>
      <c r="G217" s="275"/>
      <c r="H217" s="275"/>
      <c r="I217" s="275"/>
      <c r="J217" s="275"/>
    </row>
    <row r="218" spans="1:10">
      <c r="A218" s="273"/>
      <c r="B218" s="274"/>
      <c r="C218" s="278"/>
      <c r="D218" s="275"/>
      <c r="E218" s="275"/>
      <c r="F218" s="275"/>
      <c r="G218" s="275"/>
      <c r="H218" s="275"/>
      <c r="I218" s="275"/>
      <c r="J218" s="275"/>
    </row>
    <row r="219" spans="1:10">
      <c r="A219" s="273">
        <v>72</v>
      </c>
      <c r="B219" s="274">
        <v>25</v>
      </c>
      <c r="C219" s="278" t="s">
        <v>63</v>
      </c>
      <c r="D219" s="275" t="s">
        <v>441</v>
      </c>
      <c r="E219" s="275" t="s">
        <v>442</v>
      </c>
      <c r="F219" s="275"/>
      <c r="G219" s="275"/>
      <c r="H219" s="275"/>
      <c r="I219" s="275"/>
      <c r="J219" s="275"/>
    </row>
    <row r="220" spans="1:10">
      <c r="A220" s="273"/>
      <c r="B220" s="274"/>
      <c r="C220" s="278"/>
      <c r="D220" s="275">
        <v>-4.38828</v>
      </c>
      <c r="E220" s="275">
        <v>-4.3817000000000004</v>
      </c>
      <c r="F220" s="275"/>
      <c r="G220" s="275"/>
      <c r="H220" s="275"/>
      <c r="I220" s="275"/>
      <c r="J220" s="275"/>
    </row>
    <row r="221" spans="1:10">
      <c r="A221" s="273"/>
      <c r="B221" s="274"/>
      <c r="C221" s="278"/>
      <c r="D221" s="275"/>
      <c r="E221" s="275"/>
      <c r="F221" s="275"/>
      <c r="G221" s="275"/>
      <c r="H221" s="275"/>
      <c r="I221" s="275"/>
      <c r="J221" s="275"/>
    </row>
    <row r="222" spans="1:10">
      <c r="A222" s="273">
        <v>73</v>
      </c>
      <c r="B222" s="274">
        <v>25</v>
      </c>
      <c r="C222" s="278" t="s">
        <v>64</v>
      </c>
      <c r="D222" s="275" t="s">
        <v>438</v>
      </c>
      <c r="E222" s="275" t="s">
        <v>439</v>
      </c>
      <c r="F222" s="275" t="s">
        <v>440</v>
      </c>
      <c r="G222" s="275"/>
      <c r="H222" s="275"/>
      <c r="I222" s="275"/>
      <c r="J222" s="275"/>
    </row>
    <row r="223" spans="1:10">
      <c r="A223" s="273"/>
      <c r="B223" s="274"/>
      <c r="C223" s="278"/>
      <c r="D223" s="275">
        <v>-8.7004300000000008</v>
      </c>
      <c r="E223" s="275">
        <v>-7.2366999999999999</v>
      </c>
      <c r="F223" s="275">
        <v>-7.1764599999999996</v>
      </c>
      <c r="G223" s="275"/>
      <c r="H223" s="275"/>
      <c r="I223" s="275"/>
      <c r="J223" s="275"/>
    </row>
    <row r="224" spans="1:10">
      <c r="A224" s="273"/>
      <c r="B224" s="274"/>
      <c r="C224" s="278"/>
      <c r="D224" s="275"/>
      <c r="E224" s="275"/>
      <c r="F224" s="275"/>
      <c r="G224" s="275"/>
      <c r="H224" s="275"/>
      <c r="I224" s="275"/>
      <c r="J224" s="275"/>
    </row>
    <row r="225" spans="1:10">
      <c r="A225" s="273">
        <v>74</v>
      </c>
      <c r="B225" s="274">
        <v>26</v>
      </c>
      <c r="C225" s="278" t="s">
        <v>65</v>
      </c>
      <c r="D225" s="275" t="s">
        <v>441</v>
      </c>
      <c r="E225" s="275" t="s">
        <v>442</v>
      </c>
      <c r="F225" s="275" t="s">
        <v>443</v>
      </c>
      <c r="G225" s="275"/>
      <c r="H225" s="275"/>
      <c r="I225" s="275"/>
      <c r="J225" s="275"/>
    </row>
    <row r="226" spans="1:10">
      <c r="A226" s="273"/>
      <c r="B226" s="274"/>
      <c r="C226" s="278"/>
      <c r="D226" s="275">
        <v>-0.90481</v>
      </c>
      <c r="E226" s="275">
        <v>-0.89880000000000004</v>
      </c>
      <c r="F226" s="275">
        <v>-0.55123</v>
      </c>
      <c r="G226" s="275"/>
      <c r="H226" s="275"/>
      <c r="I226" s="275"/>
      <c r="J226" s="275"/>
    </row>
    <row r="227" spans="1:10">
      <c r="A227" s="273"/>
      <c r="B227" s="274"/>
      <c r="C227" s="278"/>
      <c r="D227" s="275"/>
      <c r="E227" s="275"/>
      <c r="F227" s="275"/>
      <c r="G227" s="275"/>
      <c r="H227" s="275"/>
      <c r="I227" s="275"/>
      <c r="J227" s="275"/>
    </row>
    <row r="228" spans="1:10">
      <c r="A228" s="273">
        <v>75</v>
      </c>
      <c r="B228" s="274">
        <v>26</v>
      </c>
      <c r="C228" s="278" t="s">
        <v>66</v>
      </c>
      <c r="D228" s="275" t="s">
        <v>441</v>
      </c>
      <c r="E228" s="275" t="s">
        <v>442</v>
      </c>
      <c r="F228" s="275"/>
      <c r="G228" s="275"/>
      <c r="H228" s="275"/>
      <c r="I228" s="275"/>
      <c r="J228" s="275"/>
    </row>
    <row r="229" spans="1:10">
      <c r="A229" s="273"/>
      <c r="B229" s="274"/>
      <c r="C229" s="278"/>
      <c r="D229" s="275">
        <v>-1.27203</v>
      </c>
      <c r="E229" s="275">
        <v>-1.2659899999999999</v>
      </c>
      <c r="F229" s="275"/>
      <c r="G229" s="275"/>
      <c r="H229" s="275"/>
      <c r="I229" s="275"/>
      <c r="J229" s="275"/>
    </row>
    <row r="230" spans="1:10">
      <c r="A230" s="273"/>
      <c r="B230" s="274"/>
      <c r="C230" s="278"/>
      <c r="D230" s="275"/>
      <c r="E230" s="275"/>
      <c r="F230" s="275"/>
      <c r="G230" s="275"/>
      <c r="H230" s="275"/>
      <c r="I230" s="275"/>
      <c r="J230" s="275"/>
    </row>
    <row r="231" spans="1:10">
      <c r="A231" s="273">
        <v>76</v>
      </c>
      <c r="B231" s="274">
        <v>26</v>
      </c>
      <c r="C231" s="278" t="s">
        <v>67</v>
      </c>
      <c r="D231" s="275" t="s">
        <v>441</v>
      </c>
      <c r="E231" s="275" t="s">
        <v>442</v>
      </c>
      <c r="F231" s="275"/>
      <c r="G231" s="275"/>
      <c r="H231" s="275"/>
      <c r="I231" s="275"/>
      <c r="J231" s="275"/>
    </row>
    <row r="232" spans="1:10">
      <c r="A232" s="273"/>
      <c r="B232" s="274"/>
      <c r="C232" s="278"/>
      <c r="D232" s="275">
        <v>-1.96736</v>
      </c>
      <c r="E232" s="275">
        <v>-1.96092</v>
      </c>
      <c r="F232" s="275"/>
      <c r="G232" s="275"/>
      <c r="H232" s="275"/>
      <c r="I232" s="275"/>
      <c r="J232" s="275"/>
    </row>
    <row r="233" spans="1:10">
      <c r="A233" s="273"/>
      <c r="B233" s="274"/>
      <c r="C233" s="278"/>
      <c r="D233" s="275"/>
      <c r="E233" s="275"/>
      <c r="F233" s="275"/>
      <c r="G233" s="275"/>
      <c r="H233" s="275"/>
      <c r="I233" s="275"/>
      <c r="J233" s="275"/>
    </row>
    <row r="234" spans="1:10">
      <c r="A234" s="273">
        <v>77</v>
      </c>
      <c r="B234" s="274">
        <v>26</v>
      </c>
      <c r="C234" s="278" t="s">
        <v>68</v>
      </c>
      <c r="D234" s="275" t="s">
        <v>441</v>
      </c>
      <c r="E234" s="275" t="s">
        <v>442</v>
      </c>
      <c r="F234" s="275"/>
      <c r="G234" s="275"/>
      <c r="H234" s="275"/>
      <c r="I234" s="275"/>
      <c r="J234" s="275"/>
    </row>
    <row r="235" spans="1:10">
      <c r="A235" s="273"/>
      <c r="B235" s="274"/>
      <c r="C235" s="278"/>
      <c r="D235" s="275">
        <v>-2.7516500000000002</v>
      </c>
      <c r="E235" s="275">
        <v>-2.7446799999999998</v>
      </c>
      <c r="F235" s="275"/>
      <c r="G235" s="275"/>
      <c r="H235" s="275"/>
      <c r="I235" s="275"/>
      <c r="J235" s="275"/>
    </row>
    <row r="236" spans="1:10">
      <c r="A236" s="273"/>
      <c r="B236" s="274"/>
      <c r="C236" s="278"/>
      <c r="D236" s="275"/>
      <c r="E236" s="275"/>
      <c r="F236" s="275"/>
      <c r="G236" s="275"/>
      <c r="H236" s="275"/>
      <c r="I236" s="275"/>
      <c r="J236" s="275"/>
    </row>
    <row r="237" spans="1:10">
      <c r="A237" s="273">
        <v>78</v>
      </c>
      <c r="B237" s="274">
        <v>26</v>
      </c>
      <c r="C237" s="278" t="s">
        <v>69</v>
      </c>
      <c r="D237" s="275" t="s">
        <v>441</v>
      </c>
      <c r="E237" s="275" t="s">
        <v>442</v>
      </c>
      <c r="F237" s="275"/>
      <c r="G237" s="275"/>
      <c r="H237" s="275"/>
      <c r="I237" s="275"/>
      <c r="J237" s="275"/>
    </row>
    <row r="238" spans="1:10">
      <c r="A238" s="273"/>
      <c r="B238" s="274"/>
      <c r="C238" s="278"/>
      <c r="D238" s="275">
        <v>-3.6153200000000001</v>
      </c>
      <c r="E238" s="275">
        <v>-3.6077400000000002</v>
      </c>
      <c r="F238" s="275"/>
      <c r="G238" s="275"/>
      <c r="H238" s="275"/>
      <c r="I238" s="275"/>
      <c r="J238" s="275"/>
    </row>
    <row r="239" spans="1:10">
      <c r="A239" s="273"/>
      <c r="B239" s="274"/>
      <c r="C239" s="278"/>
      <c r="D239" s="275"/>
      <c r="E239" s="275"/>
      <c r="F239" s="275"/>
      <c r="G239" s="275"/>
      <c r="H239" s="275"/>
      <c r="I239" s="275"/>
      <c r="J239" s="275"/>
    </row>
    <row r="240" spans="1:10">
      <c r="A240" s="273">
        <v>79</v>
      </c>
      <c r="B240" s="274">
        <v>26</v>
      </c>
      <c r="C240" s="278" t="s">
        <v>70</v>
      </c>
      <c r="D240" s="275" t="s">
        <v>441</v>
      </c>
      <c r="E240" s="275" t="s">
        <v>442</v>
      </c>
      <c r="F240" s="275"/>
      <c r="G240" s="275"/>
      <c r="H240" s="275"/>
      <c r="I240" s="275"/>
      <c r="J240" s="275"/>
    </row>
    <row r="241" spans="1:10">
      <c r="A241" s="273"/>
      <c r="B241" s="274"/>
      <c r="C241" s="278"/>
      <c r="D241" s="275">
        <v>-4.5525200000000003</v>
      </c>
      <c r="E241" s="275">
        <v>-4.5442600000000004</v>
      </c>
      <c r="F241" s="275"/>
      <c r="G241" s="275"/>
      <c r="H241" s="275"/>
      <c r="I241" s="275"/>
      <c r="J241" s="275"/>
    </row>
    <row r="242" spans="1:10">
      <c r="A242" s="273"/>
      <c r="B242" s="274"/>
      <c r="C242" s="278"/>
      <c r="D242" s="275"/>
      <c r="E242" s="275"/>
      <c r="F242" s="275"/>
      <c r="G242" s="275"/>
      <c r="H242" s="275"/>
      <c r="I242" s="275"/>
      <c r="J242" s="275"/>
    </row>
    <row r="243" spans="1:10">
      <c r="A243" s="273">
        <v>80</v>
      </c>
      <c r="B243" s="274">
        <v>27</v>
      </c>
      <c r="C243" s="278" t="s">
        <v>71</v>
      </c>
      <c r="D243" s="275" t="s">
        <v>441</v>
      </c>
      <c r="E243" s="275" t="s">
        <v>442</v>
      </c>
      <c r="F243" s="275"/>
      <c r="G243" s="275"/>
      <c r="H243" s="275"/>
      <c r="I243" s="275"/>
      <c r="J243" s="275"/>
    </row>
    <row r="244" spans="1:10">
      <c r="A244" s="273"/>
      <c r="B244" s="274"/>
      <c r="C244" s="278"/>
      <c r="D244" s="275">
        <v>-0.72611999999999999</v>
      </c>
      <c r="E244" s="275">
        <v>-0.71816999999999998</v>
      </c>
      <c r="F244" s="275"/>
      <c r="G244" s="275"/>
      <c r="H244" s="275"/>
      <c r="I244" s="275"/>
      <c r="J244" s="275"/>
    </row>
    <row r="245" spans="1:10">
      <c r="A245" s="273"/>
      <c r="B245" s="274"/>
      <c r="C245" s="278"/>
      <c r="D245" s="275"/>
      <c r="E245" s="275"/>
      <c r="F245" s="275"/>
      <c r="G245" s="275"/>
      <c r="H245" s="275"/>
      <c r="I245" s="275"/>
      <c r="J245" s="275"/>
    </row>
    <row r="246" spans="1:10">
      <c r="A246" s="273">
        <v>81</v>
      </c>
      <c r="B246" s="274">
        <v>27</v>
      </c>
      <c r="C246" s="278" t="s">
        <v>72</v>
      </c>
      <c r="D246" s="275" t="s">
        <v>441</v>
      </c>
      <c r="E246" s="275" t="s">
        <v>442</v>
      </c>
      <c r="F246" s="275"/>
      <c r="G246" s="275"/>
      <c r="H246" s="275"/>
      <c r="I246" s="275"/>
      <c r="J246" s="275"/>
    </row>
    <row r="247" spans="1:10">
      <c r="A247" s="273"/>
      <c r="B247" s="274"/>
      <c r="C247" s="278"/>
      <c r="D247" s="275">
        <v>-1.3385400000000001</v>
      </c>
      <c r="E247" s="275">
        <v>-1.33063</v>
      </c>
      <c r="F247" s="275"/>
      <c r="G247" s="275"/>
      <c r="H247" s="275"/>
      <c r="I247" s="275"/>
      <c r="J247" s="275"/>
    </row>
    <row r="248" spans="1:10">
      <c r="A248" s="273"/>
      <c r="B248" s="274"/>
      <c r="C248" s="278"/>
      <c r="D248" s="275"/>
      <c r="E248" s="275"/>
      <c r="F248" s="275"/>
      <c r="G248" s="275"/>
      <c r="H248" s="275"/>
      <c r="I248" s="275"/>
      <c r="J248" s="275"/>
    </row>
    <row r="249" spans="1:10">
      <c r="A249" s="273">
        <v>82</v>
      </c>
      <c r="B249" s="274">
        <v>27</v>
      </c>
      <c r="C249" s="278" t="s">
        <v>73</v>
      </c>
      <c r="D249" s="275" t="s">
        <v>441</v>
      </c>
      <c r="E249" s="275" t="s">
        <v>442</v>
      </c>
      <c r="F249" s="275"/>
      <c r="G249" s="275"/>
      <c r="H249" s="275"/>
      <c r="I249" s="275"/>
      <c r="J249" s="275"/>
    </row>
    <row r="250" spans="1:10">
      <c r="A250" s="273"/>
      <c r="B250" s="274"/>
      <c r="C250" s="278"/>
      <c r="D250" s="275">
        <v>-2.0568900000000001</v>
      </c>
      <c r="E250" s="275">
        <v>-2.04861</v>
      </c>
      <c r="F250" s="275"/>
      <c r="G250" s="275"/>
      <c r="H250" s="275"/>
      <c r="I250" s="275"/>
      <c r="J250" s="275"/>
    </row>
    <row r="251" spans="1:10">
      <c r="A251" s="273"/>
      <c r="B251" s="274"/>
      <c r="C251" s="278"/>
      <c r="D251" s="275"/>
      <c r="E251" s="275"/>
      <c r="F251" s="275"/>
      <c r="G251" s="275"/>
      <c r="H251" s="275"/>
      <c r="I251" s="275"/>
      <c r="J251" s="275"/>
    </row>
    <row r="252" spans="1:10">
      <c r="A252" s="273">
        <v>83</v>
      </c>
      <c r="B252" s="274">
        <v>27</v>
      </c>
      <c r="C252" s="278" t="s">
        <v>74</v>
      </c>
      <c r="D252" s="275" t="s">
        <v>441</v>
      </c>
      <c r="E252" s="275" t="s">
        <v>442</v>
      </c>
      <c r="F252" s="275"/>
      <c r="G252" s="275"/>
      <c r="H252" s="275"/>
      <c r="I252" s="275"/>
      <c r="J252" s="275"/>
    </row>
    <row r="253" spans="1:10">
      <c r="A253" s="273"/>
      <c r="B253" s="274"/>
      <c r="C253" s="278"/>
      <c r="D253" s="275">
        <v>-2.8647999999999998</v>
      </c>
      <c r="E253" s="275">
        <v>-2.8559600000000001</v>
      </c>
      <c r="F253" s="275"/>
      <c r="G253" s="275"/>
      <c r="H253" s="275"/>
      <c r="I253" s="275"/>
      <c r="J253" s="275"/>
    </row>
    <row r="254" spans="1:10">
      <c r="A254" s="273"/>
      <c r="B254" s="274"/>
      <c r="C254" s="278"/>
      <c r="D254" s="275"/>
      <c r="E254" s="275"/>
      <c r="F254" s="275"/>
      <c r="G254" s="275"/>
      <c r="H254" s="275"/>
      <c r="I254" s="275"/>
      <c r="J254" s="275"/>
    </row>
    <row r="255" spans="1:10">
      <c r="A255" s="273">
        <v>84</v>
      </c>
      <c r="B255" s="274">
        <v>27</v>
      </c>
      <c r="C255" s="278" t="s">
        <v>75</v>
      </c>
      <c r="D255" s="275" t="s">
        <v>441</v>
      </c>
      <c r="E255" s="275" t="s">
        <v>442</v>
      </c>
      <c r="F255" s="275"/>
      <c r="G255" s="275"/>
      <c r="H255" s="275"/>
      <c r="I255" s="275"/>
      <c r="J255" s="275"/>
    </row>
    <row r="256" spans="1:10">
      <c r="A256" s="273"/>
      <c r="B256" s="274"/>
      <c r="C256" s="278"/>
      <c r="D256" s="275">
        <v>-3.7527400000000002</v>
      </c>
      <c r="E256" s="275">
        <v>-3.7432400000000001</v>
      </c>
      <c r="F256" s="275"/>
      <c r="G256" s="275"/>
      <c r="H256" s="275"/>
      <c r="I256" s="275"/>
      <c r="J256" s="275"/>
    </row>
    <row r="257" spans="1:10">
      <c r="A257" s="273"/>
      <c r="B257" s="274"/>
      <c r="C257" s="278"/>
      <c r="D257" s="275"/>
      <c r="E257" s="275"/>
      <c r="F257" s="275"/>
      <c r="G257" s="275"/>
      <c r="H257" s="275"/>
      <c r="I257" s="275"/>
      <c r="J257" s="275"/>
    </row>
    <row r="258" spans="1:10">
      <c r="A258" s="273">
        <v>85</v>
      </c>
      <c r="B258" s="274">
        <v>28</v>
      </c>
      <c r="C258" s="278" t="s">
        <v>76</v>
      </c>
      <c r="D258" s="275" t="s">
        <v>441</v>
      </c>
      <c r="E258" s="275" t="s">
        <v>442</v>
      </c>
      <c r="F258" s="275"/>
      <c r="G258" s="275"/>
      <c r="H258" s="275"/>
      <c r="I258" s="275"/>
      <c r="J258" s="275"/>
    </row>
    <row r="259" spans="1:10">
      <c r="A259" s="273"/>
      <c r="B259" s="274"/>
      <c r="C259" s="278"/>
      <c r="D259" s="275">
        <v>-0.76881999999999995</v>
      </c>
      <c r="E259" s="275">
        <v>-0.75841999999999998</v>
      </c>
      <c r="F259" s="275"/>
      <c r="G259" s="275"/>
      <c r="H259" s="275"/>
      <c r="I259" s="275"/>
      <c r="J259" s="275"/>
    </row>
    <row r="260" spans="1:10">
      <c r="A260" s="273"/>
      <c r="B260" s="274"/>
      <c r="C260" s="278"/>
      <c r="D260" s="275"/>
      <c r="E260" s="275"/>
      <c r="F260" s="275"/>
      <c r="G260" s="275"/>
      <c r="H260" s="275"/>
      <c r="I260" s="275"/>
      <c r="J260" s="275"/>
    </row>
    <row r="261" spans="1:10">
      <c r="A261" s="273">
        <v>86</v>
      </c>
      <c r="B261" s="274">
        <v>28</v>
      </c>
      <c r="C261" s="278" t="s">
        <v>77</v>
      </c>
      <c r="D261" s="275" t="s">
        <v>441</v>
      </c>
      <c r="E261" s="275" t="s">
        <v>442</v>
      </c>
      <c r="F261" s="275"/>
      <c r="G261" s="275"/>
      <c r="H261" s="275"/>
      <c r="I261" s="275"/>
      <c r="J261" s="275"/>
    </row>
    <row r="262" spans="1:10">
      <c r="A262" s="273"/>
      <c r="B262" s="274"/>
      <c r="C262" s="278"/>
      <c r="D262" s="275">
        <v>-1.40368</v>
      </c>
      <c r="E262" s="275">
        <v>-1.39351</v>
      </c>
      <c r="F262" s="275"/>
      <c r="G262" s="275"/>
      <c r="H262" s="275"/>
      <c r="I262" s="275"/>
      <c r="J262" s="275"/>
    </row>
    <row r="263" spans="1:10">
      <c r="A263" s="273"/>
      <c r="B263" s="274"/>
      <c r="C263" s="278"/>
      <c r="D263" s="275"/>
      <c r="E263" s="275"/>
      <c r="F263" s="275"/>
      <c r="G263" s="275"/>
      <c r="H263" s="275"/>
      <c r="I263" s="275"/>
      <c r="J263" s="275"/>
    </row>
    <row r="264" spans="1:10">
      <c r="A264" s="273">
        <v>87</v>
      </c>
      <c r="B264" s="274">
        <v>28</v>
      </c>
      <c r="C264" s="278" t="s">
        <v>78</v>
      </c>
      <c r="D264" s="275" t="s">
        <v>441</v>
      </c>
      <c r="E264" s="275" t="s">
        <v>442</v>
      </c>
      <c r="F264" s="275"/>
      <c r="G264" s="275"/>
      <c r="H264" s="275"/>
      <c r="I264" s="275"/>
      <c r="J264" s="275"/>
    </row>
    <row r="265" spans="1:10">
      <c r="A265" s="273"/>
      <c r="B265" s="274"/>
      <c r="C265" s="278"/>
      <c r="D265" s="275">
        <v>-2.1448900000000002</v>
      </c>
      <c r="E265" s="275">
        <v>-2.1343899999999998</v>
      </c>
      <c r="F265" s="275"/>
      <c r="G265" s="275"/>
      <c r="H265" s="275"/>
      <c r="I265" s="275"/>
      <c r="J265" s="275"/>
    </row>
    <row r="266" spans="1:10">
      <c r="A266" s="273"/>
      <c r="B266" s="274"/>
      <c r="C266" s="278"/>
      <c r="D266" s="275"/>
      <c r="E266" s="275"/>
      <c r="F266" s="275"/>
      <c r="G266" s="275"/>
      <c r="H266" s="275"/>
      <c r="I266" s="275"/>
      <c r="J266" s="275"/>
    </row>
    <row r="267" spans="1:10">
      <c r="A267" s="273">
        <v>88</v>
      </c>
      <c r="B267" s="274">
        <v>28</v>
      </c>
      <c r="C267" s="278" t="s">
        <v>79</v>
      </c>
      <c r="D267" s="275" t="s">
        <v>441</v>
      </c>
      <c r="E267" s="275" t="s">
        <v>442</v>
      </c>
      <c r="F267" s="275"/>
      <c r="G267" s="275"/>
      <c r="H267" s="275"/>
      <c r="I267" s="275"/>
      <c r="J267" s="275"/>
    </row>
    <row r="268" spans="1:10">
      <c r="A268" s="273"/>
      <c r="B268" s="274"/>
      <c r="C268" s="278"/>
      <c r="D268" s="275">
        <v>-2.9763099999999998</v>
      </c>
      <c r="E268" s="275">
        <v>-2.9652500000000002</v>
      </c>
      <c r="F268" s="275"/>
      <c r="G268" s="275"/>
      <c r="H268" s="275"/>
      <c r="I268" s="275"/>
      <c r="J268" s="275"/>
    </row>
    <row r="269" spans="1:10">
      <c r="A269" s="273"/>
      <c r="B269" s="274"/>
      <c r="C269" s="278"/>
      <c r="D269" s="275"/>
      <c r="E269" s="275"/>
      <c r="F269" s="275"/>
      <c r="G269" s="275"/>
      <c r="H269" s="275"/>
      <c r="I269" s="275"/>
      <c r="J269" s="275"/>
    </row>
    <row r="270" spans="1:10">
      <c r="A270" s="273">
        <v>89</v>
      </c>
      <c r="B270" s="274">
        <v>29</v>
      </c>
      <c r="C270" s="278" t="s">
        <v>80</v>
      </c>
      <c r="D270" s="275" t="s">
        <v>441</v>
      </c>
      <c r="E270" s="275" t="s">
        <v>442</v>
      </c>
      <c r="F270" s="275"/>
      <c r="G270" s="275"/>
      <c r="H270" s="275"/>
      <c r="I270" s="275"/>
      <c r="J270" s="275"/>
    </row>
    <row r="271" spans="1:10">
      <c r="A271" s="273"/>
      <c r="B271" s="274"/>
      <c r="C271" s="278"/>
      <c r="D271" s="275">
        <v>-0.81077999999999995</v>
      </c>
      <c r="E271" s="275">
        <v>-0.79744000000000004</v>
      </c>
      <c r="F271" s="275"/>
      <c r="G271" s="275"/>
      <c r="H271" s="275"/>
      <c r="I271" s="275"/>
      <c r="J271" s="275"/>
    </row>
    <row r="272" spans="1:10">
      <c r="A272" s="273"/>
      <c r="B272" s="274"/>
      <c r="C272" s="278"/>
      <c r="D272" s="275"/>
      <c r="E272" s="275"/>
      <c r="F272" s="275"/>
      <c r="G272" s="275"/>
      <c r="H272" s="275"/>
      <c r="I272" s="275"/>
      <c r="J272" s="275"/>
    </row>
    <row r="273" spans="1:10">
      <c r="A273" s="273">
        <v>90</v>
      </c>
      <c r="B273" s="274">
        <v>29</v>
      </c>
      <c r="C273" s="278" t="s">
        <v>81</v>
      </c>
      <c r="D273" s="275" t="s">
        <v>441</v>
      </c>
      <c r="E273" s="275" t="s">
        <v>442</v>
      </c>
      <c r="F273" s="275"/>
      <c r="G273" s="275"/>
      <c r="H273" s="275"/>
      <c r="I273" s="275"/>
      <c r="J273" s="275"/>
    </row>
    <row r="274" spans="1:10">
      <c r="A274" s="273"/>
      <c r="B274" s="274"/>
      <c r="C274" s="278"/>
      <c r="D274" s="275">
        <v>-1.4677199999999999</v>
      </c>
      <c r="E274" s="275">
        <v>-1.45486</v>
      </c>
      <c r="F274" s="275"/>
      <c r="G274" s="275"/>
      <c r="H274" s="275"/>
      <c r="I274" s="275"/>
      <c r="J274" s="275"/>
    </row>
    <row r="275" spans="1:10">
      <c r="A275" s="273"/>
      <c r="B275" s="274"/>
      <c r="C275" s="278"/>
      <c r="D275" s="275"/>
      <c r="E275" s="275"/>
      <c r="F275" s="275"/>
      <c r="G275" s="275"/>
      <c r="H275" s="275"/>
      <c r="I275" s="275"/>
      <c r="J275" s="275"/>
    </row>
    <row r="276" spans="1:10">
      <c r="A276" s="273">
        <v>91</v>
      </c>
      <c r="B276" s="274">
        <v>29</v>
      </c>
      <c r="C276" s="278" t="s">
        <v>82</v>
      </c>
      <c r="D276" s="275" t="s">
        <v>441</v>
      </c>
      <c r="E276" s="275" t="s">
        <v>442</v>
      </c>
      <c r="F276" s="275"/>
      <c r="G276" s="275"/>
      <c r="H276" s="275"/>
      <c r="I276" s="275"/>
      <c r="J276" s="275"/>
    </row>
    <row r="277" spans="1:10">
      <c r="A277" s="273"/>
      <c r="B277" s="274"/>
      <c r="C277" s="278"/>
      <c r="D277" s="275">
        <v>-2.2315999999999998</v>
      </c>
      <c r="E277" s="275">
        <v>-2.21848</v>
      </c>
      <c r="F277" s="275"/>
      <c r="G277" s="275"/>
      <c r="H277" s="275"/>
      <c r="I277" s="275"/>
      <c r="J277" s="275"/>
    </row>
    <row r="278" spans="1:10">
      <c r="A278" s="273"/>
      <c r="B278" s="274"/>
      <c r="C278" s="278"/>
      <c r="D278" s="275"/>
      <c r="E278" s="275"/>
      <c r="F278" s="275"/>
      <c r="G278" s="275"/>
      <c r="H278" s="275"/>
      <c r="I278" s="275"/>
      <c r="J278" s="275"/>
    </row>
    <row r="279" spans="1:10">
      <c r="A279" s="273">
        <v>92</v>
      </c>
      <c r="B279" s="274">
        <v>29</v>
      </c>
      <c r="C279" s="278" t="s">
        <v>83</v>
      </c>
      <c r="D279" s="275" t="s">
        <v>441</v>
      </c>
      <c r="E279" s="275" t="s">
        <v>442</v>
      </c>
      <c r="F279" s="275"/>
      <c r="G279" s="275"/>
      <c r="H279" s="275"/>
      <c r="I279" s="275"/>
      <c r="J279" s="275"/>
    </row>
    <row r="280" spans="1:10">
      <c r="A280" s="273"/>
      <c r="B280" s="274"/>
      <c r="C280" s="278"/>
      <c r="D280" s="275">
        <v>-3.0863999999999998</v>
      </c>
      <c r="E280" s="275">
        <v>-3.0727199999999999</v>
      </c>
      <c r="F280" s="275"/>
      <c r="G280" s="275"/>
      <c r="H280" s="275"/>
      <c r="I280" s="275"/>
      <c r="J280" s="275"/>
    </row>
    <row r="281" spans="1:10">
      <c r="A281" s="273"/>
      <c r="B281" s="274"/>
      <c r="C281" s="278"/>
      <c r="D281" s="275"/>
      <c r="E281" s="275"/>
      <c r="F281" s="275"/>
      <c r="G281" s="275"/>
      <c r="H281" s="275"/>
      <c r="I281" s="275"/>
      <c r="J281" s="275"/>
    </row>
    <row r="282" spans="1:10">
      <c r="A282" s="273">
        <v>93</v>
      </c>
      <c r="B282" s="274">
        <v>30</v>
      </c>
      <c r="C282" s="278" t="s">
        <v>335</v>
      </c>
      <c r="D282" s="275" t="s">
        <v>441</v>
      </c>
      <c r="E282" s="275" t="s">
        <v>442</v>
      </c>
      <c r="F282" s="275"/>
      <c r="G282" s="275"/>
      <c r="H282" s="275"/>
      <c r="I282" s="275"/>
      <c r="J282" s="275"/>
    </row>
    <row r="283" spans="1:10">
      <c r="A283" s="273"/>
      <c r="B283" s="274"/>
      <c r="C283" s="278"/>
      <c r="D283" s="275">
        <v>-1.5308999999999999</v>
      </c>
      <c r="E283" s="275">
        <v>-1.51484</v>
      </c>
      <c r="F283" s="275"/>
      <c r="G283" s="275"/>
      <c r="H283" s="275"/>
      <c r="I283" s="275"/>
      <c r="J283" s="275"/>
    </row>
    <row r="284" spans="1:10">
      <c r="A284" s="273"/>
      <c r="B284" s="274"/>
      <c r="C284" s="278"/>
      <c r="D284" s="275"/>
      <c r="E284" s="275"/>
      <c r="F284" s="275"/>
      <c r="G284" s="275"/>
      <c r="H284" s="275"/>
      <c r="I284" s="275"/>
      <c r="J284" s="275"/>
    </row>
    <row r="285" spans="1:10">
      <c r="A285" s="273">
        <v>94</v>
      </c>
      <c r="B285" s="274">
        <v>31</v>
      </c>
      <c r="C285" s="278" t="s">
        <v>84</v>
      </c>
      <c r="D285" s="275" t="s">
        <v>441</v>
      </c>
      <c r="E285" s="275" t="s">
        <v>442</v>
      </c>
      <c r="F285" s="275" t="s">
        <v>443</v>
      </c>
      <c r="G285" s="275"/>
      <c r="H285" s="275"/>
      <c r="I285" s="275"/>
      <c r="J285" s="275"/>
    </row>
    <row r="286" spans="1:10">
      <c r="A286" s="273"/>
      <c r="B286" s="274"/>
      <c r="C286" s="278"/>
      <c r="D286" s="275">
        <v>-1.4793799999999999</v>
      </c>
      <c r="E286" s="275">
        <v>-1.4595199999999999</v>
      </c>
      <c r="F286" s="275">
        <v>-0.69965999999999995</v>
      </c>
      <c r="G286" s="275"/>
      <c r="H286" s="275"/>
      <c r="I286" s="275"/>
      <c r="J286" s="275"/>
    </row>
    <row r="287" spans="1:10">
      <c r="A287" s="273"/>
      <c r="B287" s="274"/>
      <c r="C287" s="278"/>
      <c r="D287" s="275"/>
      <c r="E287" s="275"/>
      <c r="F287" s="275"/>
      <c r="G287" s="275"/>
      <c r="H287" s="275"/>
      <c r="I287" s="275"/>
      <c r="J287" s="275"/>
    </row>
    <row r="288" spans="1:10">
      <c r="A288" s="273">
        <v>95</v>
      </c>
      <c r="B288" s="274">
        <v>31</v>
      </c>
      <c r="C288" s="278" t="s">
        <v>85</v>
      </c>
      <c r="D288" s="275" t="s">
        <v>441</v>
      </c>
      <c r="E288" s="275" t="s">
        <v>442</v>
      </c>
      <c r="F288" s="275" t="s">
        <v>443</v>
      </c>
      <c r="G288" s="275"/>
      <c r="H288" s="275"/>
      <c r="I288" s="275"/>
      <c r="J288" s="275"/>
    </row>
    <row r="289" spans="1:10">
      <c r="A289" s="273"/>
      <c r="B289" s="274"/>
      <c r="C289" s="278"/>
      <c r="D289" s="275">
        <v>-1.91506</v>
      </c>
      <c r="E289" s="275">
        <v>-1.89524</v>
      </c>
      <c r="F289" s="275">
        <v>-1.0925199999999999</v>
      </c>
      <c r="G289" s="275"/>
      <c r="H289" s="275"/>
      <c r="I289" s="275"/>
      <c r="J289" s="275"/>
    </row>
    <row r="290" spans="1:10">
      <c r="A290" s="273"/>
      <c r="B290" s="274"/>
      <c r="C290" s="278"/>
      <c r="D290" s="275"/>
      <c r="E290" s="275"/>
      <c r="F290" s="275"/>
      <c r="G290" s="275"/>
      <c r="H290" s="275"/>
      <c r="I290" s="275"/>
      <c r="J290" s="275"/>
    </row>
    <row r="291" spans="1:10">
      <c r="A291" s="273">
        <v>96</v>
      </c>
      <c r="B291" s="274">
        <v>31</v>
      </c>
      <c r="C291" s="278" t="s">
        <v>86</v>
      </c>
      <c r="D291" s="275" t="s">
        <v>441</v>
      </c>
      <c r="E291" s="275" t="s">
        <v>442</v>
      </c>
      <c r="F291" s="275"/>
      <c r="G291" s="275"/>
      <c r="H291" s="275"/>
      <c r="I291" s="275"/>
      <c r="J291" s="275"/>
    </row>
    <row r="292" spans="1:10">
      <c r="A292" s="273"/>
      <c r="B292" s="274"/>
      <c r="C292" s="278"/>
      <c r="D292" s="275">
        <v>-2.4019900000000001</v>
      </c>
      <c r="E292" s="275">
        <v>-2.38219</v>
      </c>
      <c r="F292" s="275"/>
      <c r="G292" s="275"/>
      <c r="H292" s="275"/>
      <c r="I292" s="275"/>
      <c r="J292" s="275"/>
    </row>
    <row r="293" spans="1:10">
      <c r="A293" s="273"/>
      <c r="B293" s="274"/>
      <c r="C293" s="278"/>
      <c r="D293" s="275"/>
      <c r="E293" s="275"/>
      <c r="F293" s="275"/>
      <c r="G293" s="275"/>
      <c r="H293" s="275"/>
      <c r="I293" s="275"/>
      <c r="J293" s="275"/>
    </row>
    <row r="294" spans="1:10">
      <c r="A294" s="273">
        <v>97</v>
      </c>
      <c r="B294" s="274">
        <v>32</v>
      </c>
      <c r="C294" s="278" t="s">
        <v>87</v>
      </c>
      <c r="D294" s="275" t="s">
        <v>441</v>
      </c>
      <c r="E294" s="275" t="s">
        <v>442</v>
      </c>
      <c r="F294" s="275" t="s">
        <v>443</v>
      </c>
      <c r="G294" s="275" t="s">
        <v>444</v>
      </c>
      <c r="H294" s="275" t="s">
        <v>445</v>
      </c>
      <c r="I294" s="275"/>
      <c r="J294" s="275"/>
    </row>
    <row r="295" spans="1:10">
      <c r="A295" s="273"/>
      <c r="B295" s="274"/>
      <c r="C295" s="278"/>
      <c r="D295" s="275">
        <v>-1.9491499999999999</v>
      </c>
      <c r="E295" s="275">
        <v>-1.9248099999999999</v>
      </c>
      <c r="F295" s="275">
        <v>-0.85946</v>
      </c>
      <c r="G295" s="275">
        <v>-0.56964999999999999</v>
      </c>
      <c r="H295" s="275">
        <v>-0.56164000000000003</v>
      </c>
      <c r="I295" s="275"/>
      <c r="J295" s="275"/>
    </row>
    <row r="296" spans="1:10">
      <c r="A296" s="273"/>
      <c r="B296" s="274"/>
      <c r="C296" s="278"/>
      <c r="D296" s="275"/>
      <c r="E296" s="275"/>
      <c r="F296" s="275"/>
      <c r="G296" s="275"/>
      <c r="H296" s="275"/>
      <c r="I296" s="275"/>
      <c r="J296" s="275"/>
    </row>
    <row r="297" spans="1:10">
      <c r="A297" s="273">
        <v>98</v>
      </c>
      <c r="B297" s="274">
        <v>32</v>
      </c>
      <c r="C297" s="278" t="s">
        <v>88</v>
      </c>
      <c r="D297" s="275" t="s">
        <v>441</v>
      </c>
      <c r="E297" s="275" t="s">
        <v>442</v>
      </c>
      <c r="F297" s="275" t="s">
        <v>443</v>
      </c>
      <c r="G297" s="275"/>
      <c r="H297" s="275"/>
      <c r="I297" s="275"/>
      <c r="J297" s="275"/>
    </row>
    <row r="298" spans="1:10">
      <c r="A298" s="273"/>
      <c r="B298" s="274"/>
      <c r="C298" s="278"/>
      <c r="D298" s="275">
        <v>-2.34815</v>
      </c>
      <c r="E298" s="275">
        <v>-2.32382</v>
      </c>
      <c r="F298" s="275">
        <v>-1.1928000000000001</v>
      </c>
      <c r="G298" s="275"/>
      <c r="H298" s="275"/>
      <c r="I298" s="275"/>
      <c r="J298" s="275"/>
    </row>
    <row r="299" spans="1:10">
      <c r="A299" s="273"/>
      <c r="B299" s="274"/>
      <c r="C299" s="278"/>
      <c r="D299" s="275"/>
      <c r="E299" s="275"/>
      <c r="F299" s="275"/>
      <c r="G299" s="275"/>
      <c r="H299" s="275"/>
      <c r="I299" s="275"/>
      <c r="J299" s="275"/>
    </row>
    <row r="300" spans="1:10">
      <c r="A300" s="273">
        <v>99</v>
      </c>
      <c r="B300" s="274">
        <v>32</v>
      </c>
      <c r="C300" s="278" t="s">
        <v>89</v>
      </c>
      <c r="D300" s="275" t="s">
        <v>441</v>
      </c>
      <c r="E300" s="275" t="s">
        <v>442</v>
      </c>
      <c r="F300" s="275" t="s">
        <v>443</v>
      </c>
      <c r="G300" s="275"/>
      <c r="H300" s="275"/>
      <c r="I300" s="275"/>
      <c r="J300" s="275"/>
    </row>
    <row r="301" spans="1:10">
      <c r="A301" s="273"/>
      <c r="B301" s="274"/>
      <c r="C301" s="278"/>
      <c r="D301" s="275">
        <v>-2.8572099999999998</v>
      </c>
      <c r="E301" s="275">
        <v>-2.8328600000000002</v>
      </c>
      <c r="F301" s="275">
        <v>-1.6437299999999999</v>
      </c>
      <c r="G301" s="275"/>
      <c r="H301" s="275"/>
      <c r="I301" s="275"/>
      <c r="J301" s="275"/>
    </row>
    <row r="302" spans="1:10">
      <c r="A302" s="273"/>
      <c r="B302" s="274"/>
      <c r="C302" s="278"/>
      <c r="D302" s="275"/>
      <c r="E302" s="275"/>
      <c r="F302" s="275"/>
      <c r="G302" s="275"/>
      <c r="H302" s="275"/>
      <c r="I302" s="275"/>
      <c r="J302" s="275"/>
    </row>
    <row r="303" spans="1:10">
      <c r="A303" s="273">
        <v>100</v>
      </c>
      <c r="B303" s="274">
        <v>32</v>
      </c>
      <c r="C303" s="278" t="s">
        <v>90</v>
      </c>
      <c r="D303" s="275" t="s">
        <v>441</v>
      </c>
      <c r="E303" s="275" t="s">
        <v>442</v>
      </c>
      <c r="F303" s="275"/>
      <c r="G303" s="275"/>
      <c r="H303" s="275"/>
      <c r="I303" s="275"/>
      <c r="J303" s="275"/>
    </row>
    <row r="304" spans="1:10">
      <c r="A304" s="273"/>
      <c r="B304" s="274"/>
      <c r="C304" s="278"/>
      <c r="D304" s="275">
        <v>-3.41</v>
      </c>
      <c r="E304" s="275">
        <v>-3.3855900000000001</v>
      </c>
      <c r="F304" s="275"/>
      <c r="G304" s="275"/>
      <c r="H304" s="275"/>
      <c r="I304" s="275"/>
      <c r="J304" s="275"/>
    </row>
    <row r="305" spans="1:10">
      <c r="A305" s="273"/>
      <c r="B305" s="274"/>
      <c r="C305" s="278"/>
      <c r="D305" s="275"/>
      <c r="E305" s="275"/>
      <c r="F305" s="275"/>
      <c r="G305" s="275"/>
      <c r="H305" s="275"/>
      <c r="I305" s="275"/>
      <c r="J305" s="275"/>
    </row>
    <row r="306" spans="1:10">
      <c r="A306" s="273">
        <v>101</v>
      </c>
      <c r="B306" s="274">
        <v>33</v>
      </c>
      <c r="C306" s="278" t="s">
        <v>336</v>
      </c>
      <c r="D306" s="275" t="s">
        <v>441</v>
      </c>
      <c r="E306" s="275" t="s">
        <v>442</v>
      </c>
      <c r="F306" s="275" t="s">
        <v>443</v>
      </c>
      <c r="G306" s="275" t="s">
        <v>444</v>
      </c>
      <c r="H306" s="275" t="s">
        <v>445</v>
      </c>
      <c r="I306" s="275"/>
      <c r="J306" s="275"/>
    </row>
    <row r="307" spans="1:10">
      <c r="A307" s="273"/>
      <c r="B307" s="274"/>
      <c r="C307" s="278"/>
      <c r="D307" s="275">
        <v>-2.8811</v>
      </c>
      <c r="E307" s="275">
        <v>-2.8514400000000002</v>
      </c>
      <c r="F307" s="275">
        <v>-1.37971</v>
      </c>
      <c r="G307" s="275">
        <v>-1.0225900000000001</v>
      </c>
      <c r="H307" s="275">
        <v>-1.0091000000000001</v>
      </c>
      <c r="I307" s="275"/>
      <c r="J307" s="275"/>
    </row>
    <row r="308" spans="1:10">
      <c r="A308" s="273"/>
      <c r="B308" s="274"/>
      <c r="C308" s="278"/>
      <c r="D308" s="275"/>
      <c r="E308" s="275"/>
      <c r="F308" s="275"/>
      <c r="G308" s="275"/>
      <c r="H308" s="275"/>
      <c r="I308" s="275"/>
      <c r="J308" s="275"/>
    </row>
    <row r="309" spans="1:10">
      <c r="A309" s="273">
        <v>102</v>
      </c>
      <c r="B309" s="274">
        <v>33</v>
      </c>
      <c r="C309" s="278" t="s">
        <v>91</v>
      </c>
      <c r="D309" s="275" t="s">
        <v>441</v>
      </c>
      <c r="E309" s="275" t="s">
        <v>442</v>
      </c>
      <c r="F309" s="275" t="s">
        <v>443</v>
      </c>
      <c r="G309" s="275"/>
      <c r="H309" s="275"/>
      <c r="I309" s="275"/>
      <c r="J309" s="275"/>
    </row>
    <row r="310" spans="1:10">
      <c r="A310" s="273"/>
      <c r="B310" s="274"/>
      <c r="C310" s="278"/>
      <c r="D310" s="275">
        <v>-3.3579699999999999</v>
      </c>
      <c r="E310" s="275">
        <v>-3.32829</v>
      </c>
      <c r="F310" s="275">
        <v>-1.7676400000000001</v>
      </c>
      <c r="G310" s="275"/>
      <c r="H310" s="275"/>
      <c r="I310" s="275"/>
      <c r="J310" s="275"/>
    </row>
    <row r="311" spans="1:10">
      <c r="A311" s="273"/>
      <c r="B311" s="274"/>
      <c r="C311" s="278"/>
      <c r="D311" s="275"/>
      <c r="E311" s="275"/>
      <c r="F311" s="275"/>
      <c r="G311" s="275"/>
      <c r="H311" s="275"/>
      <c r="I311" s="275"/>
      <c r="J311" s="275"/>
    </row>
    <row r="312" spans="1:10">
      <c r="A312" s="273">
        <v>103</v>
      </c>
      <c r="B312" s="274">
        <v>33</v>
      </c>
      <c r="C312" s="278" t="s">
        <v>337</v>
      </c>
      <c r="D312" s="275" t="s">
        <v>441</v>
      </c>
      <c r="E312" s="275" t="s">
        <v>442</v>
      </c>
      <c r="F312" s="275"/>
      <c r="G312" s="275"/>
      <c r="H312" s="275"/>
      <c r="I312" s="275"/>
      <c r="J312" s="275"/>
    </row>
    <row r="313" spans="1:10">
      <c r="A313" s="273"/>
      <c r="B313" s="274"/>
      <c r="C313" s="278"/>
      <c r="D313" s="275">
        <v>-4.5472700000000001</v>
      </c>
      <c r="E313" s="275">
        <v>-4.5174000000000003</v>
      </c>
      <c r="F313" s="275"/>
      <c r="G313" s="275"/>
      <c r="H313" s="275"/>
      <c r="I313" s="275"/>
      <c r="J313" s="275"/>
    </row>
    <row r="314" spans="1:10">
      <c r="A314" s="273"/>
      <c r="B314" s="274"/>
      <c r="C314" s="278"/>
      <c r="D314" s="275"/>
      <c r="E314" s="275"/>
      <c r="F314" s="275"/>
      <c r="G314" s="275"/>
      <c r="H314" s="275"/>
      <c r="I314" s="275"/>
      <c r="J314" s="275"/>
    </row>
    <row r="315" spans="1:10">
      <c r="A315" s="273">
        <v>104</v>
      </c>
      <c r="B315" s="274">
        <v>34</v>
      </c>
      <c r="C315" s="278" t="s">
        <v>338</v>
      </c>
      <c r="D315" s="275" t="s">
        <v>441</v>
      </c>
      <c r="E315" s="275" t="s">
        <v>442</v>
      </c>
      <c r="F315" s="275" t="s">
        <v>443</v>
      </c>
      <c r="G315" s="275" t="s">
        <v>444</v>
      </c>
      <c r="H315" s="275" t="s">
        <v>445</v>
      </c>
      <c r="I315" s="275"/>
      <c r="J315" s="275"/>
    </row>
    <row r="316" spans="1:10">
      <c r="A316" s="273"/>
      <c r="B316" s="274"/>
      <c r="C316" s="278"/>
      <c r="D316" s="275">
        <v>-3.4533200000000002</v>
      </c>
      <c r="E316" s="275">
        <v>-3.4174500000000001</v>
      </c>
      <c r="F316" s="275">
        <v>-1.5742100000000001</v>
      </c>
      <c r="G316" s="275">
        <v>-1.1351800000000001</v>
      </c>
      <c r="H316" s="275">
        <v>-1.11696</v>
      </c>
      <c r="I316" s="275"/>
      <c r="J316" s="275"/>
    </row>
    <row r="317" spans="1:10">
      <c r="A317" s="273"/>
      <c r="B317" s="274"/>
      <c r="C317" s="278"/>
      <c r="D317" s="275"/>
      <c r="E317" s="275"/>
      <c r="F317" s="275"/>
      <c r="G317" s="275"/>
      <c r="H317" s="275"/>
      <c r="I317" s="275"/>
      <c r="J317" s="275"/>
    </row>
    <row r="318" spans="1:10">
      <c r="A318" s="273">
        <v>105</v>
      </c>
      <c r="B318" s="274">
        <v>34</v>
      </c>
      <c r="C318" s="278" t="s">
        <v>339</v>
      </c>
      <c r="D318" s="275" t="s">
        <v>441</v>
      </c>
      <c r="E318" s="275" t="s">
        <v>442</v>
      </c>
      <c r="F318" s="275" t="s">
        <v>443</v>
      </c>
      <c r="G318" s="275"/>
      <c r="H318" s="275"/>
      <c r="I318" s="275"/>
      <c r="J318" s="275"/>
    </row>
    <row r="319" spans="1:10">
      <c r="A319" s="273"/>
      <c r="B319" s="274"/>
      <c r="C319" s="278"/>
      <c r="D319" s="275">
        <v>-4.4995500000000002</v>
      </c>
      <c r="E319" s="275">
        <v>-4.4635899999999999</v>
      </c>
      <c r="F319" s="275">
        <v>-2.4190299999999998</v>
      </c>
      <c r="G319" s="275"/>
      <c r="H319" s="275"/>
      <c r="I319" s="275"/>
      <c r="J319" s="275"/>
    </row>
    <row r="320" spans="1:10">
      <c r="A320" s="273"/>
      <c r="B320" s="274"/>
      <c r="C320" s="278"/>
      <c r="D320" s="275"/>
      <c r="E320" s="275"/>
      <c r="F320" s="275"/>
      <c r="G320" s="275"/>
      <c r="H320" s="275"/>
      <c r="I320" s="275"/>
      <c r="J320" s="275"/>
    </row>
    <row r="321" spans="1:10">
      <c r="A321" s="273">
        <v>106</v>
      </c>
      <c r="B321" s="274">
        <v>34</v>
      </c>
      <c r="C321" s="278" t="s">
        <v>340</v>
      </c>
      <c r="D321" s="275" t="s">
        <v>441</v>
      </c>
      <c r="E321" s="275" t="s">
        <v>442</v>
      </c>
      <c r="F321" s="275"/>
      <c r="G321" s="275"/>
      <c r="H321" s="275"/>
      <c r="I321" s="275"/>
      <c r="J321" s="275"/>
    </row>
    <row r="322" spans="1:10">
      <c r="A322" s="273"/>
      <c r="B322" s="274"/>
      <c r="C322" s="278"/>
      <c r="D322" s="275">
        <v>-5.8092499999999996</v>
      </c>
      <c r="E322" s="275">
        <v>-5.7729699999999999</v>
      </c>
      <c r="F322" s="275"/>
      <c r="G322" s="275"/>
      <c r="H322" s="275"/>
      <c r="I322" s="275"/>
      <c r="J322" s="275"/>
    </row>
    <row r="323" spans="1:10">
      <c r="A323" s="273"/>
      <c r="B323" s="274"/>
      <c r="C323" s="278"/>
      <c r="D323" s="275"/>
      <c r="E323" s="275"/>
      <c r="F323" s="275"/>
      <c r="G323" s="275"/>
      <c r="H323" s="275"/>
      <c r="I323" s="275"/>
      <c r="J323" s="275"/>
    </row>
    <row r="324" spans="1:10">
      <c r="A324" s="273">
        <v>107</v>
      </c>
      <c r="B324" s="274">
        <v>35</v>
      </c>
      <c r="C324" s="278" t="s">
        <v>92</v>
      </c>
      <c r="D324" s="275" t="s">
        <v>441</v>
      </c>
      <c r="E324" s="275" t="s">
        <v>442</v>
      </c>
      <c r="F324" s="275" t="s">
        <v>443</v>
      </c>
      <c r="G324" s="275" t="s">
        <v>444</v>
      </c>
      <c r="H324" s="275" t="s">
        <v>445</v>
      </c>
      <c r="I324" s="275"/>
      <c r="J324" s="275"/>
    </row>
    <row r="325" spans="1:10">
      <c r="A325" s="273"/>
      <c r="B325" s="274"/>
      <c r="C325" s="278"/>
      <c r="D325" s="275">
        <v>-3.5921099999999999</v>
      </c>
      <c r="E325" s="275">
        <v>-3.5490900000000001</v>
      </c>
      <c r="F325" s="275">
        <v>-1.37984</v>
      </c>
      <c r="G325" s="275">
        <v>-0.83996999999999999</v>
      </c>
      <c r="H325" s="275">
        <v>-0.81796000000000002</v>
      </c>
      <c r="I325" s="275"/>
      <c r="J325" s="275"/>
    </row>
    <row r="326" spans="1:10">
      <c r="A326" s="273"/>
      <c r="B326" s="274"/>
      <c r="C326" s="278"/>
      <c r="D326" s="275"/>
      <c r="E326" s="275"/>
      <c r="F326" s="275"/>
      <c r="G326" s="275"/>
      <c r="H326" s="275"/>
      <c r="I326" s="275"/>
      <c r="J326" s="275"/>
    </row>
    <row r="327" spans="1:10">
      <c r="A327" s="273">
        <v>108</v>
      </c>
      <c r="B327" s="274">
        <v>35</v>
      </c>
      <c r="C327" s="278" t="s">
        <v>341</v>
      </c>
      <c r="D327" s="275" t="s">
        <v>441</v>
      </c>
      <c r="E327" s="275" t="s">
        <v>442</v>
      </c>
      <c r="F327" s="275" t="s">
        <v>443</v>
      </c>
      <c r="G327" s="275" t="s">
        <v>444</v>
      </c>
      <c r="H327" s="275" t="s">
        <v>445</v>
      </c>
      <c r="I327" s="275"/>
      <c r="J327" s="275"/>
    </row>
    <row r="328" spans="1:10">
      <c r="A328" s="273"/>
      <c r="B328" s="274"/>
      <c r="C328" s="278"/>
      <c r="D328" s="275">
        <v>-4.5874600000000001</v>
      </c>
      <c r="E328" s="275">
        <v>-4.5444000000000004</v>
      </c>
      <c r="F328" s="275">
        <v>-2.2053099999999999</v>
      </c>
      <c r="G328" s="275">
        <v>-1.69506</v>
      </c>
      <c r="H328" s="275">
        <v>-1.66916</v>
      </c>
      <c r="I328" s="275"/>
      <c r="J328" s="275"/>
    </row>
    <row r="329" spans="1:10">
      <c r="A329" s="273"/>
      <c r="B329" s="274"/>
      <c r="C329" s="278"/>
      <c r="D329" s="275"/>
      <c r="E329" s="275"/>
      <c r="F329" s="275"/>
      <c r="G329" s="275"/>
      <c r="H329" s="275"/>
      <c r="I329" s="275"/>
      <c r="J329" s="275"/>
    </row>
    <row r="330" spans="1:10">
      <c r="A330" s="273">
        <v>109</v>
      </c>
      <c r="B330" s="274">
        <v>35</v>
      </c>
      <c r="C330" s="278" t="s">
        <v>93</v>
      </c>
      <c r="D330" s="275" t="s">
        <v>441</v>
      </c>
      <c r="E330" s="275" t="s">
        <v>442</v>
      </c>
      <c r="F330" s="275" t="s">
        <v>443</v>
      </c>
      <c r="G330" s="275" t="s">
        <v>444</v>
      </c>
      <c r="H330" s="275" t="s">
        <v>445</v>
      </c>
      <c r="I330" s="275"/>
      <c r="J330" s="275"/>
    </row>
    <row r="331" spans="1:10">
      <c r="A331" s="273"/>
      <c r="B331" s="274"/>
      <c r="C331" s="278"/>
      <c r="D331" s="275">
        <v>-5.1565000000000003</v>
      </c>
      <c r="E331" s="275">
        <v>-5.1133800000000003</v>
      </c>
      <c r="F331" s="275">
        <v>-2.66195</v>
      </c>
      <c r="G331" s="275">
        <v>-2.1706400000000001</v>
      </c>
      <c r="H331" s="275">
        <v>-2.1424799999999999</v>
      </c>
      <c r="I331" s="275"/>
      <c r="J331" s="275"/>
    </row>
    <row r="332" spans="1:10">
      <c r="A332" s="273"/>
      <c r="B332" s="274"/>
      <c r="C332" s="278"/>
      <c r="D332" s="275"/>
      <c r="E332" s="275"/>
      <c r="F332" s="275"/>
      <c r="G332" s="275"/>
      <c r="H332" s="275"/>
      <c r="I332" s="275"/>
      <c r="J332" s="275"/>
    </row>
    <row r="333" spans="1:10">
      <c r="A333" s="273">
        <v>110</v>
      </c>
      <c r="B333" s="274">
        <v>35</v>
      </c>
      <c r="C333" s="278" t="s">
        <v>94</v>
      </c>
      <c r="D333" s="275" t="s">
        <v>441</v>
      </c>
      <c r="E333" s="275" t="s">
        <v>442</v>
      </c>
      <c r="F333" s="275" t="s">
        <v>443</v>
      </c>
      <c r="G333" s="275"/>
      <c r="H333" s="275"/>
      <c r="I333" s="275"/>
      <c r="J333" s="275"/>
    </row>
    <row r="334" spans="1:10">
      <c r="A334" s="273"/>
      <c r="B334" s="274"/>
      <c r="C334" s="278"/>
      <c r="D334" s="275">
        <v>-5.7675299999999998</v>
      </c>
      <c r="E334" s="275">
        <v>-5.7242899999999999</v>
      </c>
      <c r="F334" s="275">
        <v>-3.1440100000000002</v>
      </c>
      <c r="G334" s="275"/>
      <c r="H334" s="275"/>
      <c r="I334" s="275"/>
      <c r="J334" s="275"/>
    </row>
    <row r="335" spans="1:10">
      <c r="A335" s="273"/>
      <c r="B335" s="274"/>
      <c r="C335" s="278"/>
      <c r="D335" s="275"/>
      <c r="E335" s="275"/>
      <c r="F335" s="275"/>
      <c r="G335" s="275"/>
      <c r="H335" s="275"/>
      <c r="I335" s="275"/>
      <c r="J335" s="275"/>
    </row>
    <row r="336" spans="1:10">
      <c r="A336" s="273">
        <v>111</v>
      </c>
      <c r="B336" s="274">
        <v>35</v>
      </c>
      <c r="C336" s="278" t="s">
        <v>342</v>
      </c>
      <c r="D336" s="275" t="s">
        <v>441</v>
      </c>
      <c r="E336" s="275" t="s">
        <v>442</v>
      </c>
      <c r="F336" s="275"/>
      <c r="G336" s="275"/>
      <c r="H336" s="275"/>
      <c r="I336" s="275"/>
      <c r="J336" s="275"/>
    </row>
    <row r="337" spans="1:10">
      <c r="A337" s="273"/>
      <c r="B337" s="274"/>
      <c r="C337" s="278"/>
      <c r="D337" s="275">
        <v>-7.1929800000000004</v>
      </c>
      <c r="E337" s="275">
        <v>-7.1493200000000003</v>
      </c>
      <c r="F337" s="275"/>
      <c r="G337" s="275"/>
      <c r="H337" s="275"/>
      <c r="I337" s="275"/>
      <c r="J337" s="275"/>
    </row>
    <row r="338" spans="1:10">
      <c r="A338" s="273"/>
      <c r="B338" s="274"/>
      <c r="C338" s="278"/>
      <c r="D338" s="275"/>
      <c r="E338" s="275"/>
      <c r="F338" s="275"/>
      <c r="G338" s="275"/>
      <c r="H338" s="275"/>
      <c r="I338" s="275"/>
      <c r="J338" s="275"/>
    </row>
    <row r="339" spans="1:10">
      <c r="A339" s="273">
        <v>112</v>
      </c>
      <c r="B339" s="274">
        <v>35</v>
      </c>
      <c r="C339" s="278" t="s">
        <v>343</v>
      </c>
      <c r="D339" s="275" t="s">
        <v>441</v>
      </c>
      <c r="E339" s="275" t="s">
        <v>442</v>
      </c>
      <c r="F339" s="275" t="s">
        <v>443</v>
      </c>
      <c r="G339" s="275" t="s">
        <v>444</v>
      </c>
      <c r="H339" s="275" t="s">
        <v>445</v>
      </c>
      <c r="I339" s="275"/>
      <c r="J339" s="275"/>
    </row>
    <row r="340" spans="1:10">
      <c r="A340" s="273"/>
      <c r="B340" s="274"/>
      <c r="C340" s="278"/>
      <c r="D340" s="275">
        <v>-2.8410899999999999</v>
      </c>
      <c r="E340" s="275">
        <v>-2.7979500000000002</v>
      </c>
      <c r="F340" s="275">
        <v>-0.71270999999999995</v>
      </c>
      <c r="G340" s="275">
        <v>-0.1515</v>
      </c>
      <c r="H340" s="275">
        <v>-0.13103000000000001</v>
      </c>
      <c r="I340" s="275"/>
      <c r="J340" s="275"/>
    </row>
    <row r="341" spans="1:10">
      <c r="A341" s="273"/>
      <c r="B341" s="274"/>
      <c r="C341" s="278"/>
      <c r="D341" s="275"/>
      <c r="E341" s="275"/>
      <c r="F341" s="275"/>
      <c r="G341" s="275"/>
      <c r="H341" s="275"/>
      <c r="I341" s="275"/>
      <c r="J341" s="275"/>
    </row>
    <row r="342" spans="1:10">
      <c r="A342" s="273">
        <v>113</v>
      </c>
      <c r="B342" s="274">
        <v>36</v>
      </c>
      <c r="C342" s="278" t="s">
        <v>344</v>
      </c>
      <c r="D342" s="275" t="s">
        <v>441</v>
      </c>
      <c r="E342" s="275" t="s">
        <v>442</v>
      </c>
      <c r="F342" s="275" t="s">
        <v>443</v>
      </c>
      <c r="G342" s="275" t="s">
        <v>444</v>
      </c>
      <c r="H342" s="275" t="s">
        <v>445</v>
      </c>
      <c r="I342" s="275"/>
      <c r="J342" s="275"/>
    </row>
    <row r="343" spans="1:10">
      <c r="A343" s="273"/>
      <c r="B343" s="274"/>
      <c r="C343" s="278"/>
      <c r="D343" s="275">
        <v>-4.7134200000000002</v>
      </c>
      <c r="E343" s="275">
        <v>-4.6622300000000001</v>
      </c>
      <c r="F343" s="275">
        <v>-1.98739</v>
      </c>
      <c r="G343" s="275">
        <v>-1.3682399999999999</v>
      </c>
      <c r="H343" s="275">
        <v>-1.3378099999999999</v>
      </c>
      <c r="I343" s="275"/>
      <c r="J343" s="275"/>
    </row>
    <row r="344" spans="1:10">
      <c r="A344" s="273"/>
      <c r="B344" s="274"/>
      <c r="C344" s="278"/>
      <c r="D344" s="275"/>
      <c r="E344" s="275"/>
      <c r="F344" s="275"/>
      <c r="G344" s="275"/>
      <c r="H344" s="275"/>
      <c r="I344" s="275"/>
      <c r="J344" s="275"/>
    </row>
    <row r="345" spans="1:10">
      <c r="A345" s="273">
        <v>114</v>
      </c>
      <c r="B345" s="274">
        <v>37</v>
      </c>
      <c r="C345" s="278" t="s">
        <v>95</v>
      </c>
      <c r="D345" s="275" t="s">
        <v>441</v>
      </c>
      <c r="E345" s="275" t="s">
        <v>442</v>
      </c>
      <c r="F345" s="275" t="s">
        <v>443</v>
      </c>
      <c r="G345" s="275" t="s">
        <v>444</v>
      </c>
      <c r="H345" s="275" t="s">
        <v>445</v>
      </c>
      <c r="I345" s="275"/>
      <c r="J345" s="275"/>
    </row>
    <row r="346" spans="1:10">
      <c r="A346" s="273"/>
      <c r="B346" s="274"/>
      <c r="C346" s="278"/>
      <c r="D346" s="275">
        <v>-4.8792999999999997</v>
      </c>
      <c r="E346" s="275">
        <v>-4.8188300000000002</v>
      </c>
      <c r="F346" s="275">
        <v>-1.76715</v>
      </c>
      <c r="G346" s="275">
        <v>-1.03379</v>
      </c>
      <c r="H346" s="275">
        <v>-0.99765000000000004</v>
      </c>
      <c r="I346" s="275"/>
      <c r="J346" s="275"/>
    </row>
    <row r="347" spans="1:10">
      <c r="A347" s="273"/>
      <c r="B347" s="274"/>
      <c r="C347" s="278"/>
      <c r="D347" s="275"/>
      <c r="E347" s="275"/>
      <c r="F347" s="275"/>
      <c r="G347" s="275"/>
      <c r="H347" s="275"/>
      <c r="I347" s="275"/>
      <c r="J347" s="275"/>
    </row>
    <row r="348" spans="1:10">
      <c r="A348" s="273">
        <v>115</v>
      </c>
      <c r="B348" s="274">
        <v>38</v>
      </c>
      <c r="C348" s="278" t="s">
        <v>345</v>
      </c>
      <c r="D348" s="275" t="s">
        <v>441</v>
      </c>
      <c r="E348" s="275" t="s">
        <v>442</v>
      </c>
      <c r="F348" s="275" t="s">
        <v>443</v>
      </c>
      <c r="G348" s="275" t="s">
        <v>444</v>
      </c>
      <c r="H348" s="275" t="s">
        <v>445</v>
      </c>
      <c r="I348" s="275"/>
      <c r="J348" s="275"/>
    </row>
    <row r="349" spans="1:10">
      <c r="A349" s="273"/>
      <c r="B349" s="274"/>
      <c r="C349" s="278"/>
      <c r="D349" s="275">
        <v>-6.1259800000000002</v>
      </c>
      <c r="E349" s="275">
        <v>-6.0550499999999996</v>
      </c>
      <c r="F349" s="275">
        <v>-2.4344899999999998</v>
      </c>
      <c r="G349" s="275">
        <v>-1.61378</v>
      </c>
      <c r="H349" s="275">
        <v>-1.5668500000000001</v>
      </c>
      <c r="I349" s="275"/>
      <c r="J349" s="275"/>
    </row>
    <row r="350" spans="1:10">
      <c r="A350" s="273"/>
      <c r="B350" s="274"/>
      <c r="C350" s="278"/>
      <c r="D350" s="275"/>
      <c r="E350" s="275"/>
      <c r="F350" s="275"/>
      <c r="G350" s="275"/>
      <c r="H350" s="275"/>
      <c r="I350" s="275"/>
      <c r="J350" s="275"/>
    </row>
    <row r="351" spans="1:10">
      <c r="A351" s="273">
        <v>116</v>
      </c>
      <c r="B351" s="274">
        <v>39</v>
      </c>
      <c r="C351" s="278" t="s">
        <v>346</v>
      </c>
      <c r="D351" s="275" t="s">
        <v>446</v>
      </c>
      <c r="E351" s="275" t="s">
        <v>447</v>
      </c>
      <c r="F351" s="275"/>
      <c r="G351" s="275"/>
      <c r="H351" s="275"/>
      <c r="I351" s="275"/>
      <c r="J351" s="275"/>
    </row>
    <row r="352" spans="1:10">
      <c r="A352" s="273"/>
      <c r="B352" s="274"/>
      <c r="C352" s="278"/>
      <c r="D352" s="275">
        <v>-0.73114000000000001</v>
      </c>
      <c r="E352" s="275">
        <v>-0.72828999999999999</v>
      </c>
      <c r="F352" s="275"/>
      <c r="G352" s="275"/>
      <c r="H352" s="275"/>
      <c r="I352" s="275"/>
      <c r="J352" s="275"/>
    </row>
    <row r="353" spans="1:10">
      <c r="A353" s="273"/>
      <c r="B353" s="274"/>
      <c r="C353" s="278"/>
      <c r="D353" s="275"/>
      <c r="E353" s="275"/>
      <c r="F353" s="275"/>
      <c r="G353" s="275"/>
      <c r="H353" s="275"/>
      <c r="I353" s="275"/>
      <c r="J353" s="275"/>
    </row>
    <row r="354" spans="1:10">
      <c r="A354" s="273">
        <v>117</v>
      </c>
      <c r="B354" s="274">
        <v>39</v>
      </c>
      <c r="C354" s="278" t="s">
        <v>96</v>
      </c>
      <c r="D354" s="275" t="s">
        <v>441</v>
      </c>
      <c r="E354" s="275" t="s">
        <v>442</v>
      </c>
      <c r="F354" s="275" t="s">
        <v>443</v>
      </c>
      <c r="G354" s="275" t="s">
        <v>444</v>
      </c>
      <c r="H354" s="275" t="s">
        <v>445</v>
      </c>
      <c r="I354" s="275"/>
      <c r="J354" s="275"/>
    </row>
    <row r="355" spans="1:10">
      <c r="A355" s="273"/>
      <c r="B355" s="274"/>
      <c r="C355" s="278"/>
      <c r="D355" s="275">
        <v>-7.5073999999999996</v>
      </c>
      <c r="E355" s="275">
        <v>-7.4246999999999996</v>
      </c>
      <c r="F355" s="275">
        <v>-3.1826599999999998</v>
      </c>
      <c r="G355" s="275">
        <v>-2.27474</v>
      </c>
      <c r="H355" s="275">
        <v>-2.2151800000000001</v>
      </c>
      <c r="I355" s="275"/>
      <c r="J355" s="275"/>
    </row>
    <row r="356" spans="1:10">
      <c r="A356" s="273"/>
      <c r="B356" s="274"/>
      <c r="C356" s="278"/>
      <c r="D356" s="275"/>
      <c r="E356" s="275"/>
      <c r="F356" s="275"/>
      <c r="G356" s="275"/>
      <c r="H356" s="275"/>
      <c r="I356" s="275"/>
      <c r="J356" s="275"/>
    </row>
    <row r="357" spans="1:10">
      <c r="A357" s="273">
        <v>118</v>
      </c>
      <c r="B357" s="274">
        <v>40</v>
      </c>
      <c r="C357" s="278" t="s">
        <v>97</v>
      </c>
      <c r="D357" s="275" t="s">
        <v>446</v>
      </c>
      <c r="E357" s="275" t="s">
        <v>447</v>
      </c>
      <c r="F357" s="275" t="s">
        <v>448</v>
      </c>
      <c r="G357" s="275"/>
      <c r="H357" s="275"/>
      <c r="I357" s="275"/>
      <c r="J357" s="275"/>
    </row>
    <row r="358" spans="1:10">
      <c r="A358" s="273"/>
      <c r="B358" s="274"/>
      <c r="C358" s="278"/>
      <c r="D358" s="275">
        <v>-0.53285000000000005</v>
      </c>
      <c r="E358" s="275">
        <v>-0.52881999999999996</v>
      </c>
      <c r="F358" s="275">
        <v>-0.44218000000000002</v>
      </c>
      <c r="G358" s="275"/>
      <c r="H358" s="275"/>
      <c r="I358" s="275"/>
      <c r="J358" s="275"/>
    </row>
    <row r="359" spans="1:10">
      <c r="A359" s="273"/>
      <c r="B359" s="274"/>
      <c r="C359" s="278"/>
      <c r="D359" s="275"/>
      <c r="E359" s="275"/>
      <c r="F359" s="275"/>
      <c r="G359" s="275"/>
      <c r="H359" s="275"/>
      <c r="I359" s="275"/>
      <c r="J359" s="275"/>
    </row>
    <row r="360" spans="1:10">
      <c r="A360" s="273">
        <v>119</v>
      </c>
      <c r="B360" s="274">
        <v>40</v>
      </c>
      <c r="C360" s="278" t="s">
        <v>98</v>
      </c>
      <c r="D360" s="275" t="s">
        <v>446</v>
      </c>
      <c r="E360" s="275" t="s">
        <v>447</v>
      </c>
      <c r="F360" s="275"/>
      <c r="G360" s="275"/>
      <c r="H360" s="275"/>
      <c r="I360" s="275"/>
      <c r="J360" s="275"/>
    </row>
    <row r="361" spans="1:10">
      <c r="A361" s="273"/>
      <c r="B361" s="274"/>
      <c r="C361" s="278"/>
      <c r="D361" s="275">
        <v>-0.81320000000000003</v>
      </c>
      <c r="E361" s="275">
        <v>-0.80878000000000005</v>
      </c>
      <c r="F361" s="275"/>
      <c r="G361" s="275"/>
      <c r="H361" s="275"/>
      <c r="I361" s="275"/>
      <c r="J361" s="275"/>
    </row>
    <row r="362" spans="1:10">
      <c r="A362" s="273"/>
      <c r="B362" s="274"/>
      <c r="C362" s="278"/>
      <c r="D362" s="275"/>
      <c r="E362" s="275"/>
      <c r="F362" s="275"/>
      <c r="G362" s="275"/>
      <c r="H362" s="275"/>
      <c r="I362" s="275"/>
      <c r="J362" s="275"/>
    </row>
    <row r="363" spans="1:10">
      <c r="A363" s="273">
        <v>120</v>
      </c>
      <c r="B363" s="274">
        <v>40</v>
      </c>
      <c r="C363" s="278" t="s">
        <v>99</v>
      </c>
      <c r="D363" s="275" t="s">
        <v>446</v>
      </c>
      <c r="E363" s="275" t="s">
        <v>447</v>
      </c>
      <c r="F363" s="275"/>
      <c r="G363" s="275"/>
      <c r="H363" s="275"/>
      <c r="I363" s="275"/>
      <c r="J363" s="275"/>
    </row>
    <row r="364" spans="1:10">
      <c r="A364" s="273"/>
      <c r="B364" s="274"/>
      <c r="C364" s="278"/>
      <c r="D364" s="275">
        <v>-1.24136</v>
      </c>
      <c r="E364" s="275">
        <v>-1.2359800000000001</v>
      </c>
      <c r="F364" s="275"/>
      <c r="G364" s="275"/>
      <c r="H364" s="275"/>
      <c r="I364" s="275"/>
      <c r="J364" s="275"/>
    </row>
    <row r="365" spans="1:10">
      <c r="A365" s="273"/>
      <c r="B365" s="274"/>
      <c r="C365" s="278"/>
      <c r="D365" s="275"/>
      <c r="E365" s="275"/>
      <c r="F365" s="275"/>
      <c r="G365" s="275"/>
      <c r="H365" s="275"/>
      <c r="I365" s="275"/>
      <c r="J365" s="275"/>
    </row>
    <row r="366" spans="1:10">
      <c r="A366" s="273">
        <v>121</v>
      </c>
      <c r="B366" s="274">
        <v>40</v>
      </c>
      <c r="C366" s="278" t="s">
        <v>100</v>
      </c>
      <c r="D366" s="275" t="s">
        <v>441</v>
      </c>
      <c r="E366" s="275" t="s">
        <v>442</v>
      </c>
      <c r="F366" s="275" t="s">
        <v>443</v>
      </c>
      <c r="G366" s="275" t="s">
        <v>444</v>
      </c>
      <c r="H366" s="275" t="s">
        <v>445</v>
      </c>
      <c r="I366" s="275"/>
      <c r="J366" s="275"/>
    </row>
    <row r="367" spans="1:10">
      <c r="A367" s="273"/>
      <c r="B367" s="274"/>
      <c r="C367" s="278"/>
      <c r="D367" s="275">
        <v>-9.0177499999999995</v>
      </c>
      <c r="E367" s="275">
        <v>-8.9218399999999995</v>
      </c>
      <c r="F367" s="275">
        <v>-4.0076999999999998</v>
      </c>
      <c r="G367" s="275">
        <v>-3.01275</v>
      </c>
      <c r="H367" s="275">
        <v>-2.9386000000000001</v>
      </c>
      <c r="I367" s="275"/>
      <c r="J367" s="275"/>
    </row>
    <row r="368" spans="1:10">
      <c r="A368" s="273"/>
      <c r="B368" s="274"/>
      <c r="C368" s="278"/>
      <c r="D368" s="275"/>
      <c r="E368" s="275"/>
      <c r="F368" s="275"/>
      <c r="G368" s="275"/>
      <c r="H368" s="275"/>
      <c r="I368" s="275"/>
      <c r="J368" s="275"/>
    </row>
    <row r="369" spans="1:10">
      <c r="A369" s="273">
        <v>122</v>
      </c>
      <c r="B369" s="274">
        <v>41</v>
      </c>
      <c r="C369" s="278" t="s">
        <v>347</v>
      </c>
      <c r="D369" s="275" t="s">
        <v>446</v>
      </c>
      <c r="E369" s="275" t="s">
        <v>447</v>
      </c>
      <c r="F369" s="275"/>
      <c r="G369" s="275"/>
      <c r="H369" s="275"/>
      <c r="I369" s="275"/>
      <c r="J369" s="275"/>
    </row>
    <row r="370" spans="1:10">
      <c r="A370" s="273"/>
      <c r="B370" s="274"/>
      <c r="C370" s="278"/>
      <c r="D370" s="275">
        <v>-0.89183999999999997</v>
      </c>
      <c r="E370" s="275">
        <v>-0.88556999999999997</v>
      </c>
      <c r="F370" s="275"/>
      <c r="G370" s="275"/>
      <c r="H370" s="275"/>
      <c r="I370" s="275"/>
      <c r="J370" s="275"/>
    </row>
    <row r="371" spans="1:10">
      <c r="A371" s="273"/>
      <c r="B371" s="274"/>
      <c r="C371" s="278"/>
      <c r="D371" s="275"/>
      <c r="E371" s="275"/>
      <c r="F371" s="275"/>
      <c r="G371" s="275"/>
      <c r="H371" s="275"/>
      <c r="I371" s="275"/>
      <c r="J371" s="275"/>
    </row>
    <row r="372" spans="1:10">
      <c r="A372" s="273">
        <v>123</v>
      </c>
      <c r="B372" s="274">
        <v>41</v>
      </c>
      <c r="C372" s="278" t="s">
        <v>101</v>
      </c>
      <c r="D372" s="275" t="s">
        <v>446</v>
      </c>
      <c r="E372" s="275" t="s">
        <v>447</v>
      </c>
      <c r="F372" s="275"/>
      <c r="G372" s="275"/>
      <c r="H372" s="275"/>
      <c r="I372" s="275"/>
      <c r="J372" s="275"/>
    </row>
    <row r="373" spans="1:10">
      <c r="A373" s="273"/>
      <c r="B373" s="274"/>
      <c r="C373" s="278"/>
      <c r="D373" s="275">
        <v>-1.34049</v>
      </c>
      <c r="E373" s="275">
        <v>-1.33324</v>
      </c>
      <c r="F373" s="275"/>
      <c r="G373" s="275"/>
      <c r="H373" s="275"/>
      <c r="I373" s="275"/>
      <c r="J373" s="275"/>
    </row>
    <row r="374" spans="1:10">
      <c r="A374" s="273"/>
      <c r="B374" s="274"/>
      <c r="C374" s="278"/>
      <c r="D374" s="275"/>
      <c r="E374" s="275"/>
      <c r="F374" s="275"/>
      <c r="G374" s="275"/>
      <c r="H374" s="275"/>
      <c r="I374" s="275"/>
      <c r="J374" s="275"/>
    </row>
    <row r="375" spans="1:10">
      <c r="A375" s="273">
        <v>124</v>
      </c>
      <c r="B375" s="274">
        <v>41</v>
      </c>
      <c r="C375" s="278" t="s">
        <v>102</v>
      </c>
      <c r="D375" s="275" t="s">
        <v>446</v>
      </c>
      <c r="E375" s="275" t="s">
        <v>447</v>
      </c>
      <c r="F375" s="275"/>
      <c r="G375" s="275"/>
      <c r="H375" s="275"/>
      <c r="I375" s="275"/>
      <c r="J375" s="275"/>
    </row>
    <row r="376" spans="1:10">
      <c r="A376" s="273"/>
      <c r="B376" s="274"/>
      <c r="C376" s="278"/>
      <c r="D376" s="275">
        <v>-1.8344199999999999</v>
      </c>
      <c r="E376" s="275">
        <v>-1.8261099999999999</v>
      </c>
      <c r="F376" s="275"/>
      <c r="G376" s="275"/>
      <c r="H376" s="275"/>
      <c r="I376" s="275"/>
      <c r="J376" s="275"/>
    </row>
    <row r="377" spans="1:10">
      <c r="A377" s="273"/>
      <c r="B377" s="274"/>
      <c r="C377" s="278"/>
      <c r="D377" s="275"/>
      <c r="E377" s="275"/>
      <c r="F377" s="275"/>
      <c r="G377" s="275"/>
      <c r="H377" s="275"/>
      <c r="I377" s="275"/>
      <c r="J377" s="275"/>
    </row>
    <row r="378" spans="1:10">
      <c r="A378" s="273">
        <v>125</v>
      </c>
      <c r="B378" s="274">
        <v>41</v>
      </c>
      <c r="C378" s="278" t="s">
        <v>103</v>
      </c>
      <c r="D378" s="275" t="s">
        <v>441</v>
      </c>
      <c r="E378" s="275" t="s">
        <v>442</v>
      </c>
      <c r="F378" s="275" t="s">
        <v>443</v>
      </c>
      <c r="G378" s="275" t="s">
        <v>444</v>
      </c>
      <c r="H378" s="275" t="s">
        <v>445</v>
      </c>
      <c r="I378" s="275"/>
      <c r="J378" s="275"/>
    </row>
    <row r="379" spans="1:10">
      <c r="A379" s="273"/>
      <c r="B379" s="274"/>
      <c r="C379" s="278"/>
      <c r="D379" s="275">
        <v>-10.653269999999999</v>
      </c>
      <c r="E379" s="275">
        <v>-10.5426</v>
      </c>
      <c r="F379" s="275">
        <v>-4.9071699999999998</v>
      </c>
      <c r="G379" s="275">
        <v>-3.8253300000000001</v>
      </c>
      <c r="H379" s="275">
        <v>-3.7344900000000001</v>
      </c>
      <c r="I379" s="275"/>
      <c r="J379" s="275"/>
    </row>
    <row r="380" spans="1:10">
      <c r="A380" s="273"/>
      <c r="B380" s="274"/>
      <c r="C380" s="278"/>
      <c r="D380" s="275"/>
      <c r="E380" s="275"/>
      <c r="F380" s="275"/>
      <c r="G380" s="275"/>
      <c r="H380" s="275"/>
      <c r="I380" s="275"/>
      <c r="J380" s="275"/>
    </row>
    <row r="381" spans="1:10">
      <c r="A381" s="273">
        <v>126</v>
      </c>
      <c r="B381" s="274">
        <v>42</v>
      </c>
      <c r="C381" s="278" t="s">
        <v>104</v>
      </c>
      <c r="D381" s="275" t="s">
        <v>446</v>
      </c>
      <c r="E381" s="275" t="s">
        <v>447</v>
      </c>
      <c r="F381" s="275"/>
      <c r="G381" s="275"/>
      <c r="H381" s="275"/>
      <c r="I381" s="275"/>
      <c r="J381" s="275"/>
    </row>
    <row r="382" spans="1:10">
      <c r="A382" s="273"/>
      <c r="B382" s="274"/>
      <c r="C382" s="278"/>
      <c r="D382" s="275">
        <v>-0.55423999999999995</v>
      </c>
      <c r="E382" s="275">
        <v>-0.54661999999999999</v>
      </c>
      <c r="F382" s="275"/>
      <c r="G382" s="275"/>
      <c r="H382" s="275"/>
      <c r="I382" s="275"/>
      <c r="J382" s="275"/>
    </row>
    <row r="383" spans="1:10">
      <c r="A383" s="273"/>
      <c r="B383" s="274"/>
      <c r="C383" s="278"/>
      <c r="D383" s="275"/>
      <c r="E383" s="275"/>
      <c r="F383" s="275"/>
      <c r="G383" s="275"/>
      <c r="H383" s="275"/>
      <c r="I383" s="275"/>
      <c r="J383" s="275"/>
    </row>
    <row r="384" spans="1:10">
      <c r="A384" s="273">
        <v>127</v>
      </c>
      <c r="B384" s="274">
        <v>42</v>
      </c>
      <c r="C384" s="278" t="s">
        <v>105</v>
      </c>
      <c r="D384" s="275" t="s">
        <v>446</v>
      </c>
      <c r="E384" s="275" t="s">
        <v>447</v>
      </c>
      <c r="F384" s="275"/>
      <c r="G384" s="275"/>
      <c r="H384" s="275"/>
      <c r="I384" s="275"/>
      <c r="J384" s="275"/>
    </row>
    <row r="385" spans="1:10">
      <c r="A385" s="273"/>
      <c r="B385" s="274"/>
      <c r="C385" s="278"/>
      <c r="D385" s="275">
        <v>-0.96847000000000005</v>
      </c>
      <c r="E385" s="275">
        <v>-0.96004</v>
      </c>
      <c r="F385" s="275"/>
      <c r="G385" s="275"/>
      <c r="H385" s="275"/>
      <c r="I385" s="275"/>
      <c r="J385" s="275"/>
    </row>
    <row r="386" spans="1:10">
      <c r="A386" s="273"/>
      <c r="B386" s="274"/>
      <c r="C386" s="278"/>
      <c r="D386" s="275"/>
      <c r="E386" s="275"/>
      <c r="F386" s="275"/>
      <c r="G386" s="275"/>
      <c r="H386" s="275"/>
      <c r="I386" s="275"/>
      <c r="J386" s="275"/>
    </row>
    <row r="387" spans="1:10">
      <c r="A387" s="273">
        <v>128</v>
      </c>
      <c r="B387" s="274">
        <v>42</v>
      </c>
      <c r="C387" s="278" t="s">
        <v>106</v>
      </c>
      <c r="D387" s="275" t="s">
        <v>446</v>
      </c>
      <c r="E387" s="275" t="s">
        <v>447</v>
      </c>
      <c r="F387" s="275"/>
      <c r="G387" s="275"/>
      <c r="H387" s="275"/>
      <c r="I387" s="275"/>
      <c r="J387" s="275"/>
    </row>
    <row r="388" spans="1:10">
      <c r="A388" s="273"/>
      <c r="B388" s="274"/>
      <c r="C388" s="278"/>
      <c r="D388" s="275">
        <v>-1.43764</v>
      </c>
      <c r="E388" s="275">
        <v>-1.4281999999999999</v>
      </c>
      <c r="F388" s="275"/>
      <c r="G388" s="275"/>
      <c r="H388" s="275"/>
      <c r="I388" s="275"/>
      <c r="J388" s="275"/>
    </row>
    <row r="389" spans="1:10">
      <c r="A389" s="273"/>
      <c r="B389" s="274"/>
      <c r="C389" s="278"/>
      <c r="D389" s="275"/>
      <c r="E389" s="275"/>
      <c r="F389" s="275"/>
      <c r="G389" s="275"/>
      <c r="H389" s="275"/>
      <c r="I389" s="275"/>
      <c r="J389" s="275"/>
    </row>
    <row r="390" spans="1:10">
      <c r="A390" s="273">
        <v>129</v>
      </c>
      <c r="B390" s="274">
        <v>42</v>
      </c>
      <c r="C390" s="278" t="s">
        <v>107</v>
      </c>
      <c r="D390" s="275" t="s">
        <v>446</v>
      </c>
      <c r="E390" s="275" t="s">
        <v>447</v>
      </c>
      <c r="F390" s="275"/>
      <c r="G390" s="275"/>
      <c r="H390" s="275"/>
      <c r="I390" s="275"/>
      <c r="J390" s="275"/>
    </row>
    <row r="391" spans="1:10">
      <c r="A391" s="273"/>
      <c r="B391" s="274"/>
      <c r="C391" s="278"/>
      <c r="D391" s="275">
        <v>-1.95167</v>
      </c>
      <c r="E391" s="275">
        <v>-1.94112</v>
      </c>
      <c r="F391" s="275"/>
      <c r="G391" s="275"/>
      <c r="H391" s="275"/>
      <c r="I391" s="275"/>
      <c r="J391" s="275"/>
    </row>
    <row r="392" spans="1:10">
      <c r="A392" s="273"/>
      <c r="B392" s="274"/>
      <c r="C392" s="278"/>
      <c r="D392" s="275"/>
      <c r="E392" s="275"/>
      <c r="F392" s="275"/>
      <c r="G392" s="275"/>
      <c r="H392" s="275"/>
      <c r="I392" s="275"/>
      <c r="J392" s="275"/>
    </row>
    <row r="393" spans="1:10">
      <c r="A393" s="273">
        <v>130</v>
      </c>
      <c r="B393" s="274">
        <v>42</v>
      </c>
      <c r="C393" s="278" t="s">
        <v>108</v>
      </c>
      <c r="D393" s="275" t="s">
        <v>446</v>
      </c>
      <c r="E393" s="275" t="s">
        <v>447</v>
      </c>
      <c r="F393" s="275"/>
      <c r="G393" s="275"/>
      <c r="H393" s="275"/>
      <c r="I393" s="275"/>
      <c r="J393" s="275"/>
    </row>
    <row r="394" spans="1:10">
      <c r="A394" s="273"/>
      <c r="B394" s="274"/>
      <c r="C394" s="278"/>
      <c r="D394" s="275">
        <v>-2.50467</v>
      </c>
      <c r="E394" s="275">
        <v>-2.4929600000000001</v>
      </c>
      <c r="F394" s="275"/>
      <c r="G394" s="275"/>
      <c r="H394" s="275"/>
      <c r="I394" s="275"/>
      <c r="J394" s="275"/>
    </row>
    <row r="395" spans="1:10">
      <c r="A395" s="273"/>
      <c r="B395" s="274"/>
      <c r="C395" s="278"/>
      <c r="D395" s="275"/>
      <c r="E395" s="275"/>
      <c r="F395" s="275"/>
      <c r="G395" s="275"/>
      <c r="H395" s="275"/>
      <c r="I395" s="275"/>
      <c r="J395" s="275"/>
    </row>
    <row r="396" spans="1:10">
      <c r="A396" s="273">
        <v>131</v>
      </c>
      <c r="B396" s="274">
        <v>42</v>
      </c>
      <c r="C396" s="278" t="s">
        <v>109</v>
      </c>
      <c r="D396" s="275" t="s">
        <v>441</v>
      </c>
      <c r="E396" s="275" t="s">
        <v>442</v>
      </c>
      <c r="F396" s="275" t="s">
        <v>443</v>
      </c>
      <c r="G396" s="275" t="s">
        <v>444</v>
      </c>
      <c r="H396" s="275" t="s">
        <v>445</v>
      </c>
      <c r="I396" s="275"/>
      <c r="J396" s="275"/>
    </row>
    <row r="397" spans="1:10">
      <c r="A397" s="273"/>
      <c r="B397" s="274"/>
      <c r="C397" s="278"/>
      <c r="D397" s="275">
        <v>-12.41137</v>
      </c>
      <c r="E397" s="275">
        <v>-12.2843</v>
      </c>
      <c r="F397" s="275">
        <v>-5.8794899999999997</v>
      </c>
      <c r="G397" s="275">
        <v>-4.71082</v>
      </c>
      <c r="H397" s="275">
        <v>-4.6010200000000001</v>
      </c>
      <c r="I397" s="275"/>
      <c r="J397" s="275"/>
    </row>
    <row r="398" spans="1:10">
      <c r="A398" s="273"/>
      <c r="B398" s="274"/>
      <c r="C398" s="278"/>
      <c r="D398" s="275"/>
      <c r="E398" s="275"/>
      <c r="F398" s="275"/>
      <c r="G398" s="275"/>
      <c r="H398" s="275"/>
      <c r="I398" s="275"/>
      <c r="J398" s="275"/>
    </row>
    <row r="399" spans="1:10">
      <c r="A399" s="273">
        <v>132</v>
      </c>
      <c r="B399" s="274">
        <v>43</v>
      </c>
      <c r="C399" s="278" t="s">
        <v>110</v>
      </c>
      <c r="D399" s="275" t="s">
        <v>446</v>
      </c>
      <c r="E399" s="275" t="s">
        <v>447</v>
      </c>
      <c r="F399" s="275" t="s">
        <v>448</v>
      </c>
      <c r="G399" s="275"/>
      <c r="H399" s="275"/>
      <c r="I399" s="275"/>
      <c r="J399" s="275"/>
    </row>
    <row r="400" spans="1:10">
      <c r="A400" s="273"/>
      <c r="B400" s="274"/>
      <c r="C400" s="278"/>
      <c r="D400" s="275">
        <v>-0.73001000000000005</v>
      </c>
      <c r="E400" s="275">
        <v>-0.71936999999999995</v>
      </c>
      <c r="F400" s="275">
        <v>-0.50156999999999996</v>
      </c>
      <c r="G400" s="275"/>
      <c r="H400" s="275"/>
      <c r="I400" s="275"/>
      <c r="J400" s="275"/>
    </row>
    <row r="401" spans="1:10">
      <c r="A401" s="273"/>
      <c r="B401" s="274"/>
      <c r="C401" s="278"/>
      <c r="D401" s="275"/>
      <c r="E401" s="275"/>
      <c r="F401" s="275"/>
      <c r="G401" s="275"/>
      <c r="H401" s="275"/>
      <c r="I401" s="275"/>
      <c r="J401" s="275"/>
    </row>
    <row r="402" spans="1:10">
      <c r="A402" s="273">
        <v>133</v>
      </c>
      <c r="B402" s="274">
        <v>43</v>
      </c>
      <c r="C402" s="278" t="s">
        <v>111</v>
      </c>
      <c r="D402" s="275" t="s">
        <v>446</v>
      </c>
      <c r="E402" s="275" t="s">
        <v>447</v>
      </c>
      <c r="F402" s="275"/>
      <c r="G402" s="275"/>
      <c r="H402" s="275"/>
      <c r="I402" s="275"/>
      <c r="J402" s="275"/>
    </row>
    <row r="403" spans="1:10">
      <c r="A403" s="273"/>
      <c r="B403" s="274"/>
      <c r="C403" s="278"/>
      <c r="D403" s="275">
        <v>-1.04389</v>
      </c>
      <c r="E403" s="275">
        <v>-1.0329699999999999</v>
      </c>
      <c r="F403" s="275"/>
      <c r="G403" s="275"/>
      <c r="H403" s="275"/>
      <c r="I403" s="275"/>
      <c r="J403" s="275"/>
    </row>
    <row r="404" spans="1:10">
      <c r="A404" s="273"/>
      <c r="B404" s="274"/>
      <c r="C404" s="278"/>
      <c r="D404" s="275"/>
      <c r="E404" s="275"/>
      <c r="F404" s="275"/>
      <c r="G404" s="275"/>
      <c r="H404" s="275"/>
      <c r="I404" s="275"/>
      <c r="J404" s="275"/>
    </row>
    <row r="405" spans="1:10">
      <c r="A405" s="273">
        <v>134</v>
      </c>
      <c r="B405" s="274">
        <v>43</v>
      </c>
      <c r="C405" s="278" t="s">
        <v>112</v>
      </c>
      <c r="D405" s="275" t="s">
        <v>446</v>
      </c>
      <c r="E405" s="275" t="s">
        <v>447</v>
      </c>
      <c r="F405" s="275"/>
      <c r="G405" s="275"/>
      <c r="H405" s="275"/>
      <c r="I405" s="275"/>
      <c r="J405" s="275"/>
    </row>
    <row r="406" spans="1:10">
      <c r="A406" s="273"/>
      <c r="B406" s="274"/>
      <c r="C406" s="278"/>
      <c r="D406" s="275">
        <v>-1.5334700000000001</v>
      </c>
      <c r="E406" s="275">
        <v>-1.52152</v>
      </c>
      <c r="F406" s="275"/>
      <c r="G406" s="275"/>
      <c r="H406" s="275"/>
      <c r="I406" s="275"/>
      <c r="J406" s="275"/>
    </row>
    <row r="407" spans="1:10">
      <c r="A407" s="273"/>
      <c r="B407" s="274"/>
      <c r="C407" s="278"/>
      <c r="D407" s="275"/>
      <c r="E407" s="275"/>
      <c r="F407" s="275"/>
      <c r="G407" s="275"/>
      <c r="H407" s="275"/>
      <c r="I407" s="275"/>
      <c r="J407" s="275"/>
    </row>
    <row r="408" spans="1:10">
      <c r="A408" s="273">
        <v>135</v>
      </c>
      <c r="B408" s="274">
        <v>43</v>
      </c>
      <c r="C408" s="278" t="s">
        <v>113</v>
      </c>
      <c r="D408" s="275" t="s">
        <v>446</v>
      </c>
      <c r="E408" s="275" t="s">
        <v>447</v>
      </c>
      <c r="F408" s="275"/>
      <c r="G408" s="275"/>
      <c r="H408" s="275"/>
      <c r="I408" s="275"/>
      <c r="J408" s="275"/>
    </row>
    <row r="409" spans="1:10">
      <c r="A409" s="273"/>
      <c r="B409" s="274"/>
      <c r="C409" s="278"/>
      <c r="D409" s="275">
        <v>-2.06758</v>
      </c>
      <c r="E409" s="275">
        <v>-2.0544799999999999</v>
      </c>
      <c r="F409" s="275"/>
      <c r="G409" s="275"/>
      <c r="H409" s="275"/>
      <c r="I409" s="275"/>
      <c r="J409" s="275"/>
    </row>
    <row r="410" spans="1:10">
      <c r="A410" s="273"/>
      <c r="B410" s="274"/>
      <c r="C410" s="278"/>
      <c r="D410" s="275"/>
      <c r="E410" s="275"/>
      <c r="F410" s="275"/>
      <c r="G410" s="275"/>
      <c r="H410" s="275"/>
      <c r="I410" s="275"/>
      <c r="J410" s="275"/>
    </row>
    <row r="411" spans="1:10">
      <c r="A411" s="273">
        <v>136</v>
      </c>
      <c r="B411" s="274">
        <v>43</v>
      </c>
      <c r="C411" s="278" t="s">
        <v>114</v>
      </c>
      <c r="D411" s="275" t="s">
        <v>446</v>
      </c>
      <c r="E411" s="275" t="s">
        <v>447</v>
      </c>
      <c r="F411" s="275"/>
      <c r="G411" s="275"/>
      <c r="H411" s="275"/>
      <c r="I411" s="275"/>
      <c r="J411" s="275"/>
    </row>
    <row r="412" spans="1:10">
      <c r="A412" s="273"/>
      <c r="B412" s="274"/>
      <c r="C412" s="278"/>
      <c r="D412" s="275">
        <v>-2.6405799999999999</v>
      </c>
      <c r="E412" s="275">
        <v>-2.6262500000000002</v>
      </c>
      <c r="F412" s="275"/>
      <c r="G412" s="275"/>
      <c r="H412" s="275"/>
      <c r="I412" s="275"/>
      <c r="J412" s="275"/>
    </row>
    <row r="413" spans="1:10">
      <c r="A413" s="273"/>
      <c r="B413" s="274"/>
      <c r="C413" s="278"/>
      <c r="D413" s="275"/>
      <c r="E413" s="275"/>
      <c r="F413" s="275"/>
      <c r="G413" s="275"/>
      <c r="H413" s="275"/>
      <c r="I413" s="275"/>
      <c r="J413" s="275"/>
    </row>
    <row r="414" spans="1:10">
      <c r="A414" s="273">
        <v>137</v>
      </c>
      <c r="B414" s="274">
        <v>43</v>
      </c>
      <c r="C414" s="278" t="s">
        <v>115</v>
      </c>
      <c r="D414" s="275" t="s">
        <v>446</v>
      </c>
      <c r="E414" s="275" t="s">
        <v>447</v>
      </c>
      <c r="F414" s="275"/>
      <c r="G414" s="275"/>
      <c r="H414" s="275"/>
      <c r="I414" s="275"/>
      <c r="J414" s="275"/>
    </row>
    <row r="415" spans="1:10">
      <c r="A415" s="273"/>
      <c r="B415" s="274"/>
      <c r="C415" s="278"/>
      <c r="D415" s="275">
        <v>-3.24885</v>
      </c>
      <c r="E415" s="275">
        <v>-3.2332399999999999</v>
      </c>
      <c r="F415" s="275"/>
      <c r="G415" s="275"/>
      <c r="H415" s="275"/>
      <c r="I415" s="275"/>
      <c r="J415" s="275"/>
    </row>
    <row r="416" spans="1:10">
      <c r="A416" s="273"/>
      <c r="B416" s="274"/>
      <c r="C416" s="278"/>
      <c r="D416" s="275"/>
      <c r="E416" s="275"/>
      <c r="F416" s="275"/>
      <c r="G416" s="275"/>
      <c r="H416" s="275"/>
      <c r="I416" s="275"/>
      <c r="J416" s="275"/>
    </row>
    <row r="417" spans="1:10">
      <c r="A417" s="273">
        <v>138</v>
      </c>
      <c r="B417" s="274">
        <v>43</v>
      </c>
      <c r="C417" s="278" t="s">
        <v>116</v>
      </c>
      <c r="D417" s="275" t="s">
        <v>441</v>
      </c>
      <c r="E417" s="275" t="s">
        <v>442</v>
      </c>
      <c r="F417" s="275" t="s">
        <v>443</v>
      </c>
      <c r="G417" s="275" t="s">
        <v>444</v>
      </c>
      <c r="H417" s="275" t="s">
        <v>445</v>
      </c>
      <c r="I417" s="275"/>
      <c r="J417" s="275"/>
    </row>
    <row r="418" spans="1:10">
      <c r="A418" s="273"/>
      <c r="B418" s="274"/>
      <c r="C418" s="278"/>
      <c r="D418" s="275">
        <v>-14.29021</v>
      </c>
      <c r="E418" s="275">
        <v>-14.144970000000001</v>
      </c>
      <c r="F418" s="275">
        <v>-6.9235699999999998</v>
      </c>
      <c r="G418" s="275">
        <v>-5.6680599999999997</v>
      </c>
      <c r="H418" s="275">
        <v>-5.5368700000000004</v>
      </c>
      <c r="I418" s="275"/>
      <c r="J418" s="275"/>
    </row>
    <row r="419" spans="1:10">
      <c r="A419" s="273"/>
      <c r="B419" s="274"/>
      <c r="C419" s="278"/>
      <c r="D419" s="275"/>
      <c r="E419" s="275"/>
      <c r="F419" s="275"/>
      <c r="G419" s="275"/>
      <c r="H419" s="275"/>
      <c r="I419" s="275"/>
      <c r="J419" s="275"/>
    </row>
    <row r="420" spans="1:10">
      <c r="A420" s="273">
        <v>139</v>
      </c>
      <c r="B420" s="274">
        <v>44</v>
      </c>
      <c r="C420" s="278" t="s">
        <v>117</v>
      </c>
      <c r="D420" s="275" t="s">
        <v>446</v>
      </c>
      <c r="E420" s="275" t="s">
        <v>447</v>
      </c>
      <c r="F420" s="275"/>
      <c r="G420" s="275"/>
      <c r="H420" s="275"/>
      <c r="I420" s="275"/>
      <c r="J420" s="275"/>
    </row>
    <row r="421" spans="1:10">
      <c r="A421" s="273"/>
      <c r="B421" s="274"/>
      <c r="C421" s="278"/>
      <c r="D421" s="275">
        <v>-0.66208999999999996</v>
      </c>
      <c r="E421" s="275">
        <v>-0.64903</v>
      </c>
      <c r="F421" s="275"/>
      <c r="G421" s="275"/>
      <c r="H421" s="275"/>
      <c r="I421" s="275"/>
      <c r="J421" s="275"/>
    </row>
    <row r="422" spans="1:10">
      <c r="A422" s="273"/>
      <c r="B422" s="274"/>
      <c r="C422" s="278"/>
      <c r="D422" s="275"/>
      <c r="E422" s="275"/>
      <c r="F422" s="275"/>
      <c r="G422" s="275"/>
      <c r="H422" s="275"/>
      <c r="I422" s="275"/>
      <c r="J422" s="275"/>
    </row>
    <row r="423" spans="1:10">
      <c r="A423" s="273">
        <v>140</v>
      </c>
      <c r="B423" s="274">
        <v>44</v>
      </c>
      <c r="C423" s="278" t="s">
        <v>118</v>
      </c>
      <c r="D423" s="275" t="s">
        <v>446</v>
      </c>
      <c r="E423" s="275" t="s">
        <v>447</v>
      </c>
      <c r="F423" s="275"/>
      <c r="G423" s="275"/>
      <c r="H423" s="275"/>
      <c r="I423" s="275"/>
      <c r="J423" s="275"/>
    </row>
    <row r="424" spans="1:10">
      <c r="A424" s="273"/>
      <c r="B424" s="274"/>
      <c r="C424" s="278"/>
      <c r="D424" s="275">
        <v>-1.1186400000000001</v>
      </c>
      <c r="E424" s="275">
        <v>-1.1048500000000001</v>
      </c>
      <c r="F424" s="275"/>
      <c r="G424" s="275"/>
      <c r="H424" s="275"/>
      <c r="I424" s="275"/>
      <c r="J424" s="275"/>
    </row>
    <row r="425" spans="1:10">
      <c r="A425" s="273"/>
      <c r="B425" s="274"/>
      <c r="C425" s="278"/>
      <c r="D425" s="275"/>
      <c r="E425" s="275"/>
      <c r="F425" s="275"/>
      <c r="G425" s="275"/>
      <c r="H425" s="275"/>
      <c r="I425" s="275"/>
      <c r="J425" s="275"/>
    </row>
    <row r="426" spans="1:10">
      <c r="A426" s="273">
        <v>141</v>
      </c>
      <c r="B426" s="274">
        <v>44</v>
      </c>
      <c r="C426" s="278" t="s">
        <v>119</v>
      </c>
      <c r="D426" s="275" t="s">
        <v>446</v>
      </c>
      <c r="E426" s="275" t="s">
        <v>447</v>
      </c>
      <c r="F426" s="275"/>
      <c r="G426" s="275"/>
      <c r="H426" s="275"/>
      <c r="I426" s="275"/>
      <c r="J426" s="275"/>
    </row>
    <row r="427" spans="1:10">
      <c r="A427" s="273"/>
      <c r="B427" s="274"/>
      <c r="C427" s="278"/>
      <c r="D427" s="275">
        <v>-1.62846</v>
      </c>
      <c r="E427" s="275">
        <v>-1.61364</v>
      </c>
      <c r="F427" s="275"/>
      <c r="G427" s="275"/>
      <c r="H427" s="275"/>
      <c r="I427" s="275"/>
      <c r="J427" s="275"/>
    </row>
    <row r="428" spans="1:10">
      <c r="A428" s="273"/>
      <c r="B428" s="274"/>
      <c r="C428" s="278"/>
      <c r="D428" s="275"/>
      <c r="E428" s="275"/>
      <c r="F428" s="275"/>
      <c r="G428" s="275"/>
      <c r="H428" s="275"/>
      <c r="I428" s="275"/>
      <c r="J428" s="275"/>
    </row>
    <row r="429" spans="1:10">
      <c r="A429" s="273">
        <v>142</v>
      </c>
      <c r="B429" s="274">
        <v>44</v>
      </c>
      <c r="C429" s="278" t="s">
        <v>120</v>
      </c>
      <c r="D429" s="275" t="s">
        <v>446</v>
      </c>
      <c r="E429" s="275" t="s">
        <v>447</v>
      </c>
      <c r="F429" s="275"/>
      <c r="G429" s="275"/>
      <c r="H429" s="275"/>
      <c r="I429" s="275"/>
      <c r="J429" s="275"/>
    </row>
    <row r="430" spans="1:10">
      <c r="A430" s="273"/>
      <c r="B430" s="274"/>
      <c r="C430" s="278"/>
      <c r="D430" s="275">
        <v>-2.1825700000000001</v>
      </c>
      <c r="E430" s="275">
        <v>-2.16656</v>
      </c>
      <c r="F430" s="275"/>
      <c r="G430" s="275"/>
      <c r="H430" s="275"/>
      <c r="I430" s="275"/>
      <c r="J430" s="275"/>
    </row>
    <row r="431" spans="1:10">
      <c r="A431" s="273"/>
      <c r="B431" s="274"/>
      <c r="C431" s="278"/>
      <c r="D431" s="275"/>
      <c r="E431" s="275"/>
      <c r="F431" s="275"/>
      <c r="G431" s="275"/>
      <c r="H431" s="275"/>
      <c r="I431" s="275"/>
      <c r="J431" s="275"/>
    </row>
    <row r="432" spans="1:10">
      <c r="A432" s="273">
        <v>143</v>
      </c>
      <c r="B432" s="274">
        <v>44</v>
      </c>
      <c r="C432" s="278" t="s">
        <v>121</v>
      </c>
      <c r="D432" s="275" t="s">
        <v>446</v>
      </c>
      <c r="E432" s="275" t="s">
        <v>447</v>
      </c>
      <c r="F432" s="275"/>
      <c r="G432" s="275"/>
      <c r="H432" s="275"/>
      <c r="I432" s="275"/>
      <c r="J432" s="275"/>
    </row>
    <row r="433" spans="1:10">
      <c r="A433" s="273"/>
      <c r="B433" s="274"/>
      <c r="C433" s="278"/>
      <c r="D433" s="275">
        <v>-2.7755100000000001</v>
      </c>
      <c r="E433" s="275">
        <v>-2.7582200000000001</v>
      </c>
      <c r="F433" s="275"/>
      <c r="G433" s="275"/>
      <c r="H433" s="275"/>
      <c r="I433" s="275"/>
      <c r="J433" s="275"/>
    </row>
    <row r="434" spans="1:10">
      <c r="A434" s="273"/>
      <c r="B434" s="274"/>
      <c r="C434" s="278"/>
      <c r="D434" s="275"/>
      <c r="E434" s="275"/>
      <c r="F434" s="275"/>
      <c r="G434" s="275"/>
      <c r="H434" s="275"/>
      <c r="I434" s="275"/>
      <c r="J434" s="275"/>
    </row>
    <row r="435" spans="1:10">
      <c r="A435" s="273">
        <v>144</v>
      </c>
      <c r="B435" s="274">
        <v>44</v>
      </c>
      <c r="C435" s="278" t="s">
        <v>122</v>
      </c>
      <c r="D435" s="275" t="s">
        <v>446</v>
      </c>
      <c r="E435" s="275" t="s">
        <v>447</v>
      </c>
      <c r="F435" s="275"/>
      <c r="G435" s="275"/>
      <c r="H435" s="275"/>
      <c r="I435" s="275"/>
      <c r="J435" s="275"/>
    </row>
    <row r="436" spans="1:10">
      <c r="A436" s="273"/>
      <c r="B436" s="274"/>
      <c r="C436" s="278"/>
      <c r="D436" s="275">
        <v>-3.4037500000000001</v>
      </c>
      <c r="E436" s="275">
        <v>-3.3851</v>
      </c>
      <c r="F436" s="275"/>
      <c r="G436" s="275"/>
      <c r="H436" s="275"/>
      <c r="I436" s="275"/>
      <c r="J436" s="275"/>
    </row>
    <row r="437" spans="1:10">
      <c r="A437" s="273"/>
      <c r="B437" s="274"/>
      <c r="C437" s="278"/>
      <c r="D437" s="275"/>
      <c r="E437" s="275"/>
      <c r="F437" s="275"/>
      <c r="G437" s="275"/>
      <c r="H437" s="275"/>
      <c r="I437" s="275"/>
      <c r="J437" s="275"/>
    </row>
    <row r="438" spans="1:10">
      <c r="A438" s="273">
        <v>145</v>
      </c>
      <c r="B438" s="274">
        <v>44</v>
      </c>
      <c r="C438" s="278" t="s">
        <v>123</v>
      </c>
      <c r="D438" s="275" t="s">
        <v>446</v>
      </c>
      <c r="E438" s="275" t="s">
        <v>447</v>
      </c>
      <c r="F438" s="275"/>
      <c r="G438" s="275"/>
      <c r="H438" s="275"/>
      <c r="I438" s="275"/>
      <c r="J438" s="275"/>
    </row>
    <row r="439" spans="1:10">
      <c r="A439" s="273"/>
      <c r="B439" s="274"/>
      <c r="C439" s="278"/>
      <c r="D439" s="275">
        <v>-4.0648299999999997</v>
      </c>
      <c r="E439" s="275">
        <v>-4.0447600000000001</v>
      </c>
      <c r="F439" s="275"/>
      <c r="G439" s="275"/>
      <c r="H439" s="275"/>
      <c r="I439" s="275"/>
      <c r="J439" s="275"/>
    </row>
    <row r="440" spans="1:10">
      <c r="A440" s="273"/>
      <c r="B440" s="274"/>
      <c r="C440" s="278"/>
      <c r="D440" s="275"/>
      <c r="E440" s="275"/>
      <c r="F440" s="275"/>
      <c r="G440" s="275"/>
      <c r="H440" s="275"/>
      <c r="I440" s="275"/>
      <c r="J440" s="275"/>
    </row>
    <row r="441" spans="1:10">
      <c r="A441" s="273">
        <v>146</v>
      </c>
      <c r="B441" s="274">
        <v>44</v>
      </c>
      <c r="C441" s="278" t="s">
        <v>124</v>
      </c>
      <c r="D441" s="275" t="s">
        <v>441</v>
      </c>
      <c r="E441" s="275" t="s">
        <v>442</v>
      </c>
      <c r="F441" s="275" t="s">
        <v>443</v>
      </c>
      <c r="G441" s="275" t="s">
        <v>444</v>
      </c>
      <c r="H441" s="275" t="s">
        <v>445</v>
      </c>
      <c r="I441" s="275"/>
      <c r="J441" s="275"/>
    </row>
    <row r="442" spans="1:10">
      <c r="A442" s="273"/>
      <c r="B442" s="274"/>
      <c r="C442" s="278"/>
      <c r="D442" s="275">
        <v>-16.288440000000001</v>
      </c>
      <c r="E442" s="275">
        <v>-16.12312</v>
      </c>
      <c r="F442" s="275">
        <v>-8.03871</v>
      </c>
      <c r="G442" s="275">
        <v>-6.6962599999999997</v>
      </c>
      <c r="H442" s="275">
        <v>-6.5410700000000004</v>
      </c>
      <c r="I442" s="275"/>
      <c r="J442" s="275"/>
    </row>
    <row r="443" spans="1:10">
      <c r="A443" s="273"/>
      <c r="B443" s="274"/>
      <c r="C443" s="278"/>
      <c r="D443" s="275"/>
      <c r="E443" s="275"/>
      <c r="F443" s="275"/>
      <c r="G443" s="275"/>
      <c r="H443" s="275"/>
      <c r="I443" s="275"/>
      <c r="J443" s="275"/>
    </row>
    <row r="444" spans="1:10">
      <c r="A444" s="273">
        <v>147</v>
      </c>
      <c r="B444" s="274">
        <v>45</v>
      </c>
      <c r="C444" s="278" t="s">
        <v>125</v>
      </c>
      <c r="D444" s="275" t="s">
        <v>446</v>
      </c>
      <c r="E444" s="275" t="s">
        <v>447</v>
      </c>
      <c r="F444" s="275"/>
      <c r="G444" s="275"/>
      <c r="H444" s="275"/>
      <c r="I444" s="275"/>
      <c r="J444" s="275"/>
    </row>
    <row r="445" spans="1:10">
      <c r="A445" s="273"/>
      <c r="B445" s="274"/>
      <c r="C445" s="278"/>
      <c r="D445" s="275">
        <v>-0.71591000000000005</v>
      </c>
      <c r="E445" s="275">
        <v>-0.69954000000000005</v>
      </c>
      <c r="F445" s="275"/>
      <c r="G445" s="275"/>
      <c r="H445" s="275"/>
      <c r="I445" s="275"/>
      <c r="J445" s="275"/>
    </row>
    <row r="446" spans="1:10">
      <c r="A446" s="273"/>
      <c r="B446" s="274"/>
      <c r="C446" s="278"/>
      <c r="D446" s="275"/>
      <c r="E446" s="275"/>
      <c r="F446" s="275"/>
      <c r="G446" s="275"/>
      <c r="H446" s="275"/>
      <c r="I446" s="275"/>
      <c r="J446" s="275"/>
    </row>
    <row r="447" spans="1:10">
      <c r="A447" s="273">
        <v>148</v>
      </c>
      <c r="B447" s="274">
        <v>45</v>
      </c>
      <c r="C447" s="278" t="s">
        <v>126</v>
      </c>
      <c r="D447" s="275" t="s">
        <v>446</v>
      </c>
      <c r="E447" s="275" t="s">
        <v>447</v>
      </c>
      <c r="F447" s="275"/>
      <c r="G447" s="275"/>
      <c r="H447" s="275"/>
      <c r="I447" s="275"/>
      <c r="J447" s="275"/>
    </row>
    <row r="448" spans="1:10">
      <c r="A448" s="273"/>
      <c r="B448" s="274"/>
      <c r="C448" s="278"/>
      <c r="D448" s="275">
        <v>-1.19306</v>
      </c>
      <c r="E448" s="275">
        <v>-1.1760200000000001</v>
      </c>
      <c r="F448" s="275"/>
      <c r="G448" s="275"/>
      <c r="H448" s="275"/>
      <c r="I448" s="275"/>
      <c r="J448" s="275"/>
    </row>
    <row r="449" spans="1:10">
      <c r="A449" s="273"/>
      <c r="B449" s="274"/>
      <c r="C449" s="278"/>
      <c r="D449" s="275"/>
      <c r="E449" s="275"/>
      <c r="F449" s="275"/>
      <c r="G449" s="275"/>
      <c r="H449" s="275"/>
      <c r="I449" s="275"/>
      <c r="J449" s="275"/>
    </row>
    <row r="450" spans="1:10">
      <c r="A450" s="273">
        <v>149</v>
      </c>
      <c r="B450" s="274">
        <v>45</v>
      </c>
      <c r="C450" s="278" t="s">
        <v>127</v>
      </c>
      <c r="D450" s="275" t="s">
        <v>446</v>
      </c>
      <c r="E450" s="275" t="s">
        <v>447</v>
      </c>
      <c r="F450" s="275"/>
      <c r="G450" s="275"/>
      <c r="H450" s="275"/>
      <c r="I450" s="275"/>
      <c r="J450" s="275"/>
    </row>
    <row r="451" spans="1:10">
      <c r="A451" s="273"/>
      <c r="B451" s="274"/>
      <c r="C451" s="278"/>
      <c r="D451" s="275">
        <v>-1.7229399999999999</v>
      </c>
      <c r="E451" s="275">
        <v>-1.7048700000000001</v>
      </c>
      <c r="F451" s="275"/>
      <c r="G451" s="275"/>
      <c r="H451" s="275"/>
      <c r="I451" s="275"/>
      <c r="J451" s="275"/>
    </row>
    <row r="452" spans="1:10">
      <c r="A452" s="273"/>
      <c r="B452" s="274"/>
      <c r="C452" s="278"/>
      <c r="D452" s="275"/>
      <c r="E452" s="275"/>
      <c r="F452" s="275"/>
      <c r="G452" s="275"/>
      <c r="H452" s="275"/>
      <c r="I452" s="275"/>
      <c r="J452" s="275"/>
    </row>
    <row r="453" spans="1:10">
      <c r="A453" s="273">
        <v>150</v>
      </c>
      <c r="B453" s="274">
        <v>45</v>
      </c>
      <c r="C453" s="278" t="s">
        <v>128</v>
      </c>
      <c r="D453" s="275" t="s">
        <v>446</v>
      </c>
      <c r="E453" s="275" t="s">
        <v>447</v>
      </c>
      <c r="F453" s="275"/>
      <c r="G453" s="275"/>
      <c r="H453" s="275"/>
      <c r="I453" s="275"/>
      <c r="J453" s="275"/>
    </row>
    <row r="454" spans="1:10">
      <c r="A454" s="273"/>
      <c r="B454" s="274"/>
      <c r="C454" s="278"/>
      <c r="D454" s="275">
        <v>-2.2969499999999998</v>
      </c>
      <c r="E454" s="275">
        <v>-2.27765</v>
      </c>
      <c r="F454" s="275"/>
      <c r="G454" s="275"/>
      <c r="H454" s="275"/>
      <c r="I454" s="275"/>
      <c r="J454" s="275"/>
    </row>
    <row r="455" spans="1:10">
      <c r="A455" s="273"/>
      <c r="B455" s="274"/>
      <c r="C455" s="278"/>
      <c r="D455" s="275"/>
      <c r="E455" s="275"/>
      <c r="F455" s="275"/>
      <c r="G455" s="275"/>
      <c r="H455" s="275"/>
      <c r="I455" s="275"/>
      <c r="J455" s="275"/>
    </row>
    <row r="456" spans="1:10">
      <c r="A456" s="273">
        <v>151</v>
      </c>
      <c r="B456" s="274">
        <v>45</v>
      </c>
      <c r="C456" s="278" t="s">
        <v>129</v>
      </c>
      <c r="D456" s="275" t="s">
        <v>446</v>
      </c>
      <c r="E456" s="275" t="s">
        <v>447</v>
      </c>
      <c r="F456" s="275"/>
      <c r="G456" s="275"/>
      <c r="H456" s="275"/>
      <c r="I456" s="275"/>
      <c r="J456" s="275"/>
    </row>
    <row r="457" spans="1:10">
      <c r="A457" s="273"/>
      <c r="B457" s="274"/>
      <c r="C457" s="278"/>
      <c r="D457" s="275">
        <v>-2.90978</v>
      </c>
      <c r="E457" s="275">
        <v>-2.8891399999999998</v>
      </c>
      <c r="F457" s="275"/>
      <c r="G457" s="275"/>
      <c r="H457" s="275"/>
      <c r="I457" s="275"/>
      <c r="J457" s="275"/>
    </row>
    <row r="458" spans="1:10">
      <c r="A458" s="273"/>
      <c r="B458" s="274"/>
      <c r="C458" s="278"/>
      <c r="D458" s="275"/>
      <c r="E458" s="275"/>
      <c r="F458" s="275"/>
      <c r="G458" s="275"/>
      <c r="H458" s="275"/>
      <c r="I458" s="275"/>
      <c r="J458" s="275"/>
    </row>
    <row r="459" spans="1:10">
      <c r="A459" s="273">
        <v>152</v>
      </c>
      <c r="B459" s="274">
        <v>45</v>
      </c>
      <c r="C459" s="278" t="s">
        <v>130</v>
      </c>
      <c r="D459" s="275" t="s">
        <v>446</v>
      </c>
      <c r="E459" s="275" t="s">
        <v>447</v>
      </c>
      <c r="F459" s="275"/>
      <c r="G459" s="275"/>
      <c r="H459" s="275"/>
      <c r="I459" s="275"/>
      <c r="J459" s="275"/>
    </row>
    <row r="460" spans="1:10">
      <c r="A460" s="273"/>
      <c r="B460" s="274"/>
      <c r="C460" s="278"/>
      <c r="D460" s="275">
        <v>-3.5579200000000002</v>
      </c>
      <c r="E460" s="275">
        <v>-3.5358499999999999</v>
      </c>
      <c r="F460" s="275"/>
      <c r="G460" s="275"/>
      <c r="H460" s="275"/>
      <c r="I460" s="275"/>
      <c r="J460" s="275"/>
    </row>
    <row r="461" spans="1:10">
      <c r="A461" s="273"/>
      <c r="B461" s="274"/>
      <c r="C461" s="278"/>
      <c r="D461" s="275"/>
      <c r="E461" s="275"/>
      <c r="F461" s="275"/>
      <c r="G461" s="275"/>
      <c r="H461" s="275"/>
      <c r="I461" s="275"/>
      <c r="J461" s="275"/>
    </row>
    <row r="462" spans="1:10">
      <c r="A462" s="273">
        <v>153</v>
      </c>
      <c r="B462" s="274">
        <v>46</v>
      </c>
      <c r="C462" s="278" t="s">
        <v>348</v>
      </c>
      <c r="D462" s="275" t="s">
        <v>446</v>
      </c>
      <c r="E462" s="275" t="s">
        <v>447</v>
      </c>
      <c r="F462" s="275"/>
      <c r="G462" s="275"/>
      <c r="H462" s="275"/>
      <c r="I462" s="275"/>
      <c r="J462" s="275"/>
    </row>
    <row r="463" spans="1:10">
      <c r="A463" s="273"/>
      <c r="B463" s="274"/>
      <c r="C463" s="278"/>
      <c r="D463" s="275">
        <v>-1.2674000000000001</v>
      </c>
      <c r="E463" s="275">
        <v>-1.2466900000000001</v>
      </c>
      <c r="F463" s="275"/>
      <c r="G463" s="275"/>
      <c r="H463" s="275"/>
      <c r="I463" s="275"/>
      <c r="J463" s="275"/>
    </row>
    <row r="464" spans="1:10">
      <c r="A464" s="273"/>
      <c r="B464" s="274"/>
      <c r="C464" s="278"/>
      <c r="D464" s="275"/>
      <c r="E464" s="275"/>
      <c r="F464" s="275"/>
      <c r="G464" s="275"/>
      <c r="H464" s="275"/>
      <c r="I464" s="275"/>
      <c r="J464" s="275"/>
    </row>
    <row r="465" spans="1:10">
      <c r="A465" s="273">
        <v>154</v>
      </c>
      <c r="B465" s="274">
        <v>46</v>
      </c>
      <c r="C465" s="278" t="s">
        <v>349</v>
      </c>
      <c r="D465" s="275" t="s">
        <v>446</v>
      </c>
      <c r="E465" s="275" t="s">
        <v>447</v>
      </c>
      <c r="F465" s="275"/>
      <c r="G465" s="275"/>
      <c r="H465" s="275"/>
      <c r="I465" s="275"/>
      <c r="J465" s="275"/>
    </row>
    <row r="466" spans="1:10">
      <c r="A466" s="273"/>
      <c r="B466" s="274"/>
      <c r="C466" s="278"/>
      <c r="D466" s="275">
        <v>-2.4109699999999998</v>
      </c>
      <c r="E466" s="275">
        <v>-2.3879700000000001</v>
      </c>
      <c r="F466" s="275"/>
      <c r="G466" s="275"/>
      <c r="H466" s="275"/>
      <c r="I466" s="275"/>
      <c r="J466" s="275"/>
    </row>
    <row r="467" spans="1:10">
      <c r="A467" s="273"/>
      <c r="B467" s="274"/>
      <c r="C467" s="278"/>
      <c r="D467" s="275"/>
      <c r="E467" s="275"/>
      <c r="F467" s="275"/>
      <c r="G467" s="275"/>
      <c r="H467" s="275"/>
      <c r="I467" s="275"/>
      <c r="J467" s="275"/>
    </row>
    <row r="468" spans="1:10">
      <c r="A468" s="273">
        <v>155</v>
      </c>
      <c r="B468" s="274">
        <v>47</v>
      </c>
      <c r="C468" s="278" t="s">
        <v>131</v>
      </c>
      <c r="D468" s="275" t="s">
        <v>446</v>
      </c>
      <c r="E468" s="275" t="s">
        <v>447</v>
      </c>
      <c r="F468" s="275"/>
      <c r="G468" s="275"/>
      <c r="H468" s="275"/>
      <c r="I468" s="275"/>
      <c r="J468" s="275"/>
    </row>
    <row r="469" spans="1:10">
      <c r="A469" s="273"/>
      <c r="B469" s="274"/>
      <c r="C469" s="278"/>
      <c r="D469" s="275">
        <v>-0.82447999999999999</v>
      </c>
      <c r="E469" s="275">
        <v>-0.80012000000000005</v>
      </c>
      <c r="F469" s="275"/>
      <c r="G469" s="275"/>
      <c r="H469" s="275"/>
      <c r="I469" s="275"/>
      <c r="J469" s="275"/>
    </row>
    <row r="470" spans="1:10">
      <c r="A470" s="273"/>
      <c r="B470" s="274"/>
      <c r="C470" s="278"/>
      <c r="D470" s="275"/>
      <c r="E470" s="275"/>
      <c r="F470" s="275"/>
      <c r="G470" s="275"/>
      <c r="H470" s="275"/>
      <c r="I470" s="275"/>
      <c r="J470" s="275"/>
    </row>
    <row r="471" spans="1:10">
      <c r="A471" s="273">
        <v>156</v>
      </c>
      <c r="B471" s="274">
        <v>47</v>
      </c>
      <c r="C471" s="278" t="s">
        <v>132</v>
      </c>
      <c r="D471" s="275" t="s">
        <v>446</v>
      </c>
      <c r="E471" s="275" t="s">
        <v>447</v>
      </c>
      <c r="F471" s="275"/>
      <c r="G471" s="275"/>
      <c r="H471" s="275"/>
      <c r="I471" s="275"/>
      <c r="J471" s="275"/>
    </row>
    <row r="472" spans="1:10">
      <c r="A472" s="273"/>
      <c r="B472" s="274"/>
      <c r="C472" s="278"/>
      <c r="D472" s="275">
        <v>-1.34188</v>
      </c>
      <c r="E472" s="275">
        <v>-1.3170299999999999</v>
      </c>
      <c r="F472" s="275"/>
      <c r="G472" s="275"/>
      <c r="H472" s="275"/>
      <c r="I472" s="275"/>
      <c r="J472" s="275"/>
    </row>
    <row r="473" spans="1:10">
      <c r="A473" s="273"/>
      <c r="B473" s="274"/>
      <c r="C473" s="278"/>
      <c r="D473" s="275"/>
      <c r="E473" s="275"/>
      <c r="F473" s="275"/>
      <c r="G473" s="275"/>
      <c r="H473" s="275"/>
      <c r="I473" s="275"/>
      <c r="J473" s="275"/>
    </row>
    <row r="474" spans="1:10">
      <c r="A474" s="273">
        <v>157</v>
      </c>
      <c r="B474" s="274">
        <v>47</v>
      </c>
      <c r="C474" s="278" t="s">
        <v>133</v>
      </c>
      <c r="D474" s="275" t="s">
        <v>446</v>
      </c>
      <c r="E474" s="275" t="s">
        <v>447</v>
      </c>
      <c r="F474" s="275"/>
      <c r="G474" s="275"/>
      <c r="H474" s="275"/>
      <c r="I474" s="275"/>
      <c r="J474" s="275"/>
    </row>
    <row r="475" spans="1:10">
      <c r="A475" s="273"/>
      <c r="B475" s="274"/>
      <c r="C475" s="278"/>
      <c r="D475" s="275">
        <v>-1.9113800000000001</v>
      </c>
      <c r="E475" s="275">
        <v>-1.8855200000000001</v>
      </c>
      <c r="F475" s="275"/>
      <c r="G475" s="275"/>
      <c r="H475" s="275"/>
      <c r="I475" s="275"/>
      <c r="J475" s="275"/>
    </row>
    <row r="476" spans="1:10">
      <c r="A476" s="273"/>
      <c r="B476" s="274"/>
      <c r="C476" s="278"/>
      <c r="D476" s="275"/>
      <c r="E476" s="275"/>
      <c r="F476" s="275"/>
      <c r="G476" s="275"/>
      <c r="H476" s="275"/>
      <c r="I476" s="275"/>
      <c r="J476" s="275"/>
    </row>
    <row r="477" spans="1:10">
      <c r="A477" s="273">
        <v>158</v>
      </c>
      <c r="B477" s="274">
        <v>48</v>
      </c>
      <c r="C477" s="278" t="s">
        <v>350</v>
      </c>
      <c r="D477" s="275" t="s">
        <v>446</v>
      </c>
      <c r="E477" s="275" t="s">
        <v>447</v>
      </c>
      <c r="F477" s="275"/>
      <c r="G477" s="275"/>
      <c r="H477" s="275"/>
      <c r="I477" s="275"/>
      <c r="J477" s="275"/>
    </row>
    <row r="478" spans="1:10">
      <c r="A478" s="273"/>
      <c r="B478" s="274"/>
      <c r="C478" s="278"/>
      <c r="D478" s="275">
        <v>-1.41665</v>
      </c>
      <c r="E478" s="275">
        <v>-1.38717</v>
      </c>
      <c r="F478" s="275"/>
      <c r="G478" s="275"/>
      <c r="H478" s="275"/>
      <c r="I478" s="275"/>
      <c r="J478" s="275"/>
    </row>
    <row r="479" spans="1:10">
      <c r="A479" s="273"/>
      <c r="B479" s="274"/>
      <c r="C479" s="278"/>
      <c r="D479" s="275"/>
      <c r="E479" s="275"/>
      <c r="F479" s="275"/>
      <c r="G479" s="275"/>
      <c r="H479" s="275"/>
      <c r="I479" s="275"/>
      <c r="J479" s="275"/>
    </row>
    <row r="480" spans="1:10">
      <c r="A480" s="273">
        <v>159</v>
      </c>
      <c r="B480" s="274">
        <v>49</v>
      </c>
      <c r="C480" s="278" t="s">
        <v>134</v>
      </c>
      <c r="D480" s="275" t="s">
        <v>446</v>
      </c>
      <c r="E480" s="275" t="s">
        <v>447</v>
      </c>
      <c r="F480" s="275" t="s">
        <v>448</v>
      </c>
      <c r="G480" s="275"/>
      <c r="H480" s="275"/>
      <c r="I480" s="275"/>
      <c r="J480" s="275"/>
    </row>
    <row r="481" spans="1:10">
      <c r="A481" s="273"/>
      <c r="B481" s="274"/>
      <c r="C481" s="278"/>
      <c r="D481" s="275">
        <v>-1.3037300000000001</v>
      </c>
      <c r="E481" s="275">
        <v>-1.2685500000000001</v>
      </c>
      <c r="F481" s="275">
        <v>-0.63576999999999995</v>
      </c>
      <c r="G481" s="275"/>
      <c r="H481" s="275"/>
      <c r="I481" s="275"/>
      <c r="J481" s="275"/>
    </row>
    <row r="482" spans="1:10">
      <c r="A482" s="273"/>
      <c r="B482" s="274"/>
      <c r="C482" s="278"/>
      <c r="D482" s="275"/>
      <c r="E482" s="275"/>
      <c r="F482" s="275"/>
      <c r="G482" s="275"/>
      <c r="H482" s="275"/>
      <c r="I482" s="275"/>
      <c r="J482" s="275"/>
    </row>
    <row r="483" spans="1:10">
      <c r="A483" s="273">
        <v>160</v>
      </c>
      <c r="B483" s="274">
        <v>49</v>
      </c>
      <c r="C483" s="278" t="s">
        <v>135</v>
      </c>
      <c r="D483" s="275" t="s">
        <v>446</v>
      </c>
      <c r="E483" s="275" t="s">
        <v>447</v>
      </c>
      <c r="F483" s="275" t="s">
        <v>448</v>
      </c>
      <c r="G483" s="275"/>
      <c r="H483" s="275"/>
      <c r="I483" s="275"/>
      <c r="J483" s="275"/>
    </row>
    <row r="484" spans="1:10">
      <c r="A484" s="273"/>
      <c r="B484" s="274"/>
      <c r="C484" s="278"/>
      <c r="D484" s="275">
        <v>-1.68303</v>
      </c>
      <c r="E484" s="275">
        <v>-1.6476999999999999</v>
      </c>
      <c r="F484" s="275">
        <v>-0.98321999999999998</v>
      </c>
      <c r="G484" s="275"/>
      <c r="H484" s="275"/>
      <c r="I484" s="275"/>
      <c r="J484" s="275"/>
    </row>
    <row r="485" spans="1:10">
      <c r="A485" s="273"/>
      <c r="B485" s="274"/>
      <c r="C485" s="278"/>
      <c r="D485" s="275"/>
      <c r="E485" s="275"/>
      <c r="F485" s="275"/>
      <c r="G485" s="275"/>
      <c r="H485" s="275"/>
      <c r="I485" s="275"/>
      <c r="J485" s="275"/>
    </row>
    <row r="486" spans="1:10">
      <c r="A486" s="273">
        <v>161</v>
      </c>
      <c r="B486" s="274">
        <v>49</v>
      </c>
      <c r="C486" s="278" t="s">
        <v>136</v>
      </c>
      <c r="D486" s="275" t="s">
        <v>446</v>
      </c>
      <c r="E486" s="275" t="s">
        <v>447</v>
      </c>
      <c r="F486" s="275"/>
      <c r="G486" s="275"/>
      <c r="H486" s="275"/>
      <c r="I486" s="275"/>
      <c r="J486" s="275"/>
    </row>
    <row r="487" spans="1:10">
      <c r="A487" s="273"/>
      <c r="B487" s="274"/>
      <c r="C487" s="278"/>
      <c r="D487" s="275">
        <v>-2.1002800000000001</v>
      </c>
      <c r="E487" s="275">
        <v>-2.0647000000000002</v>
      </c>
      <c r="F487" s="275"/>
      <c r="G487" s="275"/>
      <c r="H487" s="275"/>
      <c r="I487" s="275"/>
      <c r="J487" s="275"/>
    </row>
    <row r="488" spans="1:10">
      <c r="A488" s="273"/>
      <c r="B488" s="274"/>
      <c r="C488" s="278"/>
      <c r="D488" s="275"/>
      <c r="E488" s="275"/>
      <c r="F488" s="275"/>
      <c r="G488" s="275"/>
      <c r="H488" s="275"/>
      <c r="I488" s="275"/>
      <c r="J488" s="275"/>
    </row>
    <row r="489" spans="1:10">
      <c r="A489" s="273">
        <v>162</v>
      </c>
      <c r="B489" s="274">
        <v>50</v>
      </c>
      <c r="C489" s="278" t="s">
        <v>351</v>
      </c>
      <c r="D489" s="275" t="s">
        <v>446</v>
      </c>
      <c r="E489" s="275" t="s">
        <v>447</v>
      </c>
      <c r="F489" s="275" t="s">
        <v>448</v>
      </c>
      <c r="G489" s="275"/>
      <c r="H489" s="275"/>
      <c r="I489" s="275"/>
      <c r="J489" s="275"/>
    </row>
    <row r="490" spans="1:10">
      <c r="A490" s="273"/>
      <c r="B490" s="274"/>
      <c r="C490" s="278"/>
      <c r="D490" s="275">
        <v>-1.9713400000000001</v>
      </c>
      <c r="E490" s="275">
        <v>-1.9294199999999999</v>
      </c>
      <c r="F490" s="275">
        <v>-1.0580499999999999</v>
      </c>
      <c r="G490" s="275"/>
      <c r="H490" s="275"/>
      <c r="I490" s="275"/>
      <c r="J490" s="275"/>
    </row>
    <row r="491" spans="1:10">
      <c r="A491" s="273"/>
      <c r="B491" s="274"/>
      <c r="C491" s="278"/>
      <c r="D491" s="275"/>
      <c r="E491" s="275"/>
      <c r="F491" s="275"/>
      <c r="G491" s="275"/>
      <c r="H491" s="275"/>
      <c r="I491" s="275"/>
      <c r="J491" s="275"/>
    </row>
    <row r="492" spans="1:10">
      <c r="A492" s="273">
        <v>163</v>
      </c>
      <c r="B492" s="274">
        <v>50</v>
      </c>
      <c r="C492" s="278" t="s">
        <v>352</v>
      </c>
      <c r="D492" s="275" t="s">
        <v>446</v>
      </c>
      <c r="E492" s="275" t="s">
        <v>447</v>
      </c>
      <c r="F492" s="275"/>
      <c r="G492" s="275"/>
      <c r="H492" s="275"/>
      <c r="I492" s="275"/>
      <c r="J492" s="275"/>
    </row>
    <row r="493" spans="1:10">
      <c r="A493" s="273"/>
      <c r="B493" s="274"/>
      <c r="C493" s="278"/>
      <c r="D493" s="275">
        <v>-2.867</v>
      </c>
      <c r="E493" s="275">
        <v>-2.8244400000000001</v>
      </c>
      <c r="F493" s="275"/>
      <c r="G493" s="275"/>
      <c r="H493" s="275"/>
      <c r="I493" s="275"/>
      <c r="J493" s="275"/>
    </row>
    <row r="494" spans="1:10">
      <c r="A494" s="273"/>
      <c r="B494" s="274"/>
      <c r="C494" s="278"/>
      <c r="D494" s="275"/>
      <c r="E494" s="275"/>
      <c r="F494" s="275"/>
      <c r="G494" s="275"/>
      <c r="H494" s="275"/>
      <c r="I494" s="275"/>
      <c r="J494" s="275"/>
    </row>
    <row r="495" spans="1:10">
      <c r="A495" s="273">
        <v>164</v>
      </c>
      <c r="B495" s="274">
        <v>51</v>
      </c>
      <c r="C495" s="278" t="s">
        <v>353</v>
      </c>
      <c r="D495" s="275" t="s">
        <v>446</v>
      </c>
      <c r="E495" s="275" t="s">
        <v>447</v>
      </c>
      <c r="F495" s="275" t="s">
        <v>448</v>
      </c>
      <c r="G495" s="275"/>
      <c r="H495" s="275"/>
      <c r="I495" s="275"/>
      <c r="J495" s="275"/>
    </row>
    <row r="496" spans="1:10">
      <c r="A496" s="273"/>
      <c r="B496" s="274"/>
      <c r="C496" s="278"/>
      <c r="D496" s="275">
        <v>-2.72681</v>
      </c>
      <c r="E496" s="275">
        <v>-2.6772200000000002</v>
      </c>
      <c r="F496" s="275">
        <v>-1.5396300000000001</v>
      </c>
      <c r="G496" s="275"/>
      <c r="H496" s="275"/>
      <c r="I496" s="275"/>
      <c r="J496" s="275"/>
    </row>
    <row r="497" spans="1:10">
      <c r="A497" s="273"/>
      <c r="B497" s="274"/>
      <c r="C497" s="278"/>
      <c r="D497" s="275"/>
      <c r="E497" s="275"/>
      <c r="F497" s="275"/>
      <c r="G497" s="275"/>
      <c r="H497" s="275"/>
      <c r="I497" s="275"/>
      <c r="J497" s="275"/>
    </row>
    <row r="498" spans="1:10">
      <c r="A498" s="273">
        <v>165</v>
      </c>
      <c r="B498" s="274">
        <v>51</v>
      </c>
      <c r="C498" s="278" t="s">
        <v>354</v>
      </c>
      <c r="D498" s="275" t="s">
        <v>446</v>
      </c>
      <c r="E498" s="275" t="s">
        <v>447</v>
      </c>
      <c r="F498" s="275"/>
      <c r="G498" s="275"/>
      <c r="H498" s="275"/>
      <c r="I498" s="275"/>
      <c r="J498" s="275"/>
    </row>
    <row r="499" spans="1:10">
      <c r="A499" s="273"/>
      <c r="B499" s="274"/>
      <c r="C499" s="278"/>
      <c r="D499" s="275">
        <v>-3.7119200000000001</v>
      </c>
      <c r="E499" s="275">
        <v>-3.6614800000000001</v>
      </c>
      <c r="F499" s="275"/>
      <c r="G499" s="275"/>
      <c r="H499" s="275"/>
      <c r="I499" s="275"/>
      <c r="J499" s="275"/>
    </row>
    <row r="500" spans="1:10">
      <c r="A500" s="273"/>
      <c r="B500" s="274"/>
      <c r="C500" s="278"/>
      <c r="D500" s="275"/>
      <c r="E500" s="275"/>
      <c r="F500" s="275"/>
      <c r="G500" s="275"/>
      <c r="H500" s="275"/>
      <c r="I500" s="275"/>
      <c r="J500" s="275"/>
    </row>
    <row r="501" spans="1:10">
      <c r="A501" s="273">
        <v>166</v>
      </c>
      <c r="B501" s="274">
        <v>52</v>
      </c>
      <c r="C501" s="278" t="s">
        <v>355</v>
      </c>
      <c r="D501" s="275" t="s">
        <v>446</v>
      </c>
      <c r="E501" s="275" t="s">
        <v>447</v>
      </c>
      <c r="F501" s="275" t="s">
        <v>448</v>
      </c>
      <c r="G501" s="275" t="s">
        <v>449</v>
      </c>
      <c r="H501" s="275" t="s">
        <v>450</v>
      </c>
      <c r="I501" s="275"/>
      <c r="J501" s="275"/>
    </row>
    <row r="502" spans="1:10">
      <c r="A502" s="273"/>
      <c r="B502" s="274"/>
      <c r="C502" s="278"/>
      <c r="D502" s="275">
        <v>-2.6990799999999999</v>
      </c>
      <c r="E502" s="275">
        <v>-2.6411099999999998</v>
      </c>
      <c r="F502" s="275">
        <v>-1.36185</v>
      </c>
      <c r="G502" s="275">
        <v>-1.0019100000000001</v>
      </c>
      <c r="H502" s="275">
        <v>-0.96345999999999998</v>
      </c>
      <c r="I502" s="275"/>
      <c r="J502" s="275"/>
    </row>
    <row r="503" spans="1:10">
      <c r="A503" s="273"/>
      <c r="B503" s="274"/>
      <c r="C503" s="278"/>
      <c r="D503" s="275"/>
      <c r="E503" s="275"/>
      <c r="F503" s="275"/>
      <c r="G503" s="275"/>
      <c r="H503" s="275"/>
      <c r="I503" s="275"/>
      <c r="J503" s="275"/>
    </row>
    <row r="504" spans="1:10">
      <c r="A504" s="273">
        <v>167</v>
      </c>
      <c r="B504" s="274">
        <v>52</v>
      </c>
      <c r="C504" s="278" t="s">
        <v>356</v>
      </c>
      <c r="D504" s="275" t="s">
        <v>446</v>
      </c>
      <c r="E504" s="275" t="s">
        <v>447</v>
      </c>
      <c r="F504" s="275" t="s">
        <v>448</v>
      </c>
      <c r="G504" s="275"/>
      <c r="H504" s="275"/>
      <c r="I504" s="275"/>
      <c r="J504" s="275"/>
    </row>
    <row r="505" spans="1:10">
      <c r="A505" s="273"/>
      <c r="B505" s="274"/>
      <c r="C505" s="278"/>
      <c r="D505" s="275">
        <v>-3.5632299999999999</v>
      </c>
      <c r="E505" s="275">
        <v>-3.5050500000000002</v>
      </c>
      <c r="F505" s="275">
        <v>-2.07612</v>
      </c>
      <c r="G505" s="275"/>
      <c r="H505" s="275"/>
      <c r="I505" s="275"/>
      <c r="J505" s="275"/>
    </row>
    <row r="506" spans="1:10">
      <c r="A506" s="273"/>
      <c r="B506" s="274"/>
      <c r="C506" s="278"/>
      <c r="D506" s="275"/>
      <c r="E506" s="275"/>
      <c r="F506" s="275"/>
      <c r="G506" s="275"/>
      <c r="H506" s="275"/>
      <c r="I506" s="275"/>
      <c r="J506" s="275"/>
    </row>
    <row r="507" spans="1:10">
      <c r="A507" s="273">
        <v>168</v>
      </c>
      <c r="B507" s="274">
        <v>52</v>
      </c>
      <c r="C507" s="278" t="s">
        <v>137</v>
      </c>
      <c r="D507" s="275" t="s">
        <v>446</v>
      </c>
      <c r="E507" s="275" t="s">
        <v>447</v>
      </c>
      <c r="F507" s="275" t="s">
        <v>448</v>
      </c>
      <c r="G507" s="275"/>
      <c r="H507" s="275"/>
      <c r="I507" s="275"/>
      <c r="J507" s="275"/>
    </row>
    <row r="508" spans="1:10">
      <c r="A508" s="273"/>
      <c r="B508" s="274"/>
      <c r="C508" s="278"/>
      <c r="D508" s="275">
        <v>-4.0846999999999998</v>
      </c>
      <c r="E508" s="275">
        <v>-4.0260400000000001</v>
      </c>
      <c r="F508" s="275">
        <v>-2.5418699999999999</v>
      </c>
      <c r="G508" s="275"/>
      <c r="H508" s="275"/>
      <c r="I508" s="275"/>
      <c r="J508" s="275"/>
    </row>
    <row r="509" spans="1:10">
      <c r="A509" s="273"/>
      <c r="B509" s="274"/>
      <c r="C509" s="278"/>
      <c r="D509" s="275"/>
      <c r="E509" s="275"/>
      <c r="F509" s="275"/>
      <c r="G509" s="275"/>
      <c r="H509" s="275"/>
      <c r="I509" s="275"/>
      <c r="J509" s="275"/>
    </row>
    <row r="510" spans="1:10">
      <c r="A510" s="273">
        <v>169</v>
      </c>
      <c r="B510" s="274">
        <v>52</v>
      </c>
      <c r="C510" s="278" t="s">
        <v>138</v>
      </c>
      <c r="D510" s="275" t="s">
        <v>446</v>
      </c>
      <c r="E510" s="275" t="s">
        <v>447</v>
      </c>
      <c r="F510" s="275"/>
      <c r="G510" s="275"/>
      <c r="H510" s="275"/>
      <c r="I510" s="275"/>
      <c r="J510" s="275"/>
    </row>
    <row r="511" spans="1:10">
      <c r="A511" s="273"/>
      <c r="B511" s="274"/>
      <c r="C511" s="278"/>
      <c r="D511" s="275">
        <v>-4.6318599999999996</v>
      </c>
      <c r="E511" s="275">
        <v>-4.5726300000000002</v>
      </c>
      <c r="F511" s="275"/>
      <c r="G511" s="275"/>
      <c r="H511" s="275"/>
      <c r="I511" s="275"/>
      <c r="J511" s="275"/>
    </row>
    <row r="512" spans="1:10">
      <c r="A512" s="273"/>
      <c r="B512" s="274"/>
      <c r="C512" s="278"/>
      <c r="D512" s="275"/>
      <c r="E512" s="275"/>
      <c r="F512" s="275"/>
      <c r="G512" s="275"/>
      <c r="H512" s="275"/>
      <c r="I512" s="275"/>
      <c r="J512" s="275"/>
    </row>
    <row r="513" spans="1:10">
      <c r="A513" s="273">
        <v>170</v>
      </c>
      <c r="B513" s="274">
        <v>53</v>
      </c>
      <c r="C513" s="278" t="s">
        <v>139</v>
      </c>
      <c r="D513" s="275" t="s">
        <v>446</v>
      </c>
      <c r="E513" s="275" t="s">
        <v>447</v>
      </c>
      <c r="F513" s="275" t="s">
        <v>448</v>
      </c>
      <c r="G513" s="275" t="s">
        <v>449</v>
      </c>
      <c r="H513" s="275" t="s">
        <v>450</v>
      </c>
      <c r="I513" s="275"/>
      <c r="J513" s="275"/>
    </row>
    <row r="514" spans="1:10">
      <c r="A514" s="273"/>
      <c r="B514" s="274"/>
      <c r="C514" s="278"/>
      <c r="D514" s="275">
        <v>-2.6930700000000001</v>
      </c>
      <c r="E514" s="275">
        <v>-2.6257700000000002</v>
      </c>
      <c r="F514" s="275">
        <v>-1.1845399999999999</v>
      </c>
      <c r="G514" s="275">
        <v>-0.74739999999999995</v>
      </c>
      <c r="H514" s="275">
        <v>-0.70279999999999998</v>
      </c>
      <c r="I514" s="275"/>
      <c r="J514" s="275"/>
    </row>
    <row r="515" spans="1:10">
      <c r="A515" s="273"/>
      <c r="B515" s="274"/>
      <c r="C515" s="278"/>
      <c r="D515" s="275"/>
      <c r="E515" s="275"/>
      <c r="F515" s="275"/>
      <c r="G515" s="275"/>
      <c r="H515" s="275"/>
      <c r="I515" s="275"/>
      <c r="J515" s="275"/>
    </row>
    <row r="516" spans="1:10">
      <c r="A516" s="273">
        <v>171</v>
      </c>
      <c r="B516" s="274">
        <v>53</v>
      </c>
      <c r="C516" s="278" t="s">
        <v>357</v>
      </c>
      <c r="D516" s="275" t="s">
        <v>446</v>
      </c>
      <c r="E516" s="275" t="s">
        <v>447</v>
      </c>
      <c r="F516" s="275" t="s">
        <v>448</v>
      </c>
      <c r="G516" s="275" t="s">
        <v>449</v>
      </c>
      <c r="H516" s="275" t="s">
        <v>450</v>
      </c>
      <c r="I516" s="275"/>
      <c r="J516" s="275"/>
    </row>
    <row r="517" spans="1:10">
      <c r="A517" s="273"/>
      <c r="B517" s="274"/>
      <c r="C517" s="278"/>
      <c r="D517" s="275">
        <v>-3.51905</v>
      </c>
      <c r="E517" s="275">
        <v>-3.4516900000000001</v>
      </c>
      <c r="F517" s="275">
        <v>-1.8822300000000001</v>
      </c>
      <c r="G517" s="275">
        <v>-1.46879</v>
      </c>
      <c r="H517" s="275">
        <v>-1.41683</v>
      </c>
      <c r="I517" s="275"/>
      <c r="J517" s="275"/>
    </row>
    <row r="518" spans="1:10">
      <c r="A518" s="273"/>
      <c r="B518" s="274"/>
      <c r="C518" s="278"/>
      <c r="D518" s="275"/>
      <c r="E518" s="275"/>
      <c r="F518" s="275"/>
      <c r="G518" s="275"/>
      <c r="H518" s="275"/>
      <c r="I518" s="275"/>
      <c r="J518" s="275"/>
    </row>
    <row r="519" spans="1:10">
      <c r="A519" s="273">
        <v>172</v>
      </c>
      <c r="B519" s="274">
        <v>53</v>
      </c>
      <c r="C519" s="278" t="s">
        <v>358</v>
      </c>
      <c r="D519" s="275" t="s">
        <v>446</v>
      </c>
      <c r="E519" s="275" t="s">
        <v>447</v>
      </c>
      <c r="F519" s="275" t="s">
        <v>448</v>
      </c>
      <c r="G519" s="275"/>
      <c r="H519" s="275"/>
      <c r="I519" s="275"/>
      <c r="J519" s="275"/>
    </row>
    <row r="520" spans="1:10">
      <c r="A520" s="273"/>
      <c r="B520" s="274"/>
      <c r="C520" s="278"/>
      <c r="D520" s="275">
        <v>-4.4765100000000002</v>
      </c>
      <c r="E520" s="275">
        <v>-4.4087699999999996</v>
      </c>
      <c r="F520" s="275">
        <v>-2.6648999999999998</v>
      </c>
      <c r="G520" s="275"/>
      <c r="H520" s="275"/>
      <c r="I520" s="275"/>
      <c r="J520" s="275"/>
    </row>
    <row r="521" spans="1:10">
      <c r="A521" s="273"/>
      <c r="B521" s="274"/>
      <c r="C521" s="278"/>
      <c r="D521" s="275"/>
      <c r="E521" s="275"/>
      <c r="F521" s="275"/>
      <c r="G521" s="275"/>
      <c r="H521" s="275"/>
      <c r="I521" s="275"/>
      <c r="J521" s="275"/>
    </row>
    <row r="522" spans="1:10">
      <c r="A522" s="273">
        <v>173</v>
      </c>
      <c r="B522" s="274">
        <v>53</v>
      </c>
      <c r="C522" s="278" t="s">
        <v>359</v>
      </c>
      <c r="D522" s="275" t="s">
        <v>446</v>
      </c>
      <c r="E522" s="275" t="s">
        <v>447</v>
      </c>
      <c r="F522" s="275"/>
      <c r="G522" s="275"/>
      <c r="H522" s="275"/>
      <c r="I522" s="275"/>
      <c r="J522" s="275"/>
    </row>
    <row r="523" spans="1:10">
      <c r="A523" s="273"/>
      <c r="B523" s="274"/>
      <c r="C523" s="278"/>
      <c r="D523" s="275">
        <v>-5.6246700000000001</v>
      </c>
      <c r="E523" s="275">
        <v>-5.5556900000000002</v>
      </c>
      <c r="F523" s="275"/>
      <c r="G523" s="275"/>
      <c r="H523" s="275"/>
      <c r="I523" s="275"/>
      <c r="J523" s="275"/>
    </row>
    <row r="524" spans="1:10">
      <c r="A524" s="273"/>
      <c r="B524" s="274"/>
      <c r="C524" s="278"/>
      <c r="D524" s="275"/>
      <c r="E524" s="275"/>
      <c r="F524" s="275"/>
      <c r="G524" s="275"/>
      <c r="H524" s="275"/>
      <c r="I524" s="275"/>
      <c r="J524" s="275"/>
    </row>
    <row r="525" spans="1:10">
      <c r="A525" s="273">
        <v>174</v>
      </c>
      <c r="B525" s="274">
        <v>53</v>
      </c>
      <c r="C525" s="278" t="s">
        <v>360</v>
      </c>
      <c r="D525" s="275" t="s">
        <v>446</v>
      </c>
      <c r="E525" s="275" t="s">
        <v>447</v>
      </c>
      <c r="F525" s="275" t="s">
        <v>448</v>
      </c>
      <c r="G525" s="275" t="s">
        <v>449</v>
      </c>
      <c r="H525" s="275" t="s">
        <v>450</v>
      </c>
      <c r="I525" s="275"/>
      <c r="J525" s="275"/>
    </row>
    <row r="526" spans="1:10">
      <c r="A526" s="273"/>
      <c r="B526" s="274"/>
      <c r="C526" s="278"/>
      <c r="D526" s="275">
        <v>-2.0481199999999999</v>
      </c>
      <c r="E526" s="275">
        <v>-1.9805200000000001</v>
      </c>
      <c r="F526" s="275">
        <v>-0.60840000000000005</v>
      </c>
      <c r="G526" s="275">
        <v>-0.15461</v>
      </c>
      <c r="H526" s="275">
        <v>-0.11353000000000001</v>
      </c>
      <c r="I526" s="275"/>
      <c r="J526" s="275"/>
    </row>
    <row r="527" spans="1:10">
      <c r="A527" s="273"/>
      <c r="B527" s="274"/>
      <c r="C527" s="278"/>
      <c r="D527" s="275"/>
      <c r="E527" s="275"/>
      <c r="F527" s="275"/>
      <c r="G527" s="275"/>
      <c r="H527" s="275"/>
      <c r="I527" s="275"/>
      <c r="J527" s="275"/>
    </row>
    <row r="528" spans="1:10">
      <c r="A528" s="273">
        <v>175</v>
      </c>
      <c r="B528" s="274">
        <v>54</v>
      </c>
      <c r="C528" s="278" t="s">
        <v>361</v>
      </c>
      <c r="D528" s="275" t="s">
        <v>446</v>
      </c>
      <c r="E528" s="275" t="s">
        <v>447</v>
      </c>
      <c r="F528" s="275" t="s">
        <v>448</v>
      </c>
      <c r="G528" s="275" t="s">
        <v>449</v>
      </c>
      <c r="H528" s="275" t="s">
        <v>450</v>
      </c>
      <c r="I528" s="275"/>
      <c r="J528" s="275"/>
    </row>
    <row r="529" spans="1:10">
      <c r="A529" s="273"/>
      <c r="B529" s="274"/>
      <c r="C529" s="278"/>
      <c r="D529" s="275">
        <v>-3.49268</v>
      </c>
      <c r="E529" s="275">
        <v>-3.4151199999999999</v>
      </c>
      <c r="F529" s="275">
        <v>-1.68634</v>
      </c>
      <c r="G529" s="275">
        <v>-1.1902900000000001</v>
      </c>
      <c r="H529" s="275">
        <v>-1.1313599999999999</v>
      </c>
      <c r="I529" s="275"/>
      <c r="J529" s="275"/>
    </row>
    <row r="530" spans="1:10">
      <c r="A530" s="273"/>
      <c r="B530" s="274"/>
      <c r="C530" s="278"/>
      <c r="D530" s="275"/>
      <c r="E530" s="275"/>
      <c r="F530" s="275"/>
      <c r="G530" s="275"/>
      <c r="H530" s="275"/>
      <c r="I530" s="275"/>
      <c r="J530" s="275"/>
    </row>
    <row r="531" spans="1:10">
      <c r="A531" s="273">
        <v>176</v>
      </c>
      <c r="B531" s="274">
        <v>54</v>
      </c>
      <c r="C531" s="278" t="s">
        <v>362</v>
      </c>
      <c r="D531" s="275" t="s">
        <v>446</v>
      </c>
      <c r="E531" s="275" t="s">
        <v>447</v>
      </c>
      <c r="F531" s="275" t="s">
        <v>448</v>
      </c>
      <c r="G531" s="275" t="s">
        <v>449</v>
      </c>
      <c r="H531" s="275" t="s">
        <v>450</v>
      </c>
      <c r="I531" s="275"/>
      <c r="J531" s="275"/>
    </row>
    <row r="532" spans="1:10">
      <c r="A532" s="273"/>
      <c r="B532" s="274"/>
      <c r="C532" s="278"/>
      <c r="D532" s="275">
        <v>-4.4199400000000004</v>
      </c>
      <c r="E532" s="275">
        <v>-4.3421599999999998</v>
      </c>
      <c r="F532" s="275">
        <v>-2.4578099999999998</v>
      </c>
      <c r="G532" s="275">
        <v>-1.9913000000000001</v>
      </c>
      <c r="H532" s="275">
        <v>-1.9240900000000001</v>
      </c>
      <c r="I532" s="275"/>
      <c r="J532" s="275"/>
    </row>
    <row r="533" spans="1:10">
      <c r="A533" s="273"/>
      <c r="B533" s="274"/>
      <c r="C533" s="278"/>
      <c r="D533" s="275"/>
      <c r="E533" s="275"/>
      <c r="F533" s="275"/>
      <c r="G533" s="275"/>
      <c r="H533" s="275"/>
      <c r="I533" s="275"/>
      <c r="J533" s="275"/>
    </row>
    <row r="534" spans="1:10">
      <c r="A534" s="273">
        <v>177</v>
      </c>
      <c r="B534" s="274">
        <v>54</v>
      </c>
      <c r="C534" s="278" t="s">
        <v>363</v>
      </c>
      <c r="D534" s="275" t="s">
        <v>446</v>
      </c>
      <c r="E534" s="275" t="s">
        <v>447</v>
      </c>
      <c r="F534" s="275" t="s">
        <v>448</v>
      </c>
      <c r="G534" s="275"/>
      <c r="H534" s="275"/>
      <c r="I534" s="275"/>
      <c r="J534" s="275"/>
    </row>
    <row r="535" spans="1:10">
      <c r="A535" s="273"/>
      <c r="B535" s="274"/>
      <c r="C535" s="278"/>
      <c r="D535" s="275">
        <v>-5.4639800000000003</v>
      </c>
      <c r="E535" s="275">
        <v>-5.3856599999999997</v>
      </c>
      <c r="F535" s="275">
        <v>-3.3042600000000002</v>
      </c>
      <c r="G535" s="275"/>
      <c r="H535" s="275"/>
      <c r="I535" s="275"/>
      <c r="J535" s="275"/>
    </row>
    <row r="536" spans="1:10">
      <c r="A536" s="273"/>
      <c r="B536" s="274"/>
      <c r="C536" s="278"/>
      <c r="D536" s="275"/>
      <c r="E536" s="275"/>
      <c r="F536" s="275"/>
      <c r="G536" s="275"/>
      <c r="H536" s="275"/>
      <c r="I536" s="275"/>
      <c r="J536" s="275"/>
    </row>
    <row r="537" spans="1:10">
      <c r="A537" s="273">
        <v>178</v>
      </c>
      <c r="B537" s="274">
        <v>54</v>
      </c>
      <c r="C537" s="278" t="s">
        <v>364</v>
      </c>
      <c r="D537" s="275" t="s">
        <v>446</v>
      </c>
      <c r="E537" s="275" t="s">
        <v>447</v>
      </c>
      <c r="F537" s="275"/>
      <c r="G537" s="275"/>
      <c r="H537" s="275"/>
      <c r="I537" s="275"/>
      <c r="J537" s="275"/>
    </row>
    <row r="538" spans="1:10">
      <c r="A538" s="273"/>
      <c r="B538" s="274"/>
      <c r="C538" s="278"/>
      <c r="D538" s="275">
        <v>-6.68879</v>
      </c>
      <c r="E538" s="275">
        <v>-6.6090299999999997</v>
      </c>
      <c r="F538" s="275"/>
      <c r="G538" s="275"/>
      <c r="H538" s="275"/>
      <c r="I538" s="275"/>
      <c r="J538" s="275"/>
    </row>
    <row r="539" spans="1:10">
      <c r="A539" s="273"/>
      <c r="B539" s="274"/>
      <c r="C539" s="278"/>
      <c r="D539" s="275"/>
      <c r="E539" s="275"/>
      <c r="F539" s="275"/>
      <c r="G539" s="275"/>
      <c r="H539" s="275"/>
      <c r="I539" s="275"/>
      <c r="J539" s="275"/>
    </row>
    <row r="540" spans="1:10">
      <c r="A540" s="273">
        <v>179</v>
      </c>
      <c r="B540" s="274">
        <v>55</v>
      </c>
      <c r="C540" s="278" t="s">
        <v>140</v>
      </c>
      <c r="D540" s="275" t="s">
        <v>446</v>
      </c>
      <c r="E540" s="275" t="s">
        <v>447</v>
      </c>
      <c r="F540" s="275" t="s">
        <v>448</v>
      </c>
      <c r="G540" s="275" t="s">
        <v>449</v>
      </c>
      <c r="H540" s="275" t="s">
        <v>450</v>
      </c>
      <c r="I540" s="275"/>
      <c r="J540" s="275"/>
    </row>
    <row r="541" spans="1:10">
      <c r="A541" s="273"/>
      <c r="B541" s="274"/>
      <c r="C541" s="278"/>
      <c r="D541" s="275">
        <v>-3.4855299999999998</v>
      </c>
      <c r="E541" s="275">
        <v>-3.39669</v>
      </c>
      <c r="F541" s="275">
        <v>-1.48983</v>
      </c>
      <c r="G541" s="275">
        <v>-0.90791999999999995</v>
      </c>
      <c r="H541" s="275">
        <v>-0.84035000000000004</v>
      </c>
      <c r="I541" s="275"/>
      <c r="J541" s="275"/>
    </row>
    <row r="542" spans="1:10">
      <c r="A542" s="273"/>
      <c r="B542" s="274"/>
      <c r="C542" s="278"/>
      <c r="D542" s="275"/>
      <c r="E542" s="275"/>
      <c r="F542" s="275"/>
      <c r="G542" s="275"/>
      <c r="H542" s="275"/>
      <c r="I542" s="275"/>
      <c r="J542" s="275"/>
    </row>
    <row r="543" spans="1:10">
      <c r="A543" s="273">
        <v>180</v>
      </c>
      <c r="B543" s="274">
        <v>56</v>
      </c>
      <c r="C543" s="278" t="s">
        <v>365</v>
      </c>
      <c r="D543" s="275" t="s">
        <v>446</v>
      </c>
      <c r="E543" s="275" t="s">
        <v>447</v>
      </c>
      <c r="F543" s="275" t="s">
        <v>448</v>
      </c>
      <c r="G543" s="275" t="s">
        <v>449</v>
      </c>
      <c r="H543" s="275" t="s">
        <v>450</v>
      </c>
      <c r="I543" s="275"/>
      <c r="J543" s="275"/>
    </row>
    <row r="544" spans="1:10">
      <c r="A544" s="273"/>
      <c r="B544" s="274"/>
      <c r="C544" s="278"/>
      <c r="D544" s="275">
        <v>-4.3529799999999996</v>
      </c>
      <c r="E544" s="275">
        <v>-4.2518599999999998</v>
      </c>
      <c r="F544" s="275">
        <v>-2.0336799999999999</v>
      </c>
      <c r="G544" s="275">
        <v>-1.38775</v>
      </c>
      <c r="H544" s="275">
        <v>-1.30311</v>
      </c>
      <c r="I544" s="275"/>
      <c r="J544" s="275"/>
    </row>
    <row r="545" spans="1:10">
      <c r="A545" s="273"/>
      <c r="B545" s="274"/>
      <c r="C545" s="278"/>
      <c r="D545" s="275"/>
      <c r="E545" s="275"/>
      <c r="F545" s="275"/>
      <c r="G545" s="275"/>
      <c r="H545" s="275"/>
      <c r="I545" s="275"/>
      <c r="J545" s="275"/>
    </row>
    <row r="546" spans="1:10">
      <c r="A546" s="273">
        <v>181</v>
      </c>
      <c r="B546" s="274">
        <v>57</v>
      </c>
      <c r="C546" s="278" t="s">
        <v>366</v>
      </c>
      <c r="D546" s="275" t="s">
        <v>453</v>
      </c>
      <c r="E546" s="275" t="s">
        <v>454</v>
      </c>
      <c r="F546" s="275"/>
      <c r="G546" s="275"/>
      <c r="H546" s="275"/>
      <c r="I546" s="275"/>
      <c r="J546" s="275"/>
    </row>
    <row r="547" spans="1:10">
      <c r="A547" s="273"/>
      <c r="B547" s="274"/>
      <c r="C547" s="278"/>
      <c r="D547" s="275">
        <v>-0.67681000000000002</v>
      </c>
      <c r="E547" s="275">
        <v>-0.67066999999999999</v>
      </c>
      <c r="F547" s="275"/>
      <c r="G547" s="275"/>
      <c r="H547" s="275"/>
      <c r="I547" s="275"/>
      <c r="J547" s="275"/>
    </row>
    <row r="548" spans="1:10">
      <c r="A548" s="273"/>
      <c r="B548" s="274"/>
      <c r="C548" s="278"/>
      <c r="D548" s="275"/>
      <c r="E548" s="275"/>
      <c r="F548" s="275"/>
      <c r="G548" s="275"/>
      <c r="H548" s="275"/>
      <c r="I548" s="275"/>
      <c r="J548" s="275"/>
    </row>
    <row r="549" spans="1:10">
      <c r="A549" s="273">
        <v>182</v>
      </c>
      <c r="B549" s="274">
        <v>57</v>
      </c>
      <c r="C549" s="278" t="s">
        <v>141</v>
      </c>
      <c r="D549" s="275" t="s">
        <v>446</v>
      </c>
      <c r="E549" s="275" t="s">
        <v>447</v>
      </c>
      <c r="F549" s="275" t="s">
        <v>448</v>
      </c>
      <c r="G549" s="275" t="s">
        <v>449</v>
      </c>
      <c r="H549" s="275" t="s">
        <v>450</v>
      </c>
      <c r="I549" s="275"/>
      <c r="J549" s="275"/>
    </row>
    <row r="550" spans="1:10">
      <c r="A550" s="273"/>
      <c r="B550" s="274"/>
      <c r="C550" s="278"/>
      <c r="D550" s="275">
        <v>-5.3050499999999996</v>
      </c>
      <c r="E550" s="275">
        <v>-5.19048</v>
      </c>
      <c r="F550" s="275">
        <v>-2.6356199999999999</v>
      </c>
      <c r="G550" s="275">
        <v>-1.9260999999999999</v>
      </c>
      <c r="H550" s="275">
        <v>-1.8221700000000001</v>
      </c>
      <c r="I550" s="275"/>
      <c r="J550" s="275"/>
    </row>
    <row r="551" spans="1:10">
      <c r="A551" s="273"/>
      <c r="B551" s="274"/>
      <c r="C551" s="278"/>
      <c r="D551" s="275"/>
      <c r="E551" s="275"/>
      <c r="F551" s="275"/>
      <c r="G551" s="275"/>
      <c r="H551" s="275"/>
      <c r="I551" s="275"/>
      <c r="J551" s="275"/>
    </row>
    <row r="552" spans="1:10">
      <c r="A552" s="273">
        <v>183</v>
      </c>
      <c r="B552" s="274">
        <v>58</v>
      </c>
      <c r="C552" s="278" t="s">
        <v>367</v>
      </c>
      <c r="D552" s="275" t="s">
        <v>451</v>
      </c>
      <c r="E552" s="275" t="s">
        <v>452</v>
      </c>
      <c r="F552" s="275"/>
      <c r="G552" s="275"/>
      <c r="H552" s="275"/>
      <c r="I552" s="275"/>
      <c r="J552" s="275"/>
    </row>
    <row r="553" spans="1:10">
      <c r="A553" s="273"/>
      <c r="B553" s="274"/>
      <c r="C553" s="278"/>
      <c r="D553" s="275">
        <v>-0.74424999999999997</v>
      </c>
      <c r="E553" s="275">
        <v>-0.73529</v>
      </c>
      <c r="F553" s="275"/>
      <c r="G553" s="275"/>
      <c r="H553" s="275"/>
      <c r="I553" s="275"/>
      <c r="J553" s="275"/>
    </row>
    <row r="554" spans="1:10">
      <c r="A554" s="273"/>
      <c r="B554" s="274"/>
      <c r="C554" s="278"/>
      <c r="D554" s="275"/>
      <c r="E554" s="275"/>
      <c r="F554" s="275"/>
      <c r="G554" s="275"/>
      <c r="H554" s="275"/>
      <c r="I554" s="275"/>
      <c r="J554" s="275"/>
    </row>
    <row r="555" spans="1:10">
      <c r="A555" s="273">
        <v>184</v>
      </c>
      <c r="B555" s="274">
        <v>58</v>
      </c>
      <c r="C555" s="278" t="s">
        <v>142</v>
      </c>
      <c r="D555" s="275" t="s">
        <v>451</v>
      </c>
      <c r="E555" s="275" t="s">
        <v>452</v>
      </c>
      <c r="F555" s="275"/>
      <c r="G555" s="275"/>
      <c r="H555" s="275"/>
      <c r="I555" s="275"/>
      <c r="J555" s="275"/>
    </row>
    <row r="556" spans="1:10">
      <c r="A556" s="273"/>
      <c r="B556" s="274"/>
      <c r="C556" s="278"/>
      <c r="D556" s="275">
        <v>-1.3897699999999999</v>
      </c>
      <c r="E556" s="275">
        <v>-1.3793</v>
      </c>
      <c r="F556" s="275"/>
      <c r="G556" s="275"/>
      <c r="H556" s="275"/>
      <c r="I556" s="275"/>
      <c r="J556" s="275"/>
    </row>
    <row r="557" spans="1:10">
      <c r="A557" s="273"/>
      <c r="B557" s="274"/>
      <c r="C557" s="278"/>
      <c r="D557" s="275"/>
      <c r="E557" s="275"/>
      <c r="F557" s="275"/>
      <c r="G557" s="275"/>
      <c r="H557" s="275"/>
      <c r="I557" s="275"/>
      <c r="J557" s="275"/>
    </row>
    <row r="558" spans="1:10">
      <c r="A558" s="273">
        <v>185</v>
      </c>
      <c r="B558" s="274">
        <v>58</v>
      </c>
      <c r="C558" s="278" t="s">
        <v>143</v>
      </c>
      <c r="D558" s="275" t="s">
        <v>446</v>
      </c>
      <c r="E558" s="275" t="s">
        <v>447</v>
      </c>
      <c r="F558" s="275" t="s">
        <v>448</v>
      </c>
      <c r="G558" s="275" t="s">
        <v>449</v>
      </c>
      <c r="H558" s="275" t="s">
        <v>450</v>
      </c>
      <c r="I558" s="275"/>
      <c r="J558" s="275"/>
    </row>
    <row r="559" spans="1:10">
      <c r="A559" s="273"/>
      <c r="B559" s="274"/>
      <c r="C559" s="278"/>
      <c r="D559" s="275">
        <v>-6.3367100000000001</v>
      </c>
      <c r="E559" s="275">
        <v>-6.2074600000000002</v>
      </c>
      <c r="F559" s="275">
        <v>-3.2921999999999998</v>
      </c>
      <c r="G559" s="275">
        <v>-2.51945</v>
      </c>
      <c r="H559" s="275">
        <v>-2.3939599999999999</v>
      </c>
      <c r="I559" s="275"/>
      <c r="J559" s="275"/>
    </row>
    <row r="560" spans="1:10">
      <c r="A560" s="273"/>
      <c r="B560" s="274"/>
      <c r="C560" s="278"/>
      <c r="D560" s="275"/>
      <c r="E560" s="275"/>
      <c r="F560" s="275"/>
      <c r="G560" s="275"/>
      <c r="H560" s="275"/>
      <c r="I560" s="275"/>
      <c r="J560" s="275"/>
    </row>
    <row r="561" spans="1:10">
      <c r="A561" s="273">
        <v>186</v>
      </c>
      <c r="B561" s="274">
        <v>59</v>
      </c>
      <c r="C561" s="278" t="s">
        <v>368</v>
      </c>
      <c r="D561" s="275" t="s">
        <v>451</v>
      </c>
      <c r="E561" s="275" t="s">
        <v>452</v>
      </c>
      <c r="F561" s="275"/>
      <c r="G561" s="275"/>
      <c r="H561" s="275"/>
      <c r="I561" s="275"/>
      <c r="J561" s="275"/>
    </row>
    <row r="562" spans="1:10">
      <c r="A562" s="273"/>
      <c r="B562" s="274"/>
      <c r="C562" s="278"/>
      <c r="D562" s="275">
        <v>-0.79286000000000001</v>
      </c>
      <c r="E562" s="275">
        <v>-0.78152999999999995</v>
      </c>
      <c r="F562" s="275"/>
      <c r="G562" s="275"/>
      <c r="H562" s="275"/>
      <c r="I562" s="275"/>
      <c r="J562" s="275"/>
    </row>
    <row r="563" spans="1:10">
      <c r="A563" s="273"/>
      <c r="B563" s="274"/>
      <c r="C563" s="278"/>
      <c r="D563" s="275"/>
      <c r="E563" s="275"/>
      <c r="F563" s="275"/>
      <c r="G563" s="275"/>
      <c r="H563" s="275"/>
      <c r="I563" s="275"/>
      <c r="J563" s="275"/>
    </row>
    <row r="564" spans="1:10">
      <c r="A564" s="273">
        <v>187</v>
      </c>
      <c r="B564" s="274">
        <v>59</v>
      </c>
      <c r="C564" s="278" t="s">
        <v>144</v>
      </c>
      <c r="D564" s="275" t="s">
        <v>451</v>
      </c>
      <c r="E564" s="275" t="s">
        <v>452</v>
      </c>
      <c r="F564" s="275"/>
      <c r="G564" s="275"/>
      <c r="H564" s="275"/>
      <c r="I564" s="275"/>
      <c r="J564" s="275"/>
    </row>
    <row r="565" spans="1:10">
      <c r="A565" s="273"/>
      <c r="B565" s="274"/>
      <c r="C565" s="278"/>
      <c r="D565" s="275">
        <v>-1.44478</v>
      </c>
      <c r="E565" s="275">
        <v>-1.4320299999999999</v>
      </c>
      <c r="F565" s="275"/>
      <c r="G565" s="275"/>
      <c r="H565" s="275"/>
      <c r="I565" s="275"/>
      <c r="J565" s="275"/>
    </row>
    <row r="566" spans="1:10">
      <c r="A566" s="273"/>
      <c r="B566" s="274"/>
      <c r="C566" s="278"/>
      <c r="D566" s="275"/>
      <c r="E566" s="275"/>
      <c r="F566" s="275"/>
      <c r="G566" s="275"/>
      <c r="H566" s="275"/>
      <c r="I566" s="275"/>
      <c r="J566" s="275"/>
    </row>
    <row r="567" spans="1:10">
      <c r="A567" s="273">
        <v>188</v>
      </c>
      <c r="B567" s="274">
        <v>59</v>
      </c>
      <c r="C567" s="278" t="s">
        <v>145</v>
      </c>
      <c r="D567" s="275" t="s">
        <v>451</v>
      </c>
      <c r="E567" s="275" t="s">
        <v>452</v>
      </c>
      <c r="F567" s="275"/>
      <c r="G567" s="275"/>
      <c r="H567" s="275"/>
      <c r="I567" s="275"/>
      <c r="J567" s="275"/>
    </row>
    <row r="568" spans="1:10">
      <c r="A568" s="273"/>
      <c r="B568" s="274"/>
      <c r="C568" s="278"/>
      <c r="D568" s="275">
        <v>-2.1825999999999999</v>
      </c>
      <c r="E568" s="275">
        <v>-2.1683400000000002</v>
      </c>
      <c r="F568" s="275"/>
      <c r="G568" s="275"/>
      <c r="H568" s="275"/>
      <c r="I568" s="275"/>
      <c r="J568" s="275"/>
    </row>
    <row r="569" spans="1:10">
      <c r="A569" s="273"/>
      <c r="B569" s="274"/>
      <c r="C569" s="278"/>
      <c r="D569" s="275"/>
      <c r="E569" s="275"/>
      <c r="F569" s="275"/>
      <c r="G569" s="275"/>
      <c r="H569" s="275"/>
      <c r="I569" s="275"/>
      <c r="J569" s="275"/>
    </row>
    <row r="570" spans="1:10">
      <c r="A570" s="273">
        <v>189</v>
      </c>
      <c r="B570" s="274">
        <v>60</v>
      </c>
      <c r="C570" s="278" t="s">
        <v>369</v>
      </c>
      <c r="D570" s="275" t="s">
        <v>451</v>
      </c>
      <c r="E570" s="275" t="s">
        <v>452</v>
      </c>
      <c r="F570" s="275"/>
      <c r="G570" s="275"/>
      <c r="H570" s="275"/>
      <c r="I570" s="275"/>
      <c r="J570" s="275"/>
    </row>
    <row r="571" spans="1:10">
      <c r="A571" s="273"/>
      <c r="B571" s="274"/>
      <c r="C571" s="278"/>
      <c r="D571" s="275">
        <v>-0.83423000000000003</v>
      </c>
      <c r="E571" s="275">
        <v>-0.82030000000000003</v>
      </c>
      <c r="F571" s="275"/>
      <c r="G571" s="275"/>
      <c r="H571" s="275"/>
      <c r="I571" s="275"/>
      <c r="J571" s="275"/>
    </row>
    <row r="572" spans="1:10">
      <c r="A572" s="273"/>
      <c r="B572" s="274"/>
      <c r="C572" s="278"/>
      <c r="D572" s="275"/>
      <c r="E572" s="275"/>
      <c r="F572" s="275"/>
      <c r="G572" s="275"/>
      <c r="H572" s="275"/>
      <c r="I572" s="275"/>
      <c r="J572" s="275"/>
    </row>
    <row r="573" spans="1:10">
      <c r="A573" s="273">
        <v>190</v>
      </c>
      <c r="B573" s="274">
        <v>60</v>
      </c>
      <c r="C573" s="278" t="s">
        <v>146</v>
      </c>
      <c r="D573" s="275" t="s">
        <v>451</v>
      </c>
      <c r="E573" s="275" t="s">
        <v>452</v>
      </c>
      <c r="F573" s="275"/>
      <c r="G573" s="275"/>
      <c r="H573" s="275"/>
      <c r="I573" s="275"/>
      <c r="J573" s="275"/>
    </row>
    <row r="574" spans="1:10">
      <c r="A574" s="273"/>
      <c r="B574" s="274"/>
      <c r="C574" s="278"/>
      <c r="D574" s="275">
        <v>-1.49387</v>
      </c>
      <c r="E574" s="275">
        <v>-1.4786300000000001</v>
      </c>
      <c r="F574" s="275"/>
      <c r="G574" s="275"/>
      <c r="H574" s="275"/>
      <c r="I574" s="275"/>
      <c r="J574" s="275"/>
    </row>
    <row r="575" spans="1:10">
      <c r="A575" s="273"/>
      <c r="B575" s="274"/>
      <c r="C575" s="278"/>
      <c r="D575" s="275"/>
      <c r="E575" s="275"/>
      <c r="F575" s="275"/>
      <c r="G575" s="275"/>
      <c r="H575" s="275"/>
      <c r="I575" s="275"/>
      <c r="J575" s="275"/>
    </row>
    <row r="576" spans="1:10">
      <c r="A576" s="273">
        <v>191</v>
      </c>
      <c r="B576" s="274">
        <v>61</v>
      </c>
      <c r="C576" s="278" t="s">
        <v>370</v>
      </c>
      <c r="D576" s="275" t="s">
        <v>451</v>
      </c>
      <c r="E576" s="275" t="s">
        <v>452</v>
      </c>
      <c r="F576" s="275"/>
      <c r="G576" s="275"/>
      <c r="H576" s="275"/>
      <c r="I576" s="275"/>
      <c r="J576" s="275"/>
    </row>
    <row r="577" spans="1:10">
      <c r="A577" s="273"/>
      <c r="B577" s="274"/>
      <c r="C577" s="278"/>
      <c r="D577" s="275">
        <v>-1.5381800000000001</v>
      </c>
      <c r="E577" s="275">
        <v>-1.5201899999999999</v>
      </c>
      <c r="F577" s="275"/>
      <c r="G577" s="275"/>
      <c r="H577" s="275"/>
      <c r="I577" s="275"/>
      <c r="J577" s="275"/>
    </row>
    <row r="578" spans="1:10">
      <c r="A578" s="273"/>
      <c r="B578" s="274"/>
      <c r="C578" s="278"/>
      <c r="D578" s="275"/>
      <c r="E578" s="275"/>
      <c r="F578" s="275"/>
      <c r="G578" s="275"/>
      <c r="H578" s="275"/>
      <c r="I578" s="275"/>
      <c r="J578" s="275"/>
    </row>
    <row r="579" spans="1:10">
      <c r="A579" s="273">
        <v>192</v>
      </c>
      <c r="B579" s="274">
        <v>62</v>
      </c>
      <c r="C579" s="278" t="s">
        <v>371</v>
      </c>
      <c r="D579" s="275" t="s">
        <v>451</v>
      </c>
      <c r="E579" s="275" t="s">
        <v>452</v>
      </c>
      <c r="F579" s="275"/>
      <c r="G579" s="275"/>
      <c r="H579" s="275"/>
      <c r="I579" s="275"/>
      <c r="J579" s="275"/>
    </row>
    <row r="580" spans="1:10">
      <c r="A580" s="273"/>
      <c r="B580" s="274"/>
      <c r="C580" s="278"/>
      <c r="D580" s="275">
        <v>-0.90200999999999998</v>
      </c>
      <c r="E580" s="275">
        <v>-0.8821</v>
      </c>
      <c r="F580" s="275"/>
      <c r="G580" s="275"/>
      <c r="H580" s="275"/>
      <c r="I580" s="275"/>
      <c r="J580" s="275"/>
    </row>
    <row r="581" spans="1:10">
      <c r="A581" s="273"/>
      <c r="B581" s="274"/>
      <c r="C581" s="278"/>
      <c r="D581" s="275"/>
      <c r="E581" s="275"/>
      <c r="F581" s="275"/>
      <c r="G581" s="275"/>
      <c r="H581" s="275"/>
      <c r="I581" s="275"/>
      <c r="J581" s="275"/>
    </row>
    <row r="582" spans="1:10">
      <c r="A582" s="273">
        <v>193</v>
      </c>
      <c r="B582" s="274">
        <v>62</v>
      </c>
      <c r="C582" s="278" t="s">
        <v>147</v>
      </c>
      <c r="D582" s="275" t="s">
        <v>451</v>
      </c>
      <c r="E582" s="275" t="s">
        <v>452</v>
      </c>
      <c r="F582" s="275"/>
      <c r="G582" s="275"/>
      <c r="H582" s="275"/>
      <c r="I582" s="275"/>
      <c r="J582" s="275"/>
    </row>
    <row r="583" spans="1:10">
      <c r="A583" s="273"/>
      <c r="B583" s="274"/>
      <c r="C583" s="278"/>
      <c r="D583" s="275">
        <v>-1.5784800000000001</v>
      </c>
      <c r="E583" s="275">
        <v>-1.55748</v>
      </c>
      <c r="F583" s="275"/>
      <c r="G583" s="275"/>
      <c r="H583" s="275"/>
      <c r="I583" s="275"/>
      <c r="J583" s="275"/>
    </row>
    <row r="584" spans="1:10">
      <c r="A584" s="273"/>
      <c r="B584" s="274"/>
      <c r="C584" s="278"/>
      <c r="D584" s="275"/>
      <c r="E584" s="275"/>
      <c r="F584" s="275"/>
      <c r="G584" s="275"/>
      <c r="H584" s="275"/>
      <c r="I584" s="275"/>
      <c r="J584" s="275"/>
    </row>
    <row r="585" spans="1:10">
      <c r="A585" s="273">
        <v>194</v>
      </c>
      <c r="B585" s="274">
        <v>63</v>
      </c>
      <c r="C585" s="278" t="s">
        <v>372</v>
      </c>
      <c r="D585" s="275" t="s">
        <v>451</v>
      </c>
      <c r="E585" s="275" t="s">
        <v>452</v>
      </c>
      <c r="F585" s="275"/>
      <c r="G585" s="275"/>
      <c r="H585" s="275"/>
      <c r="I585" s="275"/>
      <c r="J585" s="275"/>
    </row>
    <row r="586" spans="1:10">
      <c r="A586" s="273"/>
      <c r="B586" s="274"/>
      <c r="C586" s="278"/>
      <c r="D586" s="275">
        <v>-0.93030999999999997</v>
      </c>
      <c r="E586" s="275">
        <v>-0.90697000000000005</v>
      </c>
      <c r="F586" s="275"/>
      <c r="G586" s="275"/>
      <c r="H586" s="275"/>
      <c r="I586" s="275"/>
      <c r="J586" s="275"/>
    </row>
    <row r="587" spans="1:10">
      <c r="A587" s="273"/>
      <c r="B587" s="274"/>
      <c r="C587" s="278"/>
      <c r="D587" s="275"/>
      <c r="E587" s="275"/>
      <c r="F587" s="275"/>
      <c r="G587" s="275"/>
      <c r="H587" s="275"/>
      <c r="I587" s="275"/>
      <c r="J587" s="275"/>
    </row>
    <row r="588" spans="1:10">
      <c r="A588" s="273">
        <v>195</v>
      </c>
      <c r="B588" s="274">
        <v>63</v>
      </c>
      <c r="C588" s="278" t="s">
        <v>148</v>
      </c>
      <c r="D588" s="275" t="s">
        <v>451</v>
      </c>
      <c r="E588" s="275" t="s">
        <v>452</v>
      </c>
      <c r="F588" s="275"/>
      <c r="G588" s="275"/>
      <c r="H588" s="275"/>
      <c r="I588" s="275"/>
      <c r="J588" s="275"/>
    </row>
    <row r="589" spans="1:10">
      <c r="A589" s="273"/>
      <c r="B589" s="274"/>
      <c r="C589" s="278"/>
      <c r="D589" s="275">
        <v>-1.61537</v>
      </c>
      <c r="E589" s="275">
        <v>-1.59104</v>
      </c>
      <c r="F589" s="275"/>
      <c r="G589" s="275"/>
      <c r="H589" s="275"/>
      <c r="I589" s="275"/>
      <c r="J589" s="275"/>
    </row>
    <row r="590" spans="1:10">
      <c r="A590" s="273"/>
      <c r="B590" s="274"/>
      <c r="C590" s="278"/>
      <c r="D590" s="275"/>
      <c r="E590" s="275"/>
      <c r="F590" s="275"/>
      <c r="G590" s="275"/>
      <c r="H590" s="275"/>
      <c r="I590" s="275"/>
      <c r="J590" s="275"/>
    </row>
    <row r="591" spans="1:10">
      <c r="A591" s="273">
        <v>196</v>
      </c>
      <c r="B591" s="274">
        <v>64</v>
      </c>
      <c r="C591" s="278" t="s">
        <v>149</v>
      </c>
      <c r="D591" s="275" t="s">
        <v>451</v>
      </c>
      <c r="E591" s="275" t="s">
        <v>452</v>
      </c>
      <c r="F591" s="275" t="s">
        <v>453</v>
      </c>
      <c r="G591" s="275" t="s">
        <v>454</v>
      </c>
      <c r="H591" s="275" t="s">
        <v>455</v>
      </c>
      <c r="I591" s="275"/>
      <c r="J591" s="275"/>
    </row>
    <row r="592" spans="1:10">
      <c r="A592" s="273"/>
      <c r="B592" s="274"/>
      <c r="C592" s="278"/>
      <c r="D592" s="275">
        <v>-0.96377000000000002</v>
      </c>
      <c r="E592" s="275">
        <v>-0.93572999999999995</v>
      </c>
      <c r="F592" s="275">
        <v>-0.44929999999999998</v>
      </c>
      <c r="G592" s="275">
        <v>-0.44194</v>
      </c>
      <c r="H592" s="275">
        <v>-0.41121000000000002</v>
      </c>
      <c r="I592" s="275"/>
      <c r="J592" s="275"/>
    </row>
    <row r="593" spans="1:10">
      <c r="A593" s="273"/>
      <c r="B593" s="274"/>
      <c r="C593" s="278"/>
      <c r="D593" s="275"/>
      <c r="E593" s="275"/>
      <c r="F593" s="275"/>
      <c r="G593" s="275"/>
      <c r="H593" s="275"/>
      <c r="I593" s="275"/>
      <c r="J593" s="275"/>
    </row>
    <row r="594" spans="1:10">
      <c r="A594" s="273">
        <v>197</v>
      </c>
      <c r="B594" s="274">
        <v>64</v>
      </c>
      <c r="C594" s="278" t="s">
        <v>150</v>
      </c>
      <c r="D594" s="275" t="s">
        <v>451</v>
      </c>
      <c r="E594" s="275" t="s">
        <v>452</v>
      </c>
      <c r="F594" s="275" t="s">
        <v>453</v>
      </c>
      <c r="G594" s="275" t="s">
        <v>454</v>
      </c>
      <c r="H594" s="275"/>
      <c r="I594" s="275"/>
      <c r="J594" s="275"/>
    </row>
    <row r="595" spans="1:10">
      <c r="A595" s="273"/>
      <c r="B595" s="274"/>
      <c r="C595" s="278"/>
      <c r="D595" s="275">
        <v>-1.23319</v>
      </c>
      <c r="E595" s="275">
        <v>-1.20516</v>
      </c>
      <c r="F595" s="275">
        <v>-0.70942000000000005</v>
      </c>
      <c r="G595" s="275">
        <v>-0.70077999999999996</v>
      </c>
      <c r="H595" s="275"/>
      <c r="I595" s="275"/>
      <c r="J595" s="275"/>
    </row>
    <row r="596" spans="1:10">
      <c r="A596" s="273"/>
      <c r="B596" s="274"/>
      <c r="C596" s="278"/>
      <c r="D596" s="275"/>
      <c r="E596" s="275"/>
      <c r="F596" s="275"/>
      <c r="G596" s="275"/>
      <c r="H596" s="275"/>
      <c r="I596" s="275"/>
      <c r="J596" s="275"/>
    </row>
    <row r="597" spans="1:10">
      <c r="A597" s="273">
        <v>198</v>
      </c>
      <c r="B597" s="274">
        <v>64</v>
      </c>
      <c r="C597" s="278" t="s">
        <v>151</v>
      </c>
      <c r="D597" s="275" t="s">
        <v>451</v>
      </c>
      <c r="E597" s="275" t="s">
        <v>452</v>
      </c>
      <c r="F597" s="275"/>
      <c r="G597" s="275"/>
      <c r="H597" s="275"/>
      <c r="I597" s="275"/>
      <c r="J597" s="275"/>
    </row>
    <row r="598" spans="1:10">
      <c r="A598" s="273"/>
      <c r="B598" s="274"/>
      <c r="C598" s="278"/>
      <c r="D598" s="275">
        <v>-1.6492599999999999</v>
      </c>
      <c r="E598" s="275">
        <v>-1.62131</v>
      </c>
      <c r="F598" s="275"/>
      <c r="G598" s="275"/>
      <c r="H598" s="275"/>
      <c r="I598" s="275"/>
      <c r="J598" s="275"/>
    </row>
    <row r="599" spans="1:10">
      <c r="A599" s="273"/>
      <c r="B599" s="274"/>
      <c r="C599" s="278"/>
      <c r="D599" s="275"/>
      <c r="E599" s="275"/>
      <c r="F599" s="275"/>
      <c r="G599" s="275"/>
      <c r="H599" s="275"/>
      <c r="I599" s="275"/>
      <c r="J599" s="275"/>
    </row>
    <row r="600" spans="1:10">
      <c r="A600" s="273">
        <v>199</v>
      </c>
      <c r="B600" s="274">
        <v>65</v>
      </c>
      <c r="C600" s="278" t="s">
        <v>152</v>
      </c>
      <c r="D600" s="275" t="s">
        <v>451</v>
      </c>
      <c r="E600" s="275" t="s">
        <v>452</v>
      </c>
      <c r="F600" s="275" t="s">
        <v>455</v>
      </c>
      <c r="G600" s="275"/>
      <c r="H600" s="275"/>
      <c r="I600" s="275"/>
      <c r="J600" s="275"/>
    </row>
    <row r="601" spans="1:10">
      <c r="A601" s="273"/>
      <c r="B601" s="274"/>
      <c r="C601" s="278"/>
      <c r="D601" s="275">
        <v>-0.70725000000000005</v>
      </c>
      <c r="E601" s="275">
        <v>-0.67588999999999999</v>
      </c>
      <c r="F601" s="275">
        <v>-0.39246999999999999</v>
      </c>
      <c r="G601" s="275"/>
      <c r="H601" s="275"/>
      <c r="I601" s="275"/>
      <c r="J601" s="275"/>
    </row>
    <row r="602" spans="1:10">
      <c r="A602" s="273"/>
      <c r="B602" s="274"/>
      <c r="C602" s="278"/>
      <c r="D602" s="275"/>
      <c r="E602" s="275"/>
      <c r="F602" s="275"/>
      <c r="G602" s="275"/>
      <c r="H602" s="275"/>
      <c r="I602" s="275"/>
      <c r="J602" s="275"/>
    </row>
    <row r="603" spans="1:10">
      <c r="A603" s="273">
        <v>200</v>
      </c>
      <c r="B603" s="274">
        <v>65</v>
      </c>
      <c r="C603" s="278" t="s">
        <v>373</v>
      </c>
      <c r="D603" s="275" t="s">
        <v>451</v>
      </c>
      <c r="E603" s="275" t="s">
        <v>452</v>
      </c>
      <c r="F603" s="275"/>
      <c r="G603" s="275"/>
      <c r="H603" s="275"/>
      <c r="I603" s="275"/>
      <c r="J603" s="275"/>
    </row>
    <row r="604" spans="1:10">
      <c r="A604" s="273"/>
      <c r="B604" s="274"/>
      <c r="C604" s="278"/>
      <c r="D604" s="275">
        <v>-1.6805099999999999</v>
      </c>
      <c r="E604" s="275">
        <v>-1.64859</v>
      </c>
      <c r="F604" s="275"/>
      <c r="G604" s="275"/>
      <c r="H604" s="275"/>
      <c r="I604" s="275"/>
      <c r="J604" s="275"/>
    </row>
    <row r="605" spans="1:10">
      <c r="A605" s="273"/>
      <c r="B605" s="274"/>
      <c r="C605" s="278"/>
      <c r="D605" s="275"/>
      <c r="E605" s="275"/>
      <c r="F605" s="275"/>
      <c r="G605" s="275"/>
      <c r="H605" s="275"/>
      <c r="I605" s="275"/>
      <c r="J605" s="275"/>
    </row>
    <row r="606" spans="1:10">
      <c r="A606" s="273">
        <v>201</v>
      </c>
      <c r="B606" s="274">
        <v>65</v>
      </c>
      <c r="C606" s="278" t="s">
        <v>153</v>
      </c>
      <c r="D606" s="275" t="s">
        <v>451</v>
      </c>
      <c r="E606" s="275" t="s">
        <v>452</v>
      </c>
      <c r="F606" s="275"/>
      <c r="G606" s="275"/>
      <c r="H606" s="275"/>
      <c r="I606" s="275"/>
      <c r="J606" s="275"/>
    </row>
    <row r="607" spans="1:10">
      <c r="A607" s="273"/>
      <c r="B607" s="274"/>
      <c r="C607" s="278"/>
      <c r="D607" s="275">
        <v>-2.4686599999999999</v>
      </c>
      <c r="E607" s="275">
        <v>-2.4354300000000002</v>
      </c>
      <c r="F607" s="275"/>
      <c r="G607" s="275"/>
      <c r="H607" s="275"/>
      <c r="I607" s="275"/>
      <c r="J607" s="275"/>
    </row>
    <row r="608" spans="1:10">
      <c r="A608" s="273"/>
      <c r="B608" s="274"/>
      <c r="C608" s="278"/>
      <c r="D608" s="275"/>
      <c r="E608" s="275"/>
      <c r="F608" s="275"/>
      <c r="G608" s="275"/>
      <c r="H608" s="275"/>
      <c r="I608" s="275"/>
      <c r="J608" s="275"/>
    </row>
    <row r="609" spans="1:10">
      <c r="A609" s="273">
        <v>202</v>
      </c>
      <c r="B609" s="274">
        <v>66</v>
      </c>
      <c r="C609" s="278" t="s">
        <v>374</v>
      </c>
      <c r="D609" s="275" t="s">
        <v>451</v>
      </c>
      <c r="E609" s="275" t="s">
        <v>452</v>
      </c>
      <c r="F609" s="275"/>
      <c r="G609" s="275"/>
      <c r="H609" s="275"/>
      <c r="I609" s="275"/>
      <c r="J609" s="275"/>
    </row>
    <row r="610" spans="1:10">
      <c r="A610" s="273"/>
      <c r="B610" s="274"/>
      <c r="C610" s="278"/>
      <c r="D610" s="275">
        <v>-0.99922</v>
      </c>
      <c r="E610" s="275">
        <v>-0.96338000000000001</v>
      </c>
      <c r="F610" s="275"/>
      <c r="G610" s="275"/>
      <c r="H610" s="275"/>
      <c r="I610" s="275"/>
      <c r="J610" s="275"/>
    </row>
    <row r="611" spans="1:10">
      <c r="A611" s="273"/>
      <c r="B611" s="274"/>
      <c r="C611" s="278"/>
      <c r="D611" s="275"/>
      <c r="E611" s="275"/>
      <c r="F611" s="275"/>
      <c r="G611" s="275"/>
      <c r="H611" s="275"/>
      <c r="I611" s="275"/>
      <c r="J611" s="275"/>
    </row>
    <row r="612" spans="1:10">
      <c r="A612" s="273">
        <v>203</v>
      </c>
      <c r="B612" s="274">
        <v>66</v>
      </c>
      <c r="C612" s="278" t="s">
        <v>154</v>
      </c>
      <c r="D612" s="275" t="s">
        <v>451</v>
      </c>
      <c r="E612" s="275" t="s">
        <v>452</v>
      </c>
      <c r="F612" s="275"/>
      <c r="G612" s="275"/>
      <c r="H612" s="275"/>
      <c r="I612" s="275"/>
      <c r="J612" s="275"/>
    </row>
    <row r="613" spans="1:10">
      <c r="A613" s="273"/>
      <c r="B613" s="274"/>
      <c r="C613" s="278"/>
      <c r="D613" s="275">
        <v>-1.70939</v>
      </c>
      <c r="E613" s="275">
        <v>-1.6731400000000001</v>
      </c>
      <c r="F613" s="275"/>
      <c r="G613" s="275"/>
      <c r="H613" s="275"/>
      <c r="I613" s="275"/>
      <c r="J613" s="275"/>
    </row>
    <row r="614" spans="1:10">
      <c r="A614" s="273"/>
      <c r="B614" s="274"/>
      <c r="C614" s="278"/>
      <c r="D614" s="275"/>
      <c r="E614" s="275"/>
      <c r="F614" s="275"/>
      <c r="G614" s="275"/>
      <c r="H614" s="275"/>
      <c r="I614" s="275"/>
      <c r="J614" s="275"/>
    </row>
    <row r="615" spans="1:10">
      <c r="A615" s="273">
        <v>204</v>
      </c>
      <c r="B615" s="274">
        <v>67</v>
      </c>
      <c r="C615" s="278" t="s">
        <v>375</v>
      </c>
      <c r="D615" s="275" t="s">
        <v>451</v>
      </c>
      <c r="E615" s="275" t="s">
        <v>452</v>
      </c>
      <c r="F615" s="275"/>
      <c r="G615" s="275"/>
      <c r="H615" s="275"/>
      <c r="I615" s="275"/>
      <c r="J615" s="275"/>
    </row>
    <row r="616" spans="1:10">
      <c r="A616" s="273"/>
      <c r="B616" s="274"/>
      <c r="C616" s="278"/>
      <c r="D616" s="275">
        <v>-1.7361500000000001</v>
      </c>
      <c r="E616" s="275">
        <v>-1.6951700000000001</v>
      </c>
      <c r="F616" s="275"/>
      <c r="G616" s="275"/>
      <c r="H616" s="275"/>
      <c r="I616" s="275"/>
      <c r="J616" s="275"/>
    </row>
    <row r="617" spans="1:10">
      <c r="A617" s="273"/>
      <c r="B617" s="274"/>
      <c r="C617" s="278"/>
      <c r="D617" s="275"/>
      <c r="E617" s="275"/>
      <c r="F617" s="275"/>
      <c r="G617" s="275"/>
      <c r="H617" s="275"/>
      <c r="I617" s="275"/>
      <c r="J617" s="275"/>
    </row>
    <row r="618" spans="1:10">
      <c r="A618" s="273">
        <v>205</v>
      </c>
      <c r="B618" s="274">
        <v>68</v>
      </c>
      <c r="C618" s="278" t="s">
        <v>376</v>
      </c>
      <c r="D618" s="275" t="s">
        <v>451</v>
      </c>
      <c r="E618" s="275" t="s">
        <v>452</v>
      </c>
      <c r="F618" s="275"/>
      <c r="G618" s="275"/>
      <c r="H618" s="275"/>
      <c r="I618" s="275"/>
      <c r="J618" s="275"/>
    </row>
    <row r="619" spans="1:10">
      <c r="A619" s="273"/>
      <c r="B619" s="274"/>
      <c r="C619" s="278"/>
      <c r="D619" s="275">
        <v>-1.7609600000000001</v>
      </c>
      <c r="E619" s="275">
        <v>-1.7148399999999999</v>
      </c>
      <c r="F619" s="275"/>
      <c r="G619" s="275"/>
      <c r="H619" s="275"/>
      <c r="I619" s="275"/>
      <c r="J619" s="275"/>
    </row>
    <row r="620" spans="1:10">
      <c r="A620" s="273"/>
      <c r="B620" s="274"/>
      <c r="C620" s="278"/>
      <c r="D620" s="275"/>
      <c r="E620" s="275"/>
      <c r="F620" s="275"/>
      <c r="G620" s="275"/>
      <c r="H620" s="275"/>
      <c r="I620" s="275"/>
      <c r="J620" s="275"/>
    </row>
    <row r="621" spans="1:10">
      <c r="A621" s="273">
        <v>206</v>
      </c>
      <c r="B621" s="274">
        <v>69</v>
      </c>
      <c r="C621" s="278" t="s">
        <v>377</v>
      </c>
      <c r="D621" s="275" t="s">
        <v>451</v>
      </c>
      <c r="E621" s="275" t="s">
        <v>452</v>
      </c>
      <c r="F621" s="275"/>
      <c r="G621" s="275"/>
      <c r="H621" s="275"/>
      <c r="I621" s="275"/>
      <c r="J621" s="275"/>
    </row>
    <row r="622" spans="1:10">
      <c r="A622" s="273"/>
      <c r="B622" s="274"/>
      <c r="C622" s="278"/>
      <c r="D622" s="275">
        <v>-1.0503899999999999</v>
      </c>
      <c r="E622" s="275">
        <v>-0.99817</v>
      </c>
      <c r="F622" s="275"/>
      <c r="G622" s="275"/>
      <c r="H622" s="275"/>
      <c r="I622" s="275"/>
      <c r="J622" s="275"/>
    </row>
    <row r="623" spans="1:10">
      <c r="A623" s="273"/>
      <c r="B623" s="274"/>
      <c r="C623" s="278"/>
      <c r="D623" s="275"/>
      <c r="E623" s="275"/>
      <c r="F623" s="275"/>
      <c r="G623" s="275"/>
      <c r="H623" s="275"/>
      <c r="I623" s="275"/>
      <c r="J623" s="275"/>
    </row>
    <row r="624" spans="1:10">
      <c r="A624" s="273">
        <v>207</v>
      </c>
      <c r="B624" s="274">
        <v>69</v>
      </c>
      <c r="C624" s="278" t="s">
        <v>155</v>
      </c>
      <c r="D624" s="275" t="s">
        <v>451</v>
      </c>
      <c r="E624" s="275" t="s">
        <v>452</v>
      </c>
      <c r="F624" s="275"/>
      <c r="G624" s="275"/>
      <c r="H624" s="275"/>
      <c r="I624" s="275"/>
      <c r="J624" s="275"/>
    </row>
    <row r="625" spans="1:10">
      <c r="A625" s="273"/>
      <c r="B625" s="274"/>
      <c r="C625" s="278"/>
      <c r="D625" s="275">
        <v>-1.7840100000000001</v>
      </c>
      <c r="E625" s="275">
        <v>-1.7323</v>
      </c>
      <c r="F625" s="275"/>
      <c r="G625" s="275"/>
      <c r="H625" s="275"/>
      <c r="I625" s="275"/>
      <c r="J625" s="275"/>
    </row>
    <row r="626" spans="1:10">
      <c r="A626" s="273"/>
      <c r="B626" s="274"/>
      <c r="C626" s="278"/>
      <c r="D626" s="275"/>
      <c r="E626" s="275"/>
      <c r="F626" s="275"/>
      <c r="G626" s="275"/>
      <c r="H626" s="275"/>
      <c r="I626" s="275"/>
      <c r="J626" s="275"/>
    </row>
    <row r="627" spans="1:10">
      <c r="A627" s="273">
        <v>208</v>
      </c>
      <c r="B627" s="274">
        <v>70</v>
      </c>
      <c r="C627" s="278" t="s">
        <v>378</v>
      </c>
      <c r="D627" s="275" t="s">
        <v>451</v>
      </c>
      <c r="E627" s="275" t="s">
        <v>452</v>
      </c>
      <c r="F627" s="275"/>
      <c r="G627" s="275"/>
      <c r="H627" s="275"/>
      <c r="I627" s="275"/>
      <c r="J627" s="275"/>
    </row>
    <row r="628" spans="1:10">
      <c r="A628" s="273"/>
      <c r="B628" s="274"/>
      <c r="C628" s="278"/>
      <c r="D628" s="275">
        <v>-1.06447</v>
      </c>
      <c r="E628" s="275">
        <v>-1.00576</v>
      </c>
      <c r="F628" s="275"/>
      <c r="G628" s="275"/>
      <c r="H628" s="275"/>
      <c r="I628" s="275"/>
      <c r="J628" s="275"/>
    </row>
    <row r="629" spans="1:10">
      <c r="A629" s="273"/>
      <c r="B629" s="274"/>
      <c r="C629" s="278"/>
      <c r="D629" s="275"/>
      <c r="E629" s="275"/>
      <c r="F629" s="275"/>
      <c r="G629" s="275"/>
      <c r="H629" s="275"/>
      <c r="I629" s="275"/>
      <c r="J629" s="275"/>
    </row>
    <row r="630" spans="1:10">
      <c r="A630" s="273">
        <v>209</v>
      </c>
      <c r="B630" s="274">
        <v>70</v>
      </c>
      <c r="C630" s="278" t="s">
        <v>156</v>
      </c>
      <c r="D630" s="275" t="s">
        <v>451</v>
      </c>
      <c r="E630" s="275" t="s">
        <v>452</v>
      </c>
      <c r="F630" s="275"/>
      <c r="G630" s="275"/>
      <c r="H630" s="275"/>
      <c r="I630" s="275"/>
      <c r="J630" s="275"/>
    </row>
    <row r="631" spans="1:10">
      <c r="A631" s="273"/>
      <c r="B631" s="274"/>
      <c r="C631" s="278"/>
      <c r="D631" s="275">
        <v>-1.8054399999999999</v>
      </c>
      <c r="E631" s="275">
        <v>-1.7476700000000001</v>
      </c>
      <c r="F631" s="275"/>
      <c r="G631" s="275"/>
      <c r="H631" s="275"/>
      <c r="I631" s="275"/>
      <c r="J631" s="275"/>
    </row>
    <row r="632" spans="1:10">
      <c r="A632" s="273"/>
      <c r="B632" s="274"/>
      <c r="C632" s="278"/>
      <c r="D632" s="275"/>
      <c r="E632" s="275"/>
      <c r="F632" s="275"/>
      <c r="G632" s="275"/>
      <c r="H632" s="275"/>
      <c r="I632" s="275"/>
      <c r="J632" s="275"/>
    </row>
    <row r="633" spans="1:10">
      <c r="A633" s="273">
        <v>210</v>
      </c>
      <c r="B633" s="274">
        <v>71</v>
      </c>
      <c r="C633" s="278" t="s">
        <v>379</v>
      </c>
      <c r="D633" s="275" t="s">
        <v>451</v>
      </c>
      <c r="E633" s="275" t="s">
        <v>452</v>
      </c>
      <c r="F633" s="275"/>
      <c r="G633" s="275"/>
      <c r="H633" s="275"/>
      <c r="I633" s="275"/>
      <c r="J633" s="275"/>
    </row>
    <row r="634" spans="1:10">
      <c r="A634" s="273"/>
      <c r="B634" s="274"/>
      <c r="C634" s="278"/>
      <c r="D634" s="275">
        <v>-1.82538</v>
      </c>
      <c r="E634" s="275">
        <v>-1.7610399999999999</v>
      </c>
      <c r="F634" s="275"/>
      <c r="G634" s="275"/>
      <c r="H634" s="275"/>
      <c r="I634" s="275"/>
      <c r="J634" s="275"/>
    </row>
    <row r="635" spans="1:10">
      <c r="A635" s="273"/>
      <c r="B635" s="274"/>
      <c r="C635" s="278"/>
      <c r="D635" s="275"/>
      <c r="E635" s="275"/>
      <c r="F635" s="275"/>
      <c r="G635" s="275"/>
      <c r="H635" s="275"/>
      <c r="I635" s="275"/>
      <c r="J635" s="275"/>
    </row>
    <row r="636" spans="1:10">
      <c r="A636" s="273">
        <v>211</v>
      </c>
      <c r="B636" s="274">
        <v>72</v>
      </c>
      <c r="C636" s="278" t="s">
        <v>380</v>
      </c>
      <c r="D636" s="275" t="s">
        <v>451</v>
      </c>
      <c r="E636" s="275" t="s">
        <v>452</v>
      </c>
      <c r="F636" s="275" t="s">
        <v>453</v>
      </c>
      <c r="G636" s="275" t="s">
        <v>454</v>
      </c>
      <c r="H636" s="275"/>
      <c r="I636" s="275"/>
      <c r="J636" s="275"/>
    </row>
    <row r="637" spans="1:10">
      <c r="A637" s="273"/>
      <c r="B637" s="274"/>
      <c r="C637" s="278"/>
      <c r="D637" s="275">
        <v>-1.72767</v>
      </c>
      <c r="E637" s="275">
        <v>-1.6556299999999999</v>
      </c>
      <c r="F637" s="275">
        <v>-0.78635999999999995</v>
      </c>
      <c r="G637" s="275">
        <v>-0.77132999999999996</v>
      </c>
      <c r="H637" s="275"/>
      <c r="I637" s="275"/>
      <c r="J637" s="275"/>
    </row>
    <row r="638" spans="1:10">
      <c r="A638" s="273"/>
      <c r="B638" s="274"/>
      <c r="C638" s="278"/>
      <c r="D638" s="275"/>
      <c r="E638" s="275"/>
      <c r="F638" s="275"/>
      <c r="G638" s="275"/>
      <c r="H638" s="275"/>
      <c r="I638" s="275"/>
      <c r="J638" s="275"/>
    </row>
    <row r="639" spans="1:10">
      <c r="A639" s="273">
        <v>212</v>
      </c>
      <c r="B639" s="274">
        <v>72</v>
      </c>
      <c r="C639" s="278" t="s">
        <v>157</v>
      </c>
      <c r="D639" s="275" t="s">
        <v>451</v>
      </c>
      <c r="E639" s="275" t="s">
        <v>452</v>
      </c>
      <c r="F639" s="275" t="s">
        <v>453</v>
      </c>
      <c r="G639" s="275" t="s">
        <v>454</v>
      </c>
      <c r="H639" s="275"/>
      <c r="I639" s="275"/>
      <c r="J639" s="275"/>
    </row>
    <row r="640" spans="1:10">
      <c r="A640" s="273"/>
      <c r="B640" s="274"/>
      <c r="C640" s="278"/>
      <c r="D640" s="275">
        <v>-2.18086</v>
      </c>
      <c r="E640" s="275">
        <v>-2.1090599999999999</v>
      </c>
      <c r="F640" s="275">
        <v>-1.19665</v>
      </c>
      <c r="G640" s="275">
        <v>-1.1781699999999999</v>
      </c>
      <c r="H640" s="275"/>
      <c r="I640" s="275"/>
      <c r="J640" s="275"/>
    </row>
    <row r="641" spans="1:10">
      <c r="A641" s="273"/>
      <c r="B641" s="274"/>
      <c r="C641" s="278"/>
      <c r="D641" s="275"/>
      <c r="E641" s="275"/>
      <c r="F641" s="275"/>
      <c r="G641" s="275"/>
      <c r="H641" s="275"/>
      <c r="I641" s="275"/>
      <c r="J641" s="275"/>
    </row>
    <row r="642" spans="1:10">
      <c r="A642" s="273">
        <v>213</v>
      </c>
      <c r="B642" s="274">
        <v>72</v>
      </c>
      <c r="C642" s="278" t="s">
        <v>158</v>
      </c>
      <c r="D642" s="275" t="s">
        <v>451</v>
      </c>
      <c r="E642" s="275" t="s">
        <v>452</v>
      </c>
      <c r="F642" s="275"/>
      <c r="G642" s="275"/>
      <c r="H642" s="275"/>
      <c r="I642" s="275"/>
      <c r="J642" s="275"/>
    </row>
    <row r="643" spans="1:10">
      <c r="A643" s="273"/>
      <c r="B643" s="274"/>
      <c r="C643" s="278"/>
      <c r="D643" s="275">
        <v>-2.6896300000000002</v>
      </c>
      <c r="E643" s="275">
        <v>-2.6180500000000002</v>
      </c>
      <c r="F643" s="275"/>
      <c r="G643" s="275"/>
      <c r="H643" s="275"/>
      <c r="I643" s="275"/>
      <c r="J643" s="275"/>
    </row>
    <row r="644" spans="1:10">
      <c r="A644" s="273"/>
      <c r="B644" s="274"/>
      <c r="C644" s="278"/>
      <c r="D644" s="275"/>
      <c r="E644" s="275"/>
      <c r="F644" s="275"/>
      <c r="G644" s="275"/>
      <c r="H644" s="275"/>
      <c r="I644" s="275"/>
      <c r="J644" s="275"/>
    </row>
    <row r="645" spans="1:10">
      <c r="A645" s="273">
        <v>214</v>
      </c>
      <c r="B645" s="274">
        <v>73</v>
      </c>
      <c r="C645" s="278" t="s">
        <v>381</v>
      </c>
      <c r="D645" s="275" t="s">
        <v>451</v>
      </c>
      <c r="E645" s="275" t="s">
        <v>452</v>
      </c>
      <c r="F645" s="275" t="s">
        <v>453</v>
      </c>
      <c r="G645" s="275" t="s">
        <v>454</v>
      </c>
      <c r="H645" s="275"/>
      <c r="I645" s="275"/>
      <c r="J645" s="275"/>
    </row>
    <row r="646" spans="1:10">
      <c r="A646" s="273"/>
      <c r="B646" s="274"/>
      <c r="C646" s="278"/>
      <c r="D646" s="275">
        <v>-2.0922000000000001</v>
      </c>
      <c r="E646" s="275">
        <v>-2.01186</v>
      </c>
      <c r="F646" s="275">
        <v>-0.85668999999999995</v>
      </c>
      <c r="G646" s="275">
        <v>-0.83609999999999995</v>
      </c>
      <c r="H646" s="275"/>
      <c r="I646" s="275"/>
      <c r="J646" s="275"/>
    </row>
    <row r="647" spans="1:10">
      <c r="A647" s="273"/>
      <c r="B647" s="274"/>
      <c r="C647" s="278"/>
      <c r="D647" s="275"/>
      <c r="E647" s="275"/>
      <c r="F647" s="275"/>
      <c r="G647" s="275"/>
      <c r="H647" s="275"/>
      <c r="I647" s="275"/>
      <c r="J647" s="275"/>
    </row>
    <row r="648" spans="1:10">
      <c r="A648" s="273">
        <v>215</v>
      </c>
      <c r="B648" s="274">
        <v>73</v>
      </c>
      <c r="C648" s="278" t="s">
        <v>159</v>
      </c>
      <c r="D648" s="275" t="s">
        <v>451</v>
      </c>
      <c r="E648" s="275" t="s">
        <v>452</v>
      </c>
      <c r="F648" s="275" t="s">
        <v>453</v>
      </c>
      <c r="G648" s="275" t="s">
        <v>454</v>
      </c>
      <c r="H648" s="275"/>
      <c r="I648" s="275"/>
      <c r="J648" s="275"/>
    </row>
    <row r="649" spans="1:10">
      <c r="A649" s="273"/>
      <c r="B649" s="274"/>
      <c r="C649" s="278"/>
      <c r="D649" s="275">
        <v>-2.55905</v>
      </c>
      <c r="E649" s="275">
        <v>-2.4788899999999998</v>
      </c>
      <c r="F649" s="275">
        <v>-1.28024</v>
      </c>
      <c r="G649" s="275">
        <v>-1.2562599999999999</v>
      </c>
      <c r="H649" s="275"/>
      <c r="I649" s="275"/>
      <c r="J649" s="275"/>
    </row>
    <row r="650" spans="1:10">
      <c r="A650" s="273"/>
      <c r="B650" s="274"/>
      <c r="C650" s="278"/>
      <c r="D650" s="275"/>
      <c r="E650" s="275"/>
      <c r="F650" s="275"/>
      <c r="G650" s="275"/>
      <c r="H650" s="275"/>
      <c r="I650" s="275"/>
      <c r="J650" s="275"/>
    </row>
    <row r="651" spans="1:10">
      <c r="A651" s="273">
        <v>216</v>
      </c>
      <c r="B651" s="274">
        <v>73</v>
      </c>
      <c r="C651" s="278" t="s">
        <v>160</v>
      </c>
      <c r="D651" s="275" t="s">
        <v>451</v>
      </c>
      <c r="E651" s="275" t="s">
        <v>452</v>
      </c>
      <c r="F651" s="275" t="s">
        <v>453</v>
      </c>
      <c r="G651" s="275" t="s">
        <v>454</v>
      </c>
      <c r="H651" s="275"/>
      <c r="I651" s="275"/>
      <c r="J651" s="275"/>
    </row>
    <row r="652" spans="1:10">
      <c r="A652" s="273"/>
      <c r="B652" s="274"/>
      <c r="C652" s="278"/>
      <c r="D652" s="275">
        <v>-3.0802299999999998</v>
      </c>
      <c r="E652" s="275">
        <v>-3.0002300000000002</v>
      </c>
      <c r="F652" s="275">
        <v>-1.7443500000000001</v>
      </c>
      <c r="G652" s="275">
        <v>-1.7167300000000001</v>
      </c>
      <c r="H652" s="275"/>
      <c r="I652" s="275"/>
      <c r="J652" s="275"/>
    </row>
    <row r="653" spans="1:10">
      <c r="A653" s="273"/>
      <c r="B653" s="274"/>
      <c r="C653" s="278"/>
      <c r="D653" s="275"/>
      <c r="E653" s="275"/>
      <c r="F653" s="275"/>
      <c r="G653" s="275"/>
      <c r="H653" s="275"/>
      <c r="I653" s="275"/>
      <c r="J653" s="275"/>
    </row>
    <row r="654" spans="1:10">
      <c r="A654" s="273">
        <v>217</v>
      </c>
      <c r="B654" s="274">
        <v>73</v>
      </c>
      <c r="C654" s="278" t="s">
        <v>161</v>
      </c>
      <c r="D654" s="275" t="s">
        <v>451</v>
      </c>
      <c r="E654" s="275" t="s">
        <v>452</v>
      </c>
      <c r="F654" s="275"/>
      <c r="G654" s="275"/>
      <c r="H654" s="275"/>
      <c r="I654" s="275"/>
      <c r="J654" s="275"/>
    </row>
    <row r="655" spans="1:10">
      <c r="A655" s="273"/>
      <c r="B655" s="274"/>
      <c r="C655" s="278"/>
      <c r="D655" s="275">
        <v>-3.64628</v>
      </c>
      <c r="E655" s="275">
        <v>-3.5663900000000002</v>
      </c>
      <c r="F655" s="275"/>
      <c r="G655" s="275"/>
      <c r="H655" s="275"/>
      <c r="I655" s="275"/>
      <c r="J655" s="275"/>
    </row>
    <row r="656" spans="1:10">
      <c r="A656" s="273"/>
      <c r="B656" s="274"/>
      <c r="C656" s="278"/>
      <c r="D656" s="275"/>
      <c r="E656" s="275"/>
      <c r="F656" s="275"/>
      <c r="G656" s="275"/>
      <c r="H656" s="275"/>
      <c r="I656" s="275"/>
      <c r="J656" s="275"/>
    </row>
    <row r="657" spans="1:10">
      <c r="A657" s="273">
        <v>218</v>
      </c>
      <c r="B657" s="274">
        <v>74</v>
      </c>
      <c r="C657" s="278" t="s">
        <v>162</v>
      </c>
      <c r="D657" s="275" t="s">
        <v>451</v>
      </c>
      <c r="E657" s="275" t="s">
        <v>452</v>
      </c>
      <c r="F657" s="275" t="s">
        <v>453</v>
      </c>
      <c r="G657" s="275" t="s">
        <v>454</v>
      </c>
      <c r="H657" s="275" t="s">
        <v>455</v>
      </c>
      <c r="I657" s="275"/>
      <c r="J657" s="275"/>
    </row>
    <row r="658" spans="1:10">
      <c r="A658" s="273"/>
      <c r="B658" s="274"/>
      <c r="C658" s="278"/>
      <c r="D658" s="275">
        <v>-2.1629700000000001</v>
      </c>
      <c r="E658" s="275">
        <v>-2.0734599999999999</v>
      </c>
      <c r="F658" s="275">
        <v>-0.61792000000000002</v>
      </c>
      <c r="G658" s="275">
        <v>-0.59274000000000004</v>
      </c>
      <c r="H658" s="275">
        <v>-0.52590000000000003</v>
      </c>
      <c r="I658" s="275"/>
      <c r="J658" s="275"/>
    </row>
    <row r="659" spans="1:10">
      <c r="A659" s="273"/>
      <c r="B659" s="274"/>
      <c r="C659" s="278"/>
      <c r="D659" s="275"/>
      <c r="E659" s="275"/>
      <c r="F659" s="275"/>
      <c r="G659" s="275"/>
      <c r="H659" s="275"/>
      <c r="I659" s="275"/>
      <c r="J659" s="275"/>
    </row>
    <row r="660" spans="1:10">
      <c r="A660" s="273">
        <v>219</v>
      </c>
      <c r="B660" s="274">
        <v>74</v>
      </c>
      <c r="C660" s="278" t="s">
        <v>163</v>
      </c>
      <c r="D660" s="275" t="s">
        <v>451</v>
      </c>
      <c r="E660" s="275" t="s">
        <v>452</v>
      </c>
      <c r="F660" s="275" t="s">
        <v>453</v>
      </c>
      <c r="G660" s="275" t="s">
        <v>454</v>
      </c>
      <c r="H660" s="275"/>
      <c r="I660" s="275"/>
      <c r="J660" s="275"/>
    </row>
    <row r="661" spans="1:10">
      <c r="A661" s="273"/>
      <c r="B661" s="274"/>
      <c r="C661" s="278"/>
      <c r="D661" s="275">
        <v>-2.4767999999999999</v>
      </c>
      <c r="E661" s="275">
        <v>-2.3873099999999998</v>
      </c>
      <c r="F661" s="275">
        <v>-0.92593999999999999</v>
      </c>
      <c r="G661" s="275">
        <v>-0.89924000000000004</v>
      </c>
      <c r="H661" s="275"/>
      <c r="I661" s="275"/>
      <c r="J661" s="275"/>
    </row>
    <row r="662" spans="1:10">
      <c r="A662" s="273"/>
      <c r="B662" s="274"/>
      <c r="C662" s="278"/>
      <c r="D662" s="275"/>
      <c r="E662" s="275"/>
      <c r="F662" s="275"/>
      <c r="G662" s="275"/>
      <c r="H662" s="275"/>
      <c r="I662" s="275"/>
      <c r="J662" s="275"/>
    </row>
    <row r="663" spans="1:10">
      <c r="A663" s="273">
        <v>220</v>
      </c>
      <c r="B663" s="274">
        <v>74</v>
      </c>
      <c r="C663" s="278" t="s">
        <v>164</v>
      </c>
      <c r="D663" s="275" t="s">
        <v>451</v>
      </c>
      <c r="E663" s="275" t="s">
        <v>452</v>
      </c>
      <c r="F663" s="275" t="s">
        <v>453</v>
      </c>
      <c r="G663" s="275" t="s">
        <v>454</v>
      </c>
      <c r="H663" s="275"/>
      <c r="I663" s="275"/>
      <c r="J663" s="275"/>
    </row>
    <row r="664" spans="1:10">
      <c r="A664" s="273"/>
      <c r="B664" s="274"/>
      <c r="C664" s="278"/>
      <c r="D664" s="275">
        <v>-2.9580199999999999</v>
      </c>
      <c r="E664" s="275">
        <v>-2.8686799999999999</v>
      </c>
      <c r="F664" s="275">
        <v>-1.3634200000000001</v>
      </c>
      <c r="G664" s="275">
        <v>-1.33338</v>
      </c>
      <c r="H664" s="275"/>
      <c r="I664" s="275"/>
      <c r="J664" s="275"/>
    </row>
    <row r="665" spans="1:10">
      <c r="A665" s="273"/>
      <c r="B665" s="274"/>
      <c r="C665" s="278"/>
      <c r="D665" s="275"/>
      <c r="E665" s="275"/>
      <c r="F665" s="275"/>
      <c r="G665" s="275"/>
      <c r="H665" s="275"/>
      <c r="I665" s="275"/>
      <c r="J665" s="275"/>
    </row>
    <row r="666" spans="1:10">
      <c r="A666" s="273">
        <v>221</v>
      </c>
      <c r="B666" s="274">
        <v>74</v>
      </c>
      <c r="C666" s="278" t="s">
        <v>165</v>
      </c>
      <c r="D666" s="275" t="s">
        <v>451</v>
      </c>
      <c r="E666" s="275" t="s">
        <v>452</v>
      </c>
      <c r="F666" s="275" t="s">
        <v>453</v>
      </c>
      <c r="G666" s="275" t="s">
        <v>454</v>
      </c>
      <c r="H666" s="275"/>
      <c r="I666" s="275"/>
      <c r="J666" s="275"/>
    </row>
    <row r="667" spans="1:10">
      <c r="A667" s="273"/>
      <c r="B667" s="274"/>
      <c r="C667" s="278"/>
      <c r="D667" s="275">
        <v>-3.4922800000000001</v>
      </c>
      <c r="E667" s="275">
        <v>-3.40307</v>
      </c>
      <c r="F667" s="275">
        <v>-1.84043</v>
      </c>
      <c r="G667" s="275">
        <v>-1.80674</v>
      </c>
      <c r="H667" s="275"/>
      <c r="I667" s="275"/>
      <c r="J667" s="275"/>
    </row>
    <row r="668" spans="1:10">
      <c r="A668" s="273"/>
      <c r="B668" s="274"/>
      <c r="C668" s="278"/>
      <c r="D668" s="275"/>
      <c r="E668" s="275"/>
      <c r="F668" s="275"/>
      <c r="G668" s="275"/>
      <c r="H668" s="275"/>
      <c r="I668" s="275"/>
      <c r="J668" s="275"/>
    </row>
    <row r="669" spans="1:10">
      <c r="A669" s="273">
        <v>222</v>
      </c>
      <c r="B669" s="274">
        <v>74</v>
      </c>
      <c r="C669" s="278" t="s">
        <v>166</v>
      </c>
      <c r="D669" s="275" t="s">
        <v>451</v>
      </c>
      <c r="E669" s="275" t="s">
        <v>452</v>
      </c>
      <c r="F669" s="275" t="s">
        <v>453</v>
      </c>
      <c r="G669" s="275" t="s">
        <v>454</v>
      </c>
      <c r="H669" s="275"/>
      <c r="I669" s="275"/>
      <c r="J669" s="275"/>
    </row>
    <row r="670" spans="1:10">
      <c r="A670" s="273"/>
      <c r="B670" s="274"/>
      <c r="C670" s="278"/>
      <c r="D670" s="275">
        <v>-4.0711000000000004</v>
      </c>
      <c r="E670" s="275">
        <v>-3.9819599999999999</v>
      </c>
      <c r="F670" s="275">
        <v>-2.3506200000000002</v>
      </c>
      <c r="G670" s="275">
        <v>-2.3131200000000001</v>
      </c>
      <c r="H670" s="275"/>
      <c r="I670" s="275"/>
      <c r="J670" s="275"/>
    </row>
    <row r="671" spans="1:10">
      <c r="A671" s="273"/>
      <c r="B671" s="274"/>
      <c r="C671" s="278"/>
      <c r="D671" s="275"/>
      <c r="E671" s="275"/>
      <c r="F671" s="275"/>
      <c r="G671" s="275"/>
      <c r="H671" s="275"/>
      <c r="I671" s="275"/>
      <c r="J671" s="275"/>
    </row>
    <row r="672" spans="1:10">
      <c r="A672" s="273">
        <v>223</v>
      </c>
      <c r="B672" s="274">
        <v>74</v>
      </c>
      <c r="C672" s="278" t="s">
        <v>167</v>
      </c>
      <c r="D672" s="275" t="s">
        <v>451</v>
      </c>
      <c r="E672" s="275" t="s">
        <v>452</v>
      </c>
      <c r="F672" s="275"/>
      <c r="G672" s="275"/>
      <c r="H672" s="275"/>
      <c r="I672" s="275"/>
      <c r="J672" s="275"/>
    </row>
    <row r="673" spans="1:10">
      <c r="A673" s="273"/>
      <c r="B673" s="274"/>
      <c r="C673" s="278"/>
      <c r="D673" s="275">
        <v>-4.6889000000000003</v>
      </c>
      <c r="E673" s="275">
        <v>-4.59978</v>
      </c>
      <c r="F673" s="275"/>
      <c r="G673" s="275"/>
      <c r="H673" s="275"/>
      <c r="I673" s="275"/>
      <c r="J673" s="275"/>
    </row>
    <row r="674" spans="1:10">
      <c r="A674" s="273"/>
      <c r="B674" s="274"/>
      <c r="C674" s="278"/>
      <c r="D674" s="275"/>
      <c r="E674" s="275"/>
      <c r="F674" s="275"/>
      <c r="G674" s="275"/>
      <c r="H674" s="275"/>
      <c r="I674" s="275"/>
      <c r="J674" s="275"/>
    </row>
    <row r="675" spans="1:10">
      <c r="A675" s="273">
        <v>224</v>
      </c>
      <c r="B675" s="274">
        <v>75</v>
      </c>
      <c r="C675" s="278" t="s">
        <v>168</v>
      </c>
      <c r="D675" s="275" t="s">
        <v>451</v>
      </c>
      <c r="E675" s="275" t="s">
        <v>452</v>
      </c>
      <c r="F675" s="275" t="s">
        <v>453</v>
      </c>
      <c r="G675" s="275" t="s">
        <v>454</v>
      </c>
      <c r="H675" s="275" t="s">
        <v>455</v>
      </c>
      <c r="I675" s="275"/>
      <c r="J675" s="275"/>
    </row>
    <row r="676" spans="1:10">
      <c r="A676" s="273"/>
      <c r="B676" s="274"/>
      <c r="C676" s="278"/>
      <c r="D676" s="275">
        <v>-2.55755</v>
      </c>
      <c r="E676" s="275">
        <v>-2.4580700000000002</v>
      </c>
      <c r="F676" s="275">
        <v>-0.67681999999999998</v>
      </c>
      <c r="G676" s="275">
        <v>-0.64481999999999995</v>
      </c>
      <c r="H676" s="275">
        <v>-0.54684999999999995</v>
      </c>
      <c r="I676" s="275"/>
      <c r="J676" s="275"/>
    </row>
    <row r="677" spans="1:10">
      <c r="A677" s="273"/>
      <c r="B677" s="274"/>
      <c r="C677" s="278"/>
      <c r="D677" s="275"/>
      <c r="E677" s="275"/>
      <c r="F677" s="275"/>
      <c r="G677" s="275"/>
      <c r="H677" s="275"/>
      <c r="I677" s="275"/>
      <c r="J677" s="275"/>
    </row>
    <row r="678" spans="1:10">
      <c r="A678" s="273">
        <v>225</v>
      </c>
      <c r="B678" s="274">
        <v>75</v>
      </c>
      <c r="C678" s="278" t="s">
        <v>169</v>
      </c>
      <c r="D678" s="275" t="s">
        <v>451</v>
      </c>
      <c r="E678" s="275" t="s">
        <v>452</v>
      </c>
      <c r="F678" s="275" t="s">
        <v>453</v>
      </c>
      <c r="G678" s="275" t="s">
        <v>454</v>
      </c>
      <c r="H678" s="275"/>
      <c r="I678" s="275"/>
      <c r="J678" s="275"/>
    </row>
    <row r="679" spans="1:10">
      <c r="A679" s="273"/>
      <c r="B679" s="274"/>
      <c r="C679" s="278"/>
      <c r="D679" s="275">
        <v>-2.8805200000000002</v>
      </c>
      <c r="E679" s="275">
        <v>-2.7810600000000001</v>
      </c>
      <c r="F679" s="275">
        <v>-0.99468999999999996</v>
      </c>
      <c r="G679" s="275">
        <v>-0.96130000000000004</v>
      </c>
      <c r="H679" s="275"/>
      <c r="I679" s="275"/>
      <c r="J679" s="275"/>
    </row>
    <row r="680" spans="1:10">
      <c r="A680" s="273"/>
      <c r="B680" s="274"/>
      <c r="C680" s="278"/>
      <c r="D680" s="275"/>
      <c r="E680" s="275"/>
      <c r="F680" s="275"/>
      <c r="G680" s="275"/>
      <c r="H680" s="275"/>
      <c r="I680" s="275"/>
      <c r="J680" s="275"/>
    </row>
    <row r="681" spans="1:10">
      <c r="A681" s="273">
        <v>226</v>
      </c>
      <c r="B681" s="274">
        <v>75</v>
      </c>
      <c r="C681" s="278" t="s">
        <v>170</v>
      </c>
      <c r="D681" s="275" t="s">
        <v>451</v>
      </c>
      <c r="E681" s="275" t="s">
        <v>452</v>
      </c>
      <c r="F681" s="275" t="s">
        <v>453</v>
      </c>
      <c r="G681" s="275" t="s">
        <v>454</v>
      </c>
      <c r="H681" s="275"/>
      <c r="I681" s="275"/>
      <c r="J681" s="275"/>
    </row>
    <row r="682" spans="1:10">
      <c r="A682" s="273"/>
      <c r="B682" s="274"/>
      <c r="C682" s="278"/>
      <c r="D682" s="275">
        <v>-3.3764799999999999</v>
      </c>
      <c r="E682" s="275">
        <v>-3.2771699999999999</v>
      </c>
      <c r="F682" s="275">
        <v>-1.44642</v>
      </c>
      <c r="G682" s="275">
        <v>-1.40974</v>
      </c>
      <c r="H682" s="275"/>
      <c r="I682" s="275"/>
      <c r="J682" s="275"/>
    </row>
    <row r="683" spans="1:10">
      <c r="A683" s="273"/>
      <c r="B683" s="274"/>
      <c r="C683" s="278"/>
      <c r="D683" s="275"/>
      <c r="E683" s="275"/>
      <c r="F683" s="275"/>
      <c r="G683" s="275"/>
      <c r="H683" s="275"/>
      <c r="I683" s="275"/>
      <c r="J683" s="275"/>
    </row>
    <row r="684" spans="1:10">
      <c r="A684" s="273">
        <v>227</v>
      </c>
      <c r="B684" s="274">
        <v>75</v>
      </c>
      <c r="C684" s="278" t="s">
        <v>171</v>
      </c>
      <c r="D684" s="275" t="s">
        <v>451</v>
      </c>
      <c r="E684" s="275" t="s">
        <v>452</v>
      </c>
      <c r="F684" s="275" t="s">
        <v>453</v>
      </c>
      <c r="G684" s="275" t="s">
        <v>454</v>
      </c>
      <c r="H684" s="275"/>
      <c r="I684" s="275"/>
      <c r="J684" s="275"/>
    </row>
    <row r="685" spans="1:10">
      <c r="A685" s="273"/>
      <c r="B685" s="274"/>
      <c r="C685" s="278"/>
      <c r="D685" s="275">
        <v>-3.92428</v>
      </c>
      <c r="E685" s="275">
        <v>-3.8250799999999998</v>
      </c>
      <c r="F685" s="275">
        <v>-1.93675</v>
      </c>
      <c r="G685" s="275">
        <v>-1.89642</v>
      </c>
      <c r="H685" s="275"/>
      <c r="I685" s="275"/>
      <c r="J685" s="275"/>
    </row>
    <row r="686" spans="1:10">
      <c r="A686" s="273"/>
      <c r="B686" s="274"/>
      <c r="C686" s="278"/>
      <c r="D686" s="275"/>
      <c r="E686" s="275"/>
      <c r="F686" s="275"/>
      <c r="G686" s="275"/>
      <c r="H686" s="275"/>
      <c r="I686" s="275"/>
      <c r="J686" s="275"/>
    </row>
    <row r="687" spans="1:10">
      <c r="A687" s="273">
        <v>228</v>
      </c>
      <c r="B687" s="274">
        <v>75</v>
      </c>
      <c r="C687" s="278" t="s">
        <v>172</v>
      </c>
      <c r="D687" s="275" t="s">
        <v>451</v>
      </c>
      <c r="E687" s="275" t="s">
        <v>452</v>
      </c>
      <c r="F687" s="275" t="s">
        <v>453</v>
      </c>
      <c r="G687" s="275" t="s">
        <v>454</v>
      </c>
      <c r="H687" s="275"/>
      <c r="I687" s="275"/>
      <c r="J687" s="275"/>
    </row>
    <row r="688" spans="1:10">
      <c r="A688" s="273"/>
      <c r="B688" s="274"/>
      <c r="C688" s="278"/>
      <c r="D688" s="275">
        <v>-4.5162000000000004</v>
      </c>
      <c r="E688" s="275">
        <v>-4.4170600000000002</v>
      </c>
      <c r="F688" s="275">
        <v>-2.4598399999999998</v>
      </c>
      <c r="G688" s="275">
        <v>-2.4156399999999998</v>
      </c>
      <c r="H688" s="275"/>
      <c r="I688" s="275"/>
      <c r="J688" s="275"/>
    </row>
    <row r="689" spans="1:10">
      <c r="A689" s="273"/>
      <c r="B689" s="274"/>
      <c r="C689" s="278"/>
      <c r="D689" s="275"/>
      <c r="E689" s="275"/>
      <c r="F689" s="275"/>
      <c r="G689" s="275"/>
      <c r="H689" s="275"/>
      <c r="I689" s="275"/>
      <c r="J689" s="275"/>
    </row>
    <row r="690" spans="1:10">
      <c r="A690" s="273">
        <v>229</v>
      </c>
      <c r="B690" s="274">
        <v>75</v>
      </c>
      <c r="C690" s="278" t="s">
        <v>173</v>
      </c>
      <c r="D690" s="275" t="s">
        <v>451</v>
      </c>
      <c r="E690" s="275" t="s">
        <v>452</v>
      </c>
      <c r="F690" s="275" t="s">
        <v>453</v>
      </c>
      <c r="G690" s="275" t="s">
        <v>454</v>
      </c>
      <c r="H690" s="275"/>
      <c r="I690" s="275"/>
      <c r="J690" s="275"/>
    </row>
    <row r="691" spans="1:10">
      <c r="A691" s="273"/>
      <c r="B691" s="274"/>
      <c r="C691" s="278"/>
      <c r="D691" s="275">
        <v>-5.1470500000000001</v>
      </c>
      <c r="E691" s="275">
        <v>-5.0479000000000003</v>
      </c>
      <c r="F691" s="275">
        <v>-3.0117400000000001</v>
      </c>
      <c r="G691" s="275">
        <v>-2.9635400000000001</v>
      </c>
      <c r="H691" s="275"/>
      <c r="I691" s="275"/>
      <c r="J691" s="275"/>
    </row>
    <row r="692" spans="1:10">
      <c r="A692" s="273"/>
      <c r="B692" s="274"/>
      <c r="C692" s="278"/>
      <c r="D692" s="275"/>
      <c r="E692" s="275"/>
      <c r="F692" s="275"/>
      <c r="G692" s="275"/>
      <c r="H692" s="275"/>
      <c r="I692" s="275"/>
      <c r="J692" s="275"/>
    </row>
    <row r="693" spans="1:10">
      <c r="A693" s="273">
        <v>230</v>
      </c>
      <c r="B693" s="274">
        <v>75</v>
      </c>
      <c r="C693" s="278" t="s">
        <v>174</v>
      </c>
      <c r="D693" s="275" t="s">
        <v>451</v>
      </c>
      <c r="E693" s="275" t="s">
        <v>452</v>
      </c>
      <c r="F693" s="275"/>
      <c r="G693" s="275"/>
      <c r="H693" s="275"/>
      <c r="I693" s="275"/>
      <c r="J693" s="275"/>
    </row>
    <row r="694" spans="1:10">
      <c r="A694" s="273"/>
      <c r="B694" s="274"/>
      <c r="C694" s="278"/>
      <c r="D694" s="275">
        <v>-5.8131300000000001</v>
      </c>
      <c r="E694" s="275">
        <v>-5.7139199999999999</v>
      </c>
      <c r="F694" s="275"/>
      <c r="G694" s="275"/>
      <c r="H694" s="275"/>
      <c r="I694" s="275"/>
      <c r="J694" s="275"/>
    </row>
    <row r="695" spans="1:10">
      <c r="A695" s="273"/>
      <c r="B695" s="274"/>
      <c r="C695" s="278"/>
      <c r="D695" s="275"/>
      <c r="E695" s="275"/>
      <c r="F695" s="275"/>
      <c r="G695" s="275"/>
      <c r="H695" s="275"/>
      <c r="I695" s="275"/>
      <c r="J695" s="275"/>
    </row>
    <row r="696" spans="1:10">
      <c r="A696" s="273">
        <v>231</v>
      </c>
      <c r="B696" s="274">
        <v>76</v>
      </c>
      <c r="C696" s="278" t="s">
        <v>175</v>
      </c>
      <c r="D696" s="275" t="s">
        <v>451</v>
      </c>
      <c r="E696" s="275" t="s">
        <v>452</v>
      </c>
      <c r="F696" s="275" t="s">
        <v>453</v>
      </c>
      <c r="G696" s="275" t="s">
        <v>454</v>
      </c>
      <c r="H696" s="275" t="s">
        <v>455</v>
      </c>
      <c r="I696" s="275"/>
      <c r="J696" s="275"/>
    </row>
    <row r="697" spans="1:10">
      <c r="A697" s="273"/>
      <c r="B697" s="274"/>
      <c r="C697" s="278"/>
      <c r="D697" s="275">
        <v>-2.9704600000000001</v>
      </c>
      <c r="E697" s="275">
        <v>-2.8601899999999998</v>
      </c>
      <c r="F697" s="275">
        <v>-0.73565999999999998</v>
      </c>
      <c r="G697" s="275">
        <v>-0.69623000000000002</v>
      </c>
      <c r="H697" s="275">
        <v>-0.56664000000000003</v>
      </c>
      <c r="I697" s="275"/>
      <c r="J697" s="275"/>
    </row>
    <row r="698" spans="1:10">
      <c r="A698" s="273"/>
      <c r="B698" s="274"/>
      <c r="C698" s="278"/>
      <c r="D698" s="275"/>
      <c r="E698" s="275"/>
      <c r="F698" s="275"/>
      <c r="G698" s="275"/>
      <c r="H698" s="275"/>
      <c r="I698" s="275"/>
      <c r="J698" s="275"/>
    </row>
    <row r="699" spans="1:10">
      <c r="A699" s="273">
        <v>232</v>
      </c>
      <c r="B699" s="274">
        <v>76</v>
      </c>
      <c r="C699" s="278" t="s">
        <v>176</v>
      </c>
      <c r="D699" s="275" t="s">
        <v>451</v>
      </c>
      <c r="E699" s="275" t="s">
        <v>452</v>
      </c>
      <c r="F699" s="275" t="s">
        <v>453</v>
      </c>
      <c r="G699" s="275" t="s">
        <v>454</v>
      </c>
      <c r="H699" s="275"/>
      <c r="I699" s="275"/>
      <c r="J699" s="275"/>
    </row>
    <row r="700" spans="1:10">
      <c r="A700" s="273"/>
      <c r="B700" s="274"/>
      <c r="C700" s="278"/>
      <c r="D700" s="275">
        <v>-3.3026200000000001</v>
      </c>
      <c r="E700" s="275">
        <v>-3.1923900000000001</v>
      </c>
      <c r="F700" s="275">
        <v>-1.06334</v>
      </c>
      <c r="G700" s="275">
        <v>-1.02264</v>
      </c>
      <c r="H700" s="275"/>
      <c r="I700" s="275"/>
      <c r="J700" s="275"/>
    </row>
    <row r="701" spans="1:10">
      <c r="A701" s="273"/>
      <c r="B701" s="274"/>
      <c r="C701" s="278"/>
      <c r="D701" s="275"/>
      <c r="E701" s="275"/>
      <c r="F701" s="275"/>
      <c r="G701" s="275"/>
      <c r="H701" s="275"/>
      <c r="I701" s="275"/>
      <c r="J701" s="275"/>
    </row>
    <row r="702" spans="1:10">
      <c r="A702" s="273">
        <v>233</v>
      </c>
      <c r="B702" s="274">
        <v>76</v>
      </c>
      <c r="C702" s="278" t="s">
        <v>177</v>
      </c>
      <c r="D702" s="275" t="s">
        <v>451</v>
      </c>
      <c r="E702" s="275" t="s">
        <v>452</v>
      </c>
      <c r="F702" s="275" t="s">
        <v>453</v>
      </c>
      <c r="G702" s="275" t="s">
        <v>454</v>
      </c>
      <c r="H702" s="275"/>
      <c r="I702" s="275"/>
      <c r="J702" s="275"/>
    </row>
    <row r="703" spans="1:10">
      <c r="A703" s="273"/>
      <c r="B703" s="274"/>
      <c r="C703" s="278"/>
      <c r="D703" s="275">
        <v>-3.81352</v>
      </c>
      <c r="E703" s="275">
        <v>-3.70343</v>
      </c>
      <c r="F703" s="275">
        <v>-1.52946</v>
      </c>
      <c r="G703" s="275">
        <v>-1.48553</v>
      </c>
      <c r="H703" s="275"/>
      <c r="I703" s="275"/>
      <c r="J703" s="275"/>
    </row>
    <row r="704" spans="1:10">
      <c r="A704" s="273"/>
      <c r="B704" s="274"/>
      <c r="C704" s="278"/>
      <c r="D704" s="275"/>
      <c r="E704" s="275"/>
      <c r="F704" s="275"/>
      <c r="G704" s="275"/>
      <c r="H704" s="275"/>
      <c r="I704" s="275"/>
      <c r="J704" s="275"/>
    </row>
    <row r="705" spans="1:10">
      <c r="A705" s="273">
        <v>234</v>
      </c>
      <c r="B705" s="274">
        <v>76</v>
      </c>
      <c r="C705" s="278" t="s">
        <v>178</v>
      </c>
      <c r="D705" s="275" t="s">
        <v>451</v>
      </c>
      <c r="E705" s="275" t="s">
        <v>452</v>
      </c>
      <c r="F705" s="275" t="s">
        <v>453</v>
      </c>
      <c r="G705" s="275" t="s">
        <v>454</v>
      </c>
      <c r="H705" s="275"/>
      <c r="I705" s="275"/>
      <c r="J705" s="275"/>
    </row>
    <row r="706" spans="1:10">
      <c r="A706" s="273"/>
      <c r="B706" s="274"/>
      <c r="C706" s="278"/>
      <c r="D706" s="275">
        <v>-4.3751600000000002</v>
      </c>
      <c r="E706" s="275">
        <v>-4.26518</v>
      </c>
      <c r="F706" s="275">
        <v>-2.0333700000000001</v>
      </c>
      <c r="G706" s="275">
        <v>-1.9857899999999999</v>
      </c>
      <c r="H706" s="275"/>
      <c r="I706" s="275"/>
      <c r="J706" s="275"/>
    </row>
    <row r="707" spans="1:10">
      <c r="A707" s="273"/>
      <c r="B707" s="274"/>
      <c r="C707" s="278"/>
      <c r="D707" s="275"/>
      <c r="E707" s="275"/>
      <c r="F707" s="275"/>
      <c r="G707" s="275"/>
      <c r="H707" s="275"/>
      <c r="I707" s="275"/>
      <c r="J707" s="275"/>
    </row>
    <row r="708" spans="1:10">
      <c r="A708" s="273">
        <v>235</v>
      </c>
      <c r="B708" s="274">
        <v>76</v>
      </c>
      <c r="C708" s="278" t="s">
        <v>179</v>
      </c>
      <c r="D708" s="275" t="s">
        <v>451</v>
      </c>
      <c r="E708" s="275" t="s">
        <v>452</v>
      </c>
      <c r="F708" s="275" t="s">
        <v>453</v>
      </c>
      <c r="G708" s="275" t="s">
        <v>454</v>
      </c>
      <c r="H708" s="275"/>
      <c r="I708" s="275"/>
      <c r="J708" s="275"/>
    </row>
    <row r="709" spans="1:10">
      <c r="A709" s="273"/>
      <c r="B709" s="274"/>
      <c r="C709" s="278"/>
      <c r="D709" s="275">
        <v>-4.9804599999999999</v>
      </c>
      <c r="E709" s="275">
        <v>-4.87052</v>
      </c>
      <c r="F709" s="275">
        <v>-2.5696300000000001</v>
      </c>
      <c r="G709" s="275">
        <v>-2.5181399999999998</v>
      </c>
      <c r="H709" s="275"/>
      <c r="I709" s="275"/>
      <c r="J709" s="275"/>
    </row>
    <row r="710" spans="1:10">
      <c r="A710" s="273"/>
      <c r="B710" s="274"/>
      <c r="C710" s="278"/>
      <c r="D710" s="275"/>
      <c r="E710" s="275"/>
      <c r="F710" s="275"/>
      <c r="G710" s="275"/>
      <c r="H710" s="275"/>
      <c r="I710" s="275"/>
      <c r="J710" s="275"/>
    </row>
    <row r="711" spans="1:10">
      <c r="A711" s="273">
        <v>236</v>
      </c>
      <c r="B711" s="274">
        <v>76</v>
      </c>
      <c r="C711" s="278" t="s">
        <v>180</v>
      </c>
      <c r="D711" s="275" t="s">
        <v>451</v>
      </c>
      <c r="E711" s="275" t="s">
        <v>452</v>
      </c>
      <c r="F711" s="275" t="s">
        <v>453</v>
      </c>
      <c r="G711" s="275" t="s">
        <v>454</v>
      </c>
      <c r="H711" s="275"/>
      <c r="I711" s="275"/>
      <c r="J711" s="275"/>
    </row>
    <row r="712" spans="1:10">
      <c r="A712" s="273"/>
      <c r="B712" s="274"/>
      <c r="C712" s="278"/>
      <c r="D712" s="275">
        <v>-5.62453</v>
      </c>
      <c r="E712" s="275">
        <v>-5.5145799999999996</v>
      </c>
      <c r="F712" s="275">
        <v>-3.1345000000000001</v>
      </c>
      <c r="G712" s="275">
        <v>-3.0789300000000002</v>
      </c>
      <c r="H712" s="275"/>
      <c r="I712" s="275"/>
      <c r="J712" s="275"/>
    </row>
    <row r="713" spans="1:10">
      <c r="A713" s="273"/>
      <c r="B713" s="274"/>
      <c r="C713" s="278"/>
      <c r="D713" s="275"/>
      <c r="E713" s="275"/>
      <c r="F713" s="275"/>
      <c r="G713" s="275"/>
      <c r="H713" s="275"/>
      <c r="I713" s="275"/>
      <c r="J713" s="275"/>
    </row>
    <row r="714" spans="1:10">
      <c r="A714" s="273">
        <v>237</v>
      </c>
      <c r="B714" s="274">
        <v>76</v>
      </c>
      <c r="C714" s="278" t="s">
        <v>181</v>
      </c>
      <c r="D714" s="275" t="s">
        <v>451</v>
      </c>
      <c r="E714" s="275" t="s">
        <v>452</v>
      </c>
      <c r="F714" s="275" t="s">
        <v>453</v>
      </c>
      <c r="G714" s="275" t="s">
        <v>454</v>
      </c>
      <c r="H714" s="275"/>
      <c r="I714" s="275"/>
      <c r="J714" s="275"/>
    </row>
    <row r="715" spans="1:10">
      <c r="A715" s="273"/>
      <c r="B715" s="274"/>
      <c r="C715" s="278"/>
      <c r="D715" s="275">
        <v>-6.3038499999999997</v>
      </c>
      <c r="E715" s="275">
        <v>-6.1938300000000002</v>
      </c>
      <c r="F715" s="275">
        <v>-3.7252900000000002</v>
      </c>
      <c r="G715" s="275">
        <v>-3.6655099999999998</v>
      </c>
      <c r="H715" s="275"/>
      <c r="I715" s="275"/>
      <c r="J715" s="275"/>
    </row>
    <row r="716" spans="1:10">
      <c r="A716" s="273"/>
      <c r="B716" s="274"/>
      <c r="C716" s="278"/>
      <c r="D716" s="275"/>
      <c r="E716" s="275"/>
      <c r="F716" s="275"/>
      <c r="G716" s="275"/>
      <c r="H716" s="275"/>
      <c r="I716" s="275"/>
      <c r="J716" s="275"/>
    </row>
    <row r="717" spans="1:10">
      <c r="A717" s="273">
        <v>238</v>
      </c>
      <c r="B717" s="274">
        <v>76</v>
      </c>
      <c r="C717" s="278" t="s">
        <v>182</v>
      </c>
      <c r="D717" s="275" t="s">
        <v>451</v>
      </c>
      <c r="E717" s="275" t="s">
        <v>452</v>
      </c>
      <c r="F717" s="275"/>
      <c r="G717" s="275"/>
      <c r="H717" s="275"/>
      <c r="I717" s="275"/>
      <c r="J717" s="275"/>
    </row>
    <row r="718" spans="1:10">
      <c r="A718" s="273"/>
      <c r="B718" s="274"/>
      <c r="C718" s="278"/>
      <c r="D718" s="275">
        <v>-7.0158100000000001</v>
      </c>
      <c r="E718" s="275">
        <v>-6.90564</v>
      </c>
      <c r="F718" s="275"/>
      <c r="G718" s="275"/>
      <c r="H718" s="275"/>
      <c r="I718" s="275"/>
      <c r="J718" s="275"/>
    </row>
    <row r="719" spans="1:10">
      <c r="A719" s="273"/>
      <c r="B719" s="274"/>
      <c r="C719" s="278"/>
      <c r="D719" s="275"/>
      <c r="E719" s="275"/>
      <c r="F719" s="275"/>
      <c r="G719" s="275"/>
      <c r="H719" s="275"/>
      <c r="I719" s="275"/>
      <c r="J719" s="275"/>
    </row>
    <row r="720" spans="1:10">
      <c r="A720" s="273">
        <v>239</v>
      </c>
      <c r="B720" s="274">
        <v>77</v>
      </c>
      <c r="C720" s="278" t="s">
        <v>183</v>
      </c>
      <c r="D720" s="275" t="s">
        <v>451</v>
      </c>
      <c r="E720" s="275" t="s">
        <v>452</v>
      </c>
      <c r="F720" s="275" t="s">
        <v>453</v>
      </c>
      <c r="G720" s="275" t="s">
        <v>454</v>
      </c>
      <c r="H720" s="275" t="s">
        <v>455</v>
      </c>
      <c r="I720" s="275"/>
      <c r="J720" s="275"/>
    </row>
    <row r="721" spans="1:10">
      <c r="A721" s="273"/>
      <c r="B721" s="274"/>
      <c r="C721" s="278"/>
      <c r="D721" s="275">
        <v>-3.4011800000000001</v>
      </c>
      <c r="E721" s="275">
        <v>-3.2793000000000001</v>
      </c>
      <c r="F721" s="275">
        <v>-0.79474999999999996</v>
      </c>
      <c r="G721" s="275">
        <v>-0.74726999999999999</v>
      </c>
      <c r="H721" s="275">
        <v>-0.58555999999999997</v>
      </c>
      <c r="I721" s="275"/>
      <c r="J721" s="275"/>
    </row>
    <row r="722" spans="1:10">
      <c r="A722" s="273"/>
      <c r="B722" s="274"/>
      <c r="C722" s="278"/>
      <c r="D722" s="275"/>
      <c r="E722" s="275"/>
      <c r="F722" s="275"/>
      <c r="G722" s="275"/>
      <c r="H722" s="275"/>
      <c r="I722" s="275"/>
      <c r="J722" s="275"/>
    </row>
    <row r="723" spans="1:10">
      <c r="A723" s="273">
        <v>240</v>
      </c>
      <c r="B723" s="274">
        <v>77</v>
      </c>
      <c r="C723" s="278" t="s">
        <v>184</v>
      </c>
      <c r="D723" s="275" t="s">
        <v>451</v>
      </c>
      <c r="E723" s="275" t="s">
        <v>452</v>
      </c>
      <c r="F723" s="275" t="s">
        <v>453</v>
      </c>
      <c r="G723" s="275" t="s">
        <v>454</v>
      </c>
      <c r="H723" s="275"/>
      <c r="I723" s="275"/>
      <c r="J723" s="275"/>
    </row>
    <row r="724" spans="1:10">
      <c r="A724" s="273"/>
      <c r="B724" s="274"/>
      <c r="C724" s="278"/>
      <c r="D724" s="275">
        <v>-3.7425299999999999</v>
      </c>
      <c r="E724" s="275">
        <v>-3.6206999999999998</v>
      </c>
      <c r="F724" s="275">
        <v>-1.13215</v>
      </c>
      <c r="G724" s="275">
        <v>-1.08351</v>
      </c>
      <c r="H724" s="275"/>
      <c r="I724" s="275"/>
      <c r="J724" s="275"/>
    </row>
    <row r="725" spans="1:10">
      <c r="A725" s="273"/>
      <c r="B725" s="274"/>
      <c r="C725" s="278"/>
      <c r="D725" s="275"/>
      <c r="E725" s="275"/>
      <c r="F725" s="275"/>
      <c r="G725" s="275"/>
      <c r="H725" s="275"/>
      <c r="I725" s="275"/>
      <c r="J725" s="275"/>
    </row>
    <row r="726" spans="1:10">
      <c r="A726" s="273">
        <v>241</v>
      </c>
      <c r="B726" s="274">
        <v>77</v>
      </c>
      <c r="C726" s="278" t="s">
        <v>185</v>
      </c>
      <c r="D726" s="275" t="s">
        <v>451</v>
      </c>
      <c r="E726" s="275" t="s">
        <v>452</v>
      </c>
      <c r="F726" s="275" t="s">
        <v>453</v>
      </c>
      <c r="G726" s="275" t="s">
        <v>454</v>
      </c>
      <c r="H726" s="275"/>
      <c r="I726" s="275"/>
      <c r="J726" s="275"/>
    </row>
    <row r="727" spans="1:10">
      <c r="A727" s="273"/>
      <c r="B727" s="274"/>
      <c r="C727" s="278"/>
      <c r="D727" s="275">
        <v>-4.2684499999999996</v>
      </c>
      <c r="E727" s="275">
        <v>-4.1467700000000001</v>
      </c>
      <c r="F727" s="275">
        <v>-1.6127</v>
      </c>
      <c r="G727" s="275">
        <v>-1.5609</v>
      </c>
      <c r="H727" s="275"/>
      <c r="I727" s="275"/>
      <c r="J727" s="275"/>
    </row>
    <row r="728" spans="1:10">
      <c r="A728" s="273"/>
      <c r="B728" s="274"/>
      <c r="C728" s="278"/>
      <c r="D728" s="275"/>
      <c r="E728" s="275"/>
      <c r="F728" s="275"/>
      <c r="G728" s="275"/>
      <c r="H728" s="275"/>
      <c r="I728" s="275"/>
      <c r="J728" s="275"/>
    </row>
    <row r="729" spans="1:10">
      <c r="A729" s="273">
        <v>242</v>
      </c>
      <c r="B729" s="274">
        <v>77</v>
      </c>
      <c r="C729" s="278" t="s">
        <v>186</v>
      </c>
      <c r="D729" s="275" t="s">
        <v>451</v>
      </c>
      <c r="E729" s="275" t="s">
        <v>452</v>
      </c>
      <c r="F729" s="275" t="s">
        <v>453</v>
      </c>
      <c r="G729" s="275" t="s">
        <v>454</v>
      </c>
      <c r="H729" s="275"/>
      <c r="I729" s="275"/>
      <c r="J729" s="275"/>
    </row>
    <row r="730" spans="1:10">
      <c r="A730" s="273"/>
      <c r="B730" s="274"/>
      <c r="C730" s="278"/>
      <c r="D730" s="275">
        <v>-4.8441299999999998</v>
      </c>
      <c r="E730" s="275">
        <v>-4.7225599999999996</v>
      </c>
      <c r="F730" s="275">
        <v>-2.13036</v>
      </c>
      <c r="G730" s="275">
        <v>-2.07491</v>
      </c>
      <c r="H730" s="275"/>
      <c r="I730" s="275"/>
      <c r="J730" s="275"/>
    </row>
    <row r="731" spans="1:10">
      <c r="A731" s="273"/>
      <c r="B731" s="274"/>
      <c r="C731" s="278"/>
      <c r="D731" s="275"/>
      <c r="E731" s="275"/>
      <c r="F731" s="275"/>
      <c r="G731" s="275"/>
      <c r="H731" s="275"/>
      <c r="I731" s="275"/>
      <c r="J731" s="275"/>
    </row>
    <row r="732" spans="1:10">
      <c r="A732" s="273">
        <v>243</v>
      </c>
      <c r="B732" s="274">
        <v>77</v>
      </c>
      <c r="C732" s="278" t="s">
        <v>187</v>
      </c>
      <c r="D732" s="275" t="s">
        <v>451</v>
      </c>
      <c r="E732" s="275" t="s">
        <v>452</v>
      </c>
      <c r="F732" s="275" t="s">
        <v>453</v>
      </c>
      <c r="G732" s="275" t="s">
        <v>454</v>
      </c>
      <c r="H732" s="275"/>
      <c r="I732" s="275"/>
      <c r="J732" s="275"/>
    </row>
    <row r="733" spans="1:10">
      <c r="A733" s="273"/>
      <c r="B733" s="274"/>
      <c r="C733" s="278"/>
      <c r="D733" s="275">
        <v>-5.4630000000000001</v>
      </c>
      <c r="E733" s="275">
        <v>-5.3414700000000002</v>
      </c>
      <c r="F733" s="275">
        <v>-2.67998</v>
      </c>
      <c r="G733" s="275">
        <v>-2.6205799999999999</v>
      </c>
      <c r="H733" s="275"/>
      <c r="I733" s="275"/>
      <c r="J733" s="275"/>
    </row>
    <row r="734" spans="1:10">
      <c r="A734" s="273"/>
      <c r="B734" s="274"/>
      <c r="C734" s="278"/>
      <c r="D734" s="275"/>
      <c r="E734" s="275"/>
      <c r="F734" s="275"/>
      <c r="G734" s="275"/>
      <c r="H734" s="275"/>
      <c r="I734" s="275"/>
      <c r="J734" s="275"/>
    </row>
    <row r="735" spans="1:10">
      <c r="A735" s="273">
        <v>244</v>
      </c>
      <c r="B735" s="274">
        <v>77</v>
      </c>
      <c r="C735" s="278" t="s">
        <v>188</v>
      </c>
      <c r="D735" s="275" t="s">
        <v>451</v>
      </c>
      <c r="E735" s="275" t="s">
        <v>452</v>
      </c>
      <c r="F735" s="275" t="s">
        <v>453</v>
      </c>
      <c r="G735" s="275" t="s">
        <v>454</v>
      </c>
      <c r="H735" s="275"/>
      <c r="I735" s="275"/>
      <c r="J735" s="275"/>
    </row>
    <row r="736" spans="1:10">
      <c r="A736" s="273"/>
      <c r="B736" s="274"/>
      <c r="C736" s="278"/>
      <c r="D736" s="275">
        <v>-6.1204499999999999</v>
      </c>
      <c r="E736" s="275">
        <v>-5.9989100000000004</v>
      </c>
      <c r="F736" s="275">
        <v>-3.258</v>
      </c>
      <c r="G736" s="275">
        <v>-3.1944400000000002</v>
      </c>
      <c r="H736" s="275"/>
      <c r="I736" s="275"/>
      <c r="J736" s="275"/>
    </row>
    <row r="737" spans="1:10">
      <c r="A737" s="273"/>
      <c r="B737" s="274"/>
      <c r="C737" s="278"/>
      <c r="D737" s="275"/>
      <c r="E737" s="275"/>
      <c r="F737" s="275"/>
      <c r="G737" s="275"/>
      <c r="H737" s="275"/>
      <c r="I737" s="275"/>
      <c r="J737" s="275"/>
    </row>
    <row r="738" spans="1:10">
      <c r="A738" s="273">
        <v>245</v>
      </c>
      <c r="B738" s="274">
        <v>78</v>
      </c>
      <c r="C738" s="278" t="s">
        <v>382</v>
      </c>
      <c r="D738" s="275" t="s">
        <v>451</v>
      </c>
      <c r="E738" s="275" t="s">
        <v>452</v>
      </c>
      <c r="F738" s="275" t="s">
        <v>453</v>
      </c>
      <c r="G738" s="275" t="s">
        <v>454</v>
      </c>
      <c r="H738" s="275"/>
      <c r="I738" s="275"/>
      <c r="J738" s="275"/>
    </row>
    <row r="739" spans="1:10">
      <c r="A739" s="273"/>
      <c r="B739" s="274"/>
      <c r="C739" s="278"/>
      <c r="D739" s="275">
        <v>-4.1997900000000001</v>
      </c>
      <c r="E739" s="275">
        <v>-4.0655299999999999</v>
      </c>
      <c r="F739" s="275">
        <v>-1.2013499999999999</v>
      </c>
      <c r="G739" s="275">
        <v>-1.1440999999999999</v>
      </c>
      <c r="H739" s="275"/>
      <c r="I739" s="275"/>
      <c r="J739" s="275"/>
    </row>
    <row r="740" spans="1:10">
      <c r="A740" s="273"/>
      <c r="B740" s="274"/>
      <c r="C740" s="278"/>
      <c r="D740" s="275"/>
      <c r="E740" s="275"/>
      <c r="F740" s="275"/>
      <c r="G740" s="275"/>
      <c r="H740" s="275"/>
      <c r="I740" s="275"/>
      <c r="J740" s="275"/>
    </row>
    <row r="741" spans="1:10">
      <c r="A741" s="273">
        <v>246</v>
      </c>
      <c r="B741" s="274">
        <v>78</v>
      </c>
      <c r="C741" s="278" t="s">
        <v>383</v>
      </c>
      <c r="D741" s="275" t="s">
        <v>451</v>
      </c>
      <c r="E741" s="275" t="s">
        <v>452</v>
      </c>
      <c r="F741" s="275" t="s">
        <v>453</v>
      </c>
      <c r="G741" s="275" t="s">
        <v>454</v>
      </c>
      <c r="H741" s="275"/>
      <c r="I741" s="275"/>
      <c r="J741" s="275"/>
    </row>
    <row r="742" spans="1:10">
      <c r="A742" s="273"/>
      <c r="B742" s="274"/>
      <c r="C742" s="278"/>
      <c r="D742" s="275">
        <v>-5.3306100000000001</v>
      </c>
      <c r="E742" s="275">
        <v>-5.1966200000000002</v>
      </c>
      <c r="F742" s="275">
        <v>-2.2277999999999998</v>
      </c>
      <c r="G742" s="275">
        <v>-2.1638199999999999</v>
      </c>
      <c r="H742" s="275"/>
      <c r="I742" s="275"/>
      <c r="J742" s="275"/>
    </row>
    <row r="743" spans="1:10">
      <c r="A743" s="273"/>
      <c r="B743" s="274"/>
      <c r="C743" s="278"/>
      <c r="D743" s="275"/>
      <c r="E743" s="275"/>
      <c r="F743" s="275"/>
      <c r="G743" s="275"/>
      <c r="H743" s="275"/>
      <c r="I743" s="275"/>
      <c r="J743" s="275"/>
    </row>
    <row r="744" spans="1:10">
      <c r="A744" s="273">
        <v>247</v>
      </c>
      <c r="B744" s="274">
        <v>78</v>
      </c>
      <c r="C744" s="278" t="s">
        <v>189</v>
      </c>
      <c r="D744" s="275" t="s">
        <v>451</v>
      </c>
      <c r="E744" s="275" t="s">
        <v>452</v>
      </c>
      <c r="F744" s="275" t="s">
        <v>453</v>
      </c>
      <c r="G744" s="275" t="s">
        <v>454</v>
      </c>
      <c r="H744" s="275"/>
      <c r="I744" s="275"/>
      <c r="J744" s="275"/>
    </row>
    <row r="745" spans="1:10">
      <c r="A745" s="273"/>
      <c r="B745" s="274"/>
      <c r="C745" s="278"/>
      <c r="D745" s="275">
        <v>-5.9632100000000001</v>
      </c>
      <c r="E745" s="275">
        <v>-5.8292599999999997</v>
      </c>
      <c r="F745" s="275">
        <v>-2.7909000000000002</v>
      </c>
      <c r="G745" s="275">
        <v>-2.7229399999999999</v>
      </c>
      <c r="H745" s="275"/>
      <c r="I745" s="275"/>
      <c r="J745" s="275"/>
    </row>
    <row r="746" spans="1:10">
      <c r="A746" s="273"/>
      <c r="B746" s="274"/>
      <c r="C746" s="278"/>
      <c r="D746" s="275"/>
      <c r="E746" s="275"/>
      <c r="F746" s="275"/>
      <c r="G746" s="275"/>
      <c r="H746" s="275"/>
      <c r="I746" s="275"/>
      <c r="J746" s="275"/>
    </row>
    <row r="747" spans="1:10">
      <c r="A747" s="273">
        <v>248</v>
      </c>
      <c r="B747" s="274">
        <v>78</v>
      </c>
      <c r="C747" s="278" t="s">
        <v>190</v>
      </c>
      <c r="D747" s="275" t="s">
        <v>451</v>
      </c>
      <c r="E747" s="275" t="s">
        <v>452</v>
      </c>
      <c r="F747" s="275" t="s">
        <v>453</v>
      </c>
      <c r="G747" s="275" t="s">
        <v>454</v>
      </c>
      <c r="H747" s="275"/>
      <c r="I747" s="275"/>
      <c r="J747" s="275"/>
    </row>
    <row r="748" spans="1:10">
      <c r="A748" s="273"/>
      <c r="B748" s="274"/>
      <c r="C748" s="278"/>
      <c r="D748" s="275">
        <v>-6.6341700000000001</v>
      </c>
      <c r="E748" s="275">
        <v>-6.5002000000000004</v>
      </c>
      <c r="F748" s="275">
        <v>-3.3822100000000002</v>
      </c>
      <c r="G748" s="275">
        <v>-3.3100200000000002</v>
      </c>
      <c r="H748" s="275"/>
      <c r="I748" s="275"/>
      <c r="J748" s="275"/>
    </row>
    <row r="749" spans="1:10">
      <c r="A749" s="273"/>
      <c r="B749" s="274"/>
      <c r="C749" s="278"/>
      <c r="D749" s="275"/>
      <c r="E749" s="275"/>
      <c r="F749" s="275"/>
      <c r="G749" s="275"/>
      <c r="H749" s="275"/>
      <c r="I749" s="275"/>
      <c r="J749" s="275"/>
    </row>
    <row r="750" spans="1:10">
      <c r="A750" s="273">
        <v>249</v>
      </c>
      <c r="B750" s="274">
        <v>79</v>
      </c>
      <c r="C750" s="278" t="s">
        <v>191</v>
      </c>
      <c r="D750" s="275" t="s">
        <v>451</v>
      </c>
      <c r="E750" s="275" t="s">
        <v>452</v>
      </c>
      <c r="F750" s="275" t="s">
        <v>453</v>
      </c>
      <c r="G750" s="275" t="s">
        <v>454</v>
      </c>
      <c r="H750" s="275"/>
      <c r="I750" s="275"/>
      <c r="J750" s="275"/>
    </row>
    <row r="751" spans="1:10">
      <c r="A751" s="273"/>
      <c r="B751" s="274"/>
      <c r="C751" s="278"/>
      <c r="D751" s="275">
        <v>-4.1750100000000003</v>
      </c>
      <c r="E751" s="275">
        <v>-4.0271600000000003</v>
      </c>
      <c r="F751" s="275">
        <v>-0.80505000000000004</v>
      </c>
      <c r="G751" s="275">
        <v>-0.74029999999999996</v>
      </c>
      <c r="H751" s="275"/>
      <c r="I751" s="275"/>
      <c r="J751" s="275"/>
    </row>
    <row r="752" spans="1:10">
      <c r="A752" s="273"/>
      <c r="B752" s="274"/>
      <c r="C752" s="278"/>
      <c r="D752" s="275"/>
      <c r="E752" s="275"/>
      <c r="F752" s="275"/>
      <c r="G752" s="275"/>
      <c r="H752" s="275"/>
      <c r="I752" s="275"/>
      <c r="J752" s="275"/>
    </row>
    <row r="753" spans="1:10">
      <c r="A753" s="273">
        <v>250</v>
      </c>
      <c r="B753" s="274">
        <v>79</v>
      </c>
      <c r="C753" s="278" t="s">
        <v>192</v>
      </c>
      <c r="D753" s="275" t="s">
        <v>451</v>
      </c>
      <c r="E753" s="275" t="s">
        <v>452</v>
      </c>
      <c r="F753" s="275" t="s">
        <v>453</v>
      </c>
      <c r="G753" s="275" t="s">
        <v>454</v>
      </c>
      <c r="H753" s="275"/>
      <c r="I753" s="275"/>
      <c r="J753" s="275"/>
    </row>
    <row r="754" spans="1:10">
      <c r="A754" s="273"/>
      <c r="B754" s="274"/>
      <c r="C754" s="278"/>
      <c r="D754" s="275">
        <v>-4.6740199999999996</v>
      </c>
      <c r="E754" s="275">
        <v>-4.5264499999999996</v>
      </c>
      <c r="F754" s="275">
        <v>-1.2710900000000001</v>
      </c>
      <c r="G754" s="275">
        <v>-1.2045300000000001</v>
      </c>
      <c r="H754" s="275"/>
      <c r="I754" s="275"/>
      <c r="J754" s="275"/>
    </row>
    <row r="755" spans="1:10">
      <c r="A755" s="273"/>
      <c r="B755" s="274"/>
      <c r="C755" s="278"/>
      <c r="D755" s="275"/>
      <c r="E755" s="275"/>
      <c r="F755" s="275"/>
      <c r="G755" s="275"/>
      <c r="H755" s="275"/>
      <c r="I755" s="275"/>
      <c r="J755" s="275"/>
    </row>
    <row r="756" spans="1:10">
      <c r="A756" s="273">
        <v>251</v>
      </c>
      <c r="B756" s="274">
        <v>79</v>
      </c>
      <c r="C756" s="278" t="s">
        <v>193</v>
      </c>
      <c r="D756" s="275" t="s">
        <v>451</v>
      </c>
      <c r="E756" s="275" t="s">
        <v>452</v>
      </c>
      <c r="F756" s="275" t="s">
        <v>453</v>
      </c>
      <c r="G756" s="275" t="s">
        <v>454</v>
      </c>
      <c r="H756" s="275"/>
      <c r="I756" s="275"/>
      <c r="J756" s="275"/>
    </row>
    <row r="757" spans="1:10">
      <c r="A757" s="273"/>
      <c r="B757" s="274"/>
      <c r="C757" s="278"/>
      <c r="D757" s="275">
        <v>-5.23</v>
      </c>
      <c r="E757" s="275">
        <v>-5.0826200000000004</v>
      </c>
      <c r="F757" s="275">
        <v>-1.78044</v>
      </c>
      <c r="G757" s="275">
        <v>-1.7108699999999999</v>
      </c>
      <c r="H757" s="275"/>
      <c r="I757" s="275"/>
      <c r="J757" s="275"/>
    </row>
    <row r="758" spans="1:10">
      <c r="A758" s="273"/>
      <c r="B758" s="274"/>
      <c r="C758" s="278"/>
      <c r="D758" s="275"/>
      <c r="E758" s="275"/>
      <c r="F758" s="275"/>
      <c r="G758" s="275"/>
      <c r="H758" s="275"/>
      <c r="I758" s="275"/>
      <c r="J758" s="275"/>
    </row>
    <row r="759" spans="1:10">
      <c r="A759" s="273">
        <v>252</v>
      </c>
      <c r="B759" s="274">
        <v>79</v>
      </c>
      <c r="C759" s="278" t="s">
        <v>384</v>
      </c>
      <c r="D759" s="275" t="s">
        <v>451</v>
      </c>
      <c r="E759" s="275" t="s">
        <v>452</v>
      </c>
      <c r="F759" s="275" t="s">
        <v>453</v>
      </c>
      <c r="G759" s="275" t="s">
        <v>454</v>
      </c>
      <c r="H759" s="275"/>
      <c r="I759" s="275"/>
      <c r="J759" s="275"/>
    </row>
    <row r="760" spans="1:10">
      <c r="A760" s="273"/>
      <c r="B760" s="274"/>
      <c r="C760" s="278"/>
      <c r="D760" s="275">
        <v>-6.4805599999999997</v>
      </c>
      <c r="E760" s="275">
        <v>-6.3333500000000003</v>
      </c>
      <c r="F760" s="275">
        <v>-2.90245</v>
      </c>
      <c r="G760" s="275">
        <v>-2.82524</v>
      </c>
      <c r="H760" s="275"/>
      <c r="I760" s="275"/>
      <c r="J760" s="275"/>
    </row>
    <row r="761" spans="1:10">
      <c r="A761" s="273"/>
      <c r="B761" s="274"/>
      <c r="C761" s="278"/>
      <c r="D761" s="275"/>
      <c r="E761" s="275"/>
      <c r="F761" s="275"/>
      <c r="G761" s="275"/>
      <c r="H761" s="275"/>
      <c r="I761" s="275"/>
      <c r="J761" s="275"/>
    </row>
    <row r="762" spans="1:10">
      <c r="A762" s="273">
        <v>253</v>
      </c>
      <c r="B762" s="274">
        <v>80</v>
      </c>
      <c r="C762" s="278" t="s">
        <v>194</v>
      </c>
      <c r="D762" s="275" t="s">
        <v>451</v>
      </c>
      <c r="E762" s="275" t="s">
        <v>452</v>
      </c>
      <c r="F762" s="275" t="s">
        <v>453</v>
      </c>
      <c r="G762" s="275" t="s">
        <v>454</v>
      </c>
      <c r="H762" s="275" t="s">
        <v>455</v>
      </c>
      <c r="I762" s="275"/>
      <c r="J762" s="275"/>
    </row>
    <row r="763" spans="1:10">
      <c r="A763" s="273"/>
      <c r="B763" s="274"/>
      <c r="C763" s="278"/>
      <c r="D763" s="275">
        <v>-4.7961999999999998</v>
      </c>
      <c r="E763" s="275">
        <v>-4.6343800000000002</v>
      </c>
      <c r="F763" s="275">
        <v>-0.97550999999999999</v>
      </c>
      <c r="G763" s="275">
        <v>-0.89973999999999998</v>
      </c>
      <c r="H763" s="275">
        <v>-0.63885999999999998</v>
      </c>
      <c r="I763" s="275"/>
      <c r="J763" s="275"/>
    </row>
    <row r="764" spans="1:10">
      <c r="A764" s="273"/>
      <c r="B764" s="274"/>
      <c r="C764" s="278"/>
      <c r="D764" s="275"/>
      <c r="E764" s="275"/>
      <c r="F764" s="275"/>
      <c r="G764" s="275"/>
      <c r="H764" s="275"/>
      <c r="I764" s="275"/>
      <c r="J764" s="275"/>
    </row>
    <row r="765" spans="1:10">
      <c r="A765" s="273">
        <v>254</v>
      </c>
      <c r="B765" s="274">
        <v>80</v>
      </c>
      <c r="C765" s="278" t="s">
        <v>195</v>
      </c>
      <c r="D765" s="275" t="s">
        <v>451</v>
      </c>
      <c r="E765" s="275" t="s">
        <v>452</v>
      </c>
      <c r="F765" s="275" t="s">
        <v>453</v>
      </c>
      <c r="G765" s="275" t="s">
        <v>454</v>
      </c>
      <c r="H765" s="275"/>
      <c r="I765" s="275"/>
      <c r="J765" s="275"/>
    </row>
    <row r="766" spans="1:10">
      <c r="A766" s="273"/>
      <c r="B766" s="274"/>
      <c r="C766" s="278"/>
      <c r="D766" s="275">
        <v>-5.1649000000000003</v>
      </c>
      <c r="E766" s="275">
        <v>-5.0031400000000001</v>
      </c>
      <c r="F766" s="275">
        <v>-1.3414900000000001</v>
      </c>
      <c r="G766" s="275">
        <v>-1.2648900000000001</v>
      </c>
      <c r="H766" s="275"/>
      <c r="I766" s="275"/>
      <c r="J766" s="275"/>
    </row>
    <row r="767" spans="1:10">
      <c r="A767" s="273"/>
      <c r="B767" s="274"/>
      <c r="C767" s="278"/>
      <c r="D767" s="275"/>
      <c r="E767" s="275"/>
      <c r="F767" s="275"/>
      <c r="G767" s="275"/>
      <c r="H767" s="275"/>
      <c r="I767" s="275"/>
      <c r="J767" s="275"/>
    </row>
    <row r="768" spans="1:10">
      <c r="A768" s="273">
        <v>255</v>
      </c>
      <c r="B768" s="274">
        <v>81</v>
      </c>
      <c r="C768" s="278" t="s">
        <v>196</v>
      </c>
      <c r="D768" s="275" t="s">
        <v>451</v>
      </c>
      <c r="E768" s="275" t="s">
        <v>452</v>
      </c>
      <c r="F768" s="275" t="s">
        <v>453</v>
      </c>
      <c r="G768" s="275" t="s">
        <v>454</v>
      </c>
      <c r="H768" s="275" t="s">
        <v>455</v>
      </c>
      <c r="I768" s="275"/>
      <c r="J768" s="275"/>
    </row>
    <row r="769" spans="1:10">
      <c r="A769" s="273"/>
      <c r="B769" s="274"/>
      <c r="C769" s="278"/>
      <c r="D769" s="275">
        <v>-5.4561400000000004</v>
      </c>
      <c r="E769" s="275">
        <v>-5.2793900000000002</v>
      </c>
      <c r="F769" s="275">
        <v>-1.1612199999999999</v>
      </c>
      <c r="G769" s="275">
        <v>-1.07328</v>
      </c>
      <c r="H769" s="275">
        <v>-0.68954000000000004</v>
      </c>
      <c r="I769" s="275"/>
      <c r="J769" s="275"/>
    </row>
    <row r="770" spans="1:10">
      <c r="A770" s="273"/>
      <c r="B770" s="274"/>
      <c r="C770" s="278"/>
      <c r="D770" s="275"/>
      <c r="E770" s="275"/>
      <c r="F770" s="275"/>
      <c r="G770" s="275"/>
      <c r="H770" s="275"/>
      <c r="I770" s="275"/>
      <c r="J770" s="275"/>
    </row>
    <row r="771" spans="1:10">
      <c r="A771" s="273">
        <v>256</v>
      </c>
      <c r="B771" s="274">
        <v>81</v>
      </c>
      <c r="C771" s="278" t="s">
        <v>385</v>
      </c>
      <c r="D771" s="275" t="s">
        <v>451</v>
      </c>
      <c r="E771" s="275" t="s">
        <v>452</v>
      </c>
      <c r="F771" s="275" t="s">
        <v>453</v>
      </c>
      <c r="G771" s="275" t="s">
        <v>454</v>
      </c>
      <c r="H771" s="275"/>
      <c r="I771" s="275"/>
      <c r="J771" s="275"/>
    </row>
    <row r="772" spans="1:10">
      <c r="A772" s="273"/>
      <c r="B772" s="274"/>
      <c r="C772" s="278"/>
      <c r="D772" s="275">
        <v>-6.2580900000000002</v>
      </c>
      <c r="E772" s="275">
        <v>-6.0814500000000002</v>
      </c>
      <c r="F772" s="275">
        <v>-1.95059</v>
      </c>
      <c r="G772" s="275">
        <v>-1.8603799999999999</v>
      </c>
      <c r="H772" s="275"/>
      <c r="I772" s="275"/>
      <c r="J772" s="275"/>
    </row>
    <row r="773" spans="1:10">
      <c r="A773" s="273"/>
      <c r="B773" s="274"/>
      <c r="C773" s="278"/>
      <c r="D773" s="275"/>
      <c r="E773" s="275"/>
      <c r="F773" s="275"/>
      <c r="G773" s="275"/>
      <c r="H773" s="275"/>
      <c r="I773" s="275"/>
      <c r="J773" s="275"/>
    </row>
    <row r="774" spans="1:10">
      <c r="A774" s="273">
        <v>257</v>
      </c>
      <c r="B774" s="274">
        <v>82</v>
      </c>
      <c r="C774" s="278" t="s">
        <v>386</v>
      </c>
      <c r="D774" s="275" t="s">
        <v>451</v>
      </c>
      <c r="E774" s="275" t="s">
        <v>452</v>
      </c>
      <c r="F774" s="275" t="s">
        <v>453</v>
      </c>
      <c r="G774" s="275" t="s">
        <v>454</v>
      </c>
      <c r="H774" s="275" t="s">
        <v>455</v>
      </c>
      <c r="I774" s="275"/>
      <c r="J774" s="275"/>
    </row>
    <row r="775" spans="1:10">
      <c r="A775" s="273"/>
      <c r="B775" s="274"/>
      <c r="C775" s="278"/>
      <c r="D775" s="275">
        <v>-6.5483799999999999</v>
      </c>
      <c r="E775" s="275">
        <v>-6.3557899999999998</v>
      </c>
      <c r="F775" s="275">
        <v>-1.75156</v>
      </c>
      <c r="G775" s="275">
        <v>-1.64937</v>
      </c>
      <c r="H775" s="275">
        <v>-1.1088499999999999</v>
      </c>
      <c r="I775" s="275"/>
      <c r="J775" s="275"/>
    </row>
    <row r="776" spans="1:10">
      <c r="A776" s="273"/>
      <c r="B776" s="274"/>
      <c r="C776" s="278"/>
      <c r="D776" s="275"/>
      <c r="E776" s="275"/>
      <c r="F776" s="275"/>
      <c r="G776" s="275"/>
      <c r="H776" s="275"/>
      <c r="I776" s="275"/>
      <c r="J776" s="275"/>
    </row>
    <row r="777" spans="1:10">
      <c r="A777" s="273">
        <v>258</v>
      </c>
      <c r="B777" s="274">
        <v>82</v>
      </c>
      <c r="C777" s="278" t="s">
        <v>387</v>
      </c>
      <c r="D777" s="275" t="s">
        <v>451</v>
      </c>
      <c r="E777" s="275" t="s">
        <v>452</v>
      </c>
      <c r="F777" s="275" t="s">
        <v>453</v>
      </c>
      <c r="G777" s="275" t="s">
        <v>454</v>
      </c>
      <c r="H777" s="275"/>
      <c r="I777" s="275"/>
      <c r="J777" s="275"/>
    </row>
    <row r="778" spans="1:10">
      <c r="A778" s="273"/>
      <c r="B778" s="274"/>
      <c r="C778" s="278"/>
      <c r="D778" s="275">
        <v>-7.4435599999999997</v>
      </c>
      <c r="E778" s="275">
        <v>-7.2510300000000001</v>
      </c>
      <c r="F778" s="275">
        <v>-2.62378</v>
      </c>
      <c r="G778" s="275">
        <v>-2.5185300000000002</v>
      </c>
      <c r="H778" s="275"/>
      <c r="I778" s="275"/>
      <c r="J778" s="275"/>
    </row>
    <row r="779" spans="1:10">
      <c r="A779" s="273"/>
      <c r="B779" s="274"/>
      <c r="C779" s="278"/>
      <c r="D779" s="275"/>
      <c r="E779" s="275"/>
      <c r="F779" s="275"/>
      <c r="G779" s="275"/>
      <c r="H779" s="275"/>
      <c r="I779" s="275"/>
      <c r="J779" s="275"/>
    </row>
    <row r="780" spans="1:10">
      <c r="A780" s="273">
        <v>259</v>
      </c>
      <c r="B780" s="274">
        <v>83</v>
      </c>
      <c r="C780" s="278" t="s">
        <v>388</v>
      </c>
      <c r="D780" s="275" t="s">
        <v>451</v>
      </c>
      <c r="E780" s="275" t="s">
        <v>452</v>
      </c>
      <c r="F780" s="275" t="s">
        <v>453</v>
      </c>
      <c r="G780" s="275" t="s">
        <v>454</v>
      </c>
      <c r="H780" s="275" t="s">
        <v>455</v>
      </c>
      <c r="I780" s="275"/>
      <c r="J780" s="275"/>
    </row>
    <row r="781" spans="1:10">
      <c r="A781" s="273"/>
      <c r="B781" s="274"/>
      <c r="C781" s="278"/>
      <c r="D781" s="275">
        <v>-7.7350700000000003</v>
      </c>
      <c r="E781" s="275">
        <v>-7.5255999999999998</v>
      </c>
      <c r="F781" s="275">
        <v>-2.4092699999999998</v>
      </c>
      <c r="G781" s="275">
        <v>-2.2913299999999999</v>
      </c>
      <c r="H781" s="275">
        <v>-1.5788</v>
      </c>
      <c r="I781" s="275"/>
      <c r="J781" s="275"/>
    </row>
    <row r="782" spans="1:10">
      <c r="A782" s="273"/>
      <c r="B782" s="274"/>
      <c r="C782" s="278"/>
      <c r="D782" s="275"/>
      <c r="E782" s="275"/>
      <c r="F782" s="275"/>
      <c r="G782" s="275"/>
      <c r="H782" s="275"/>
      <c r="I782" s="275"/>
      <c r="J782" s="275"/>
    </row>
    <row r="783" spans="1:10">
      <c r="A783" s="273">
        <v>260</v>
      </c>
      <c r="B783" s="274">
        <v>83</v>
      </c>
      <c r="C783" s="278" t="s">
        <v>389</v>
      </c>
      <c r="D783" s="275" t="s">
        <v>451</v>
      </c>
      <c r="E783" s="275" t="s">
        <v>452</v>
      </c>
      <c r="F783" s="275" t="s">
        <v>453</v>
      </c>
      <c r="G783" s="275" t="s">
        <v>454</v>
      </c>
      <c r="H783" s="275"/>
      <c r="I783" s="275"/>
      <c r="J783" s="275"/>
    </row>
    <row r="784" spans="1:10">
      <c r="A784" s="273"/>
      <c r="B784" s="274"/>
      <c r="C784" s="278"/>
      <c r="D784" s="275">
        <v>-8.7145499999999991</v>
      </c>
      <c r="E784" s="275">
        <v>-8.5051000000000005</v>
      </c>
      <c r="F784" s="275">
        <v>-3.3559199999999998</v>
      </c>
      <c r="G784" s="275">
        <v>-3.2342900000000001</v>
      </c>
      <c r="H784" s="275"/>
      <c r="I784" s="275"/>
      <c r="J784" s="275"/>
    </row>
    <row r="785" spans="1:10">
      <c r="A785" s="273"/>
      <c r="B785" s="274"/>
      <c r="C785" s="278"/>
      <c r="D785" s="275"/>
      <c r="E785" s="275"/>
      <c r="F785" s="275"/>
      <c r="G785" s="275"/>
      <c r="H785" s="275"/>
      <c r="I785" s="275"/>
      <c r="J785" s="275"/>
    </row>
    <row r="786" spans="1:10">
      <c r="A786" s="273">
        <v>261</v>
      </c>
      <c r="B786" s="274">
        <v>84</v>
      </c>
      <c r="C786" s="278" t="s">
        <v>390</v>
      </c>
      <c r="D786" s="275" t="s">
        <v>451</v>
      </c>
      <c r="E786" s="275" t="s">
        <v>452</v>
      </c>
      <c r="F786" s="275" t="s">
        <v>453</v>
      </c>
      <c r="G786" s="275" t="s">
        <v>454</v>
      </c>
      <c r="H786" s="275" t="s">
        <v>455</v>
      </c>
      <c r="I786" s="275" t="s">
        <v>456</v>
      </c>
      <c r="J786" s="275" t="s">
        <v>457</v>
      </c>
    </row>
    <row r="787" spans="1:10">
      <c r="A787" s="273"/>
      <c r="B787" s="274"/>
      <c r="C787" s="278"/>
      <c r="D787" s="275">
        <v>-8.1820799999999991</v>
      </c>
      <c r="E787" s="275">
        <v>-7.9546299999999999</v>
      </c>
      <c r="F787" s="275">
        <v>-2.3196400000000001</v>
      </c>
      <c r="G787" s="275">
        <v>-2.1848000000000001</v>
      </c>
      <c r="H787" s="275">
        <v>-1.40513</v>
      </c>
      <c r="I787" s="275">
        <v>-1.0118499999999999</v>
      </c>
      <c r="J787" s="275">
        <v>-0.89261999999999997</v>
      </c>
    </row>
    <row r="788" spans="1:10">
      <c r="A788" s="273"/>
      <c r="B788" s="274"/>
      <c r="C788" s="278"/>
      <c r="D788" s="275"/>
      <c r="E788" s="275"/>
      <c r="F788" s="275"/>
      <c r="G788" s="275"/>
      <c r="H788" s="275"/>
      <c r="I788" s="275"/>
      <c r="J788" s="275"/>
    </row>
    <row r="789" spans="1:10">
      <c r="A789" s="273">
        <v>262</v>
      </c>
      <c r="B789" s="274">
        <v>84</v>
      </c>
      <c r="C789" s="278" t="s">
        <v>391</v>
      </c>
      <c r="D789" s="275" t="s">
        <v>451</v>
      </c>
      <c r="E789" s="275" t="s">
        <v>452</v>
      </c>
      <c r="F789" s="275" t="s">
        <v>453</v>
      </c>
      <c r="G789" s="275" t="s">
        <v>454</v>
      </c>
      <c r="H789" s="275" t="s">
        <v>455</v>
      </c>
      <c r="I789" s="275"/>
      <c r="J789" s="275"/>
    </row>
    <row r="790" spans="1:10">
      <c r="A790" s="273"/>
      <c r="B790" s="274"/>
      <c r="C790" s="278"/>
      <c r="D790" s="275">
        <v>-9.0086499999999994</v>
      </c>
      <c r="E790" s="275">
        <v>-8.7812300000000008</v>
      </c>
      <c r="F790" s="275">
        <v>-3.12799</v>
      </c>
      <c r="G790" s="275">
        <v>-2.9928900000000001</v>
      </c>
      <c r="H790" s="275">
        <v>-2.0953599999999999</v>
      </c>
      <c r="I790" s="275"/>
      <c r="J790" s="275"/>
    </row>
    <row r="791" spans="1:10">
      <c r="A791" s="273"/>
      <c r="B791" s="274"/>
      <c r="C791" s="278"/>
      <c r="D791" s="275"/>
      <c r="E791" s="275"/>
      <c r="F791" s="275"/>
      <c r="G791" s="275"/>
      <c r="H791" s="275"/>
      <c r="I791" s="275"/>
      <c r="J791" s="275"/>
    </row>
    <row r="792" spans="1:10">
      <c r="A792" s="273">
        <v>263</v>
      </c>
      <c r="B792" s="274">
        <v>84</v>
      </c>
      <c r="C792" s="278" t="s">
        <v>392</v>
      </c>
      <c r="D792" s="275" t="s">
        <v>451</v>
      </c>
      <c r="E792" s="275" t="s">
        <v>452</v>
      </c>
      <c r="F792" s="275" t="s">
        <v>453</v>
      </c>
      <c r="G792" s="275" t="s">
        <v>454</v>
      </c>
      <c r="H792" s="275"/>
      <c r="I792" s="275"/>
      <c r="J792" s="275"/>
    </row>
    <row r="793" spans="1:10">
      <c r="A793" s="273"/>
      <c r="B793" s="274"/>
      <c r="C793" s="278"/>
      <c r="D793" s="275">
        <v>-10.06657</v>
      </c>
      <c r="E793" s="275">
        <v>-9.8391199999999994</v>
      </c>
      <c r="F793" s="275">
        <v>-4.1436099999999998</v>
      </c>
      <c r="G793" s="275">
        <v>-4.0042799999999996</v>
      </c>
      <c r="H793" s="275"/>
      <c r="I793" s="275"/>
      <c r="J793" s="275"/>
    </row>
    <row r="794" spans="1:10">
      <c r="A794" s="273"/>
      <c r="B794" s="274"/>
      <c r="C794" s="278"/>
      <c r="D794" s="275"/>
      <c r="E794" s="275"/>
      <c r="F794" s="275"/>
      <c r="G794" s="275"/>
      <c r="H794" s="275"/>
      <c r="I794" s="275"/>
      <c r="J794" s="275"/>
    </row>
    <row r="795" spans="1:10">
      <c r="A795" s="273">
        <v>264</v>
      </c>
      <c r="B795" s="274">
        <v>85</v>
      </c>
      <c r="C795" s="278" t="s">
        <v>197</v>
      </c>
      <c r="D795" s="275" t="s">
        <v>451</v>
      </c>
      <c r="E795" s="275" t="s">
        <v>452</v>
      </c>
      <c r="F795" s="275" t="s">
        <v>453</v>
      </c>
      <c r="G795" s="275" t="s">
        <v>454</v>
      </c>
      <c r="H795" s="275" t="s">
        <v>455</v>
      </c>
      <c r="I795" s="275" t="s">
        <v>456</v>
      </c>
      <c r="J795" s="275" t="s">
        <v>457</v>
      </c>
    </row>
    <row r="796" spans="1:10">
      <c r="A796" s="273"/>
      <c r="B796" s="274"/>
      <c r="C796" s="278"/>
      <c r="D796" s="275">
        <v>-8.6668400000000005</v>
      </c>
      <c r="E796" s="275">
        <v>-8.4202999999999992</v>
      </c>
      <c r="F796" s="275">
        <v>-2.2454200000000002</v>
      </c>
      <c r="G796" s="275">
        <v>-2.0922000000000001</v>
      </c>
      <c r="H796" s="275">
        <v>-1.2350099999999999</v>
      </c>
      <c r="I796" s="275">
        <v>-0.77334000000000003</v>
      </c>
      <c r="J796" s="275">
        <v>-0.63812999999999998</v>
      </c>
    </row>
    <row r="797" spans="1:10">
      <c r="A797" s="273"/>
      <c r="B797" s="274"/>
      <c r="C797" s="278"/>
      <c r="D797" s="275"/>
      <c r="E797" s="275"/>
      <c r="F797" s="275"/>
      <c r="G797" s="275"/>
      <c r="H797" s="275"/>
      <c r="I797" s="275"/>
      <c r="J797" s="275"/>
    </row>
    <row r="798" spans="1:10">
      <c r="A798" s="273">
        <v>265</v>
      </c>
      <c r="B798" s="274">
        <v>85</v>
      </c>
      <c r="C798" s="278" t="s">
        <v>393</v>
      </c>
      <c r="D798" s="275" t="s">
        <v>451</v>
      </c>
      <c r="E798" s="275" t="s">
        <v>452</v>
      </c>
      <c r="F798" s="275" t="s">
        <v>453</v>
      </c>
      <c r="G798" s="275" t="s">
        <v>454</v>
      </c>
      <c r="H798" s="275" t="s">
        <v>455</v>
      </c>
      <c r="I798" s="275" t="s">
        <v>456</v>
      </c>
      <c r="J798" s="275" t="s">
        <v>457</v>
      </c>
    </row>
    <row r="799" spans="1:10">
      <c r="A799" s="273"/>
      <c r="B799" s="274"/>
      <c r="C799" s="278"/>
      <c r="D799" s="275">
        <v>-9.4527000000000001</v>
      </c>
      <c r="E799" s="275">
        <v>-9.2062100000000004</v>
      </c>
      <c r="F799" s="275">
        <v>-3.01816</v>
      </c>
      <c r="G799" s="275">
        <v>-2.8651800000000001</v>
      </c>
      <c r="H799" s="275">
        <v>-1.9067799999999999</v>
      </c>
      <c r="I799" s="275">
        <v>-1.46227</v>
      </c>
      <c r="J799" s="275">
        <v>-1.3068299999999999</v>
      </c>
    </row>
    <row r="800" spans="1:10">
      <c r="A800" s="273"/>
      <c r="B800" s="274"/>
      <c r="C800" s="278"/>
      <c r="D800" s="275"/>
      <c r="E800" s="275"/>
      <c r="F800" s="275"/>
      <c r="G800" s="275"/>
      <c r="H800" s="275"/>
      <c r="I800" s="275"/>
      <c r="J800" s="275"/>
    </row>
    <row r="801" spans="1:10">
      <c r="A801" s="273">
        <v>266</v>
      </c>
      <c r="B801" s="274">
        <v>85</v>
      </c>
      <c r="C801" s="278" t="s">
        <v>394</v>
      </c>
      <c r="D801" s="275" t="s">
        <v>451</v>
      </c>
      <c r="E801" s="275" t="s">
        <v>452</v>
      </c>
      <c r="F801" s="275" t="s">
        <v>453</v>
      </c>
      <c r="G801" s="275" t="s">
        <v>454</v>
      </c>
      <c r="H801" s="275" t="s">
        <v>455</v>
      </c>
      <c r="I801" s="275"/>
      <c r="J801" s="275"/>
    </row>
    <row r="802" spans="1:10">
      <c r="A802" s="273"/>
      <c r="B802" s="274"/>
      <c r="C802" s="278"/>
      <c r="D802" s="275">
        <v>-10.364190000000001</v>
      </c>
      <c r="E802" s="275">
        <v>-10.11772</v>
      </c>
      <c r="F802" s="275">
        <v>-3.9037000000000002</v>
      </c>
      <c r="G802" s="275">
        <v>-3.7500499999999999</v>
      </c>
      <c r="H802" s="275">
        <v>-2.6560199999999998</v>
      </c>
      <c r="I802" s="275"/>
      <c r="J802" s="275"/>
    </row>
    <row r="803" spans="1:10">
      <c r="A803" s="273"/>
      <c r="B803" s="274"/>
      <c r="C803" s="278"/>
      <c r="D803" s="275"/>
      <c r="E803" s="275"/>
      <c r="F803" s="275"/>
      <c r="G803" s="275"/>
      <c r="H803" s="275"/>
      <c r="I803" s="275"/>
      <c r="J803" s="275"/>
    </row>
    <row r="804" spans="1:10">
      <c r="A804" s="273">
        <v>267</v>
      </c>
      <c r="B804" s="274">
        <v>85</v>
      </c>
      <c r="C804" s="278" t="s">
        <v>395</v>
      </c>
      <c r="D804" s="275" t="s">
        <v>451</v>
      </c>
      <c r="E804" s="275" t="s">
        <v>452</v>
      </c>
      <c r="F804" s="275" t="s">
        <v>453</v>
      </c>
      <c r="G804" s="275" t="s">
        <v>454</v>
      </c>
      <c r="H804" s="275"/>
      <c r="I804" s="275"/>
      <c r="J804" s="275"/>
    </row>
    <row r="805" spans="1:10">
      <c r="A805" s="273"/>
      <c r="B805" s="274"/>
      <c r="C805" s="278"/>
      <c r="D805" s="275">
        <v>-11.49639</v>
      </c>
      <c r="E805" s="275">
        <v>-11.249829999999999</v>
      </c>
      <c r="F805" s="275">
        <v>-4.98447</v>
      </c>
      <c r="G805" s="275">
        <v>-4.8260800000000001</v>
      </c>
      <c r="H805" s="275"/>
      <c r="I805" s="275"/>
      <c r="J805" s="275"/>
    </row>
    <row r="806" spans="1:10">
      <c r="A806" s="273"/>
      <c r="B806" s="274"/>
      <c r="C806" s="278"/>
      <c r="D806" s="275"/>
      <c r="E806" s="275"/>
      <c r="F806" s="275"/>
      <c r="G806" s="275"/>
      <c r="H806" s="275"/>
      <c r="I806" s="275"/>
      <c r="J806" s="275"/>
    </row>
    <row r="807" spans="1:10">
      <c r="A807" s="273">
        <v>268</v>
      </c>
      <c r="B807" s="274">
        <v>85</v>
      </c>
      <c r="C807" s="278" t="s">
        <v>396</v>
      </c>
      <c r="D807" s="275" t="s">
        <v>451</v>
      </c>
      <c r="E807" s="275" t="s">
        <v>452</v>
      </c>
      <c r="F807" s="275" t="s">
        <v>453</v>
      </c>
      <c r="G807" s="275" t="s">
        <v>454</v>
      </c>
      <c r="H807" s="275" t="s">
        <v>455</v>
      </c>
      <c r="I807" s="275" t="s">
        <v>456</v>
      </c>
      <c r="J807" s="275" t="s">
        <v>457</v>
      </c>
    </row>
    <row r="808" spans="1:10">
      <c r="A808" s="273"/>
      <c r="B808" s="274"/>
      <c r="C808" s="278"/>
      <c r="D808" s="275">
        <v>-8.0562100000000001</v>
      </c>
      <c r="E808" s="275">
        <v>-7.8095299999999996</v>
      </c>
      <c r="F808" s="275">
        <v>-1.6380699999999999</v>
      </c>
      <c r="G808" s="275">
        <v>-1.4835199999999999</v>
      </c>
      <c r="H808" s="275">
        <v>-0.68188000000000004</v>
      </c>
      <c r="I808" s="275">
        <v>-0.21057999999999999</v>
      </c>
      <c r="J808" s="275">
        <v>-8.473E-2</v>
      </c>
    </row>
    <row r="809" spans="1:10">
      <c r="A809" s="273"/>
      <c r="B809" s="274"/>
      <c r="C809" s="278"/>
      <c r="D809" s="275"/>
      <c r="E809" s="275"/>
      <c r="F809" s="275"/>
      <c r="G809" s="275"/>
      <c r="H809" s="275"/>
      <c r="I809" s="275"/>
      <c r="J809" s="275"/>
    </row>
    <row r="810" spans="1:10">
      <c r="A810" s="273">
        <v>269</v>
      </c>
      <c r="B810" s="274">
        <v>87</v>
      </c>
      <c r="C810" s="278" t="s">
        <v>198</v>
      </c>
      <c r="D810" s="275" t="s">
        <v>451</v>
      </c>
      <c r="E810" s="275" t="s">
        <v>452</v>
      </c>
      <c r="F810" s="275" t="s">
        <v>453</v>
      </c>
      <c r="G810" s="275" t="s">
        <v>454</v>
      </c>
      <c r="H810" s="275" t="s">
        <v>455</v>
      </c>
      <c r="I810" s="275" t="s">
        <v>456</v>
      </c>
      <c r="J810" s="275" t="s">
        <v>457</v>
      </c>
    </row>
    <row r="811" spans="1:10">
      <c r="A811" s="273"/>
      <c r="B811" s="274"/>
      <c r="C811" s="278"/>
      <c r="D811" s="275">
        <v>-10.443490000000001</v>
      </c>
      <c r="E811" s="275">
        <v>-10.155390000000001</v>
      </c>
      <c r="F811" s="275">
        <v>-2.8349000000000002</v>
      </c>
      <c r="G811" s="275">
        <v>-2.6415299999999999</v>
      </c>
      <c r="H811" s="275">
        <v>-1.534</v>
      </c>
      <c r="I811" s="275">
        <v>-0.94328000000000001</v>
      </c>
      <c r="J811" s="275">
        <v>-0.74914999999999998</v>
      </c>
    </row>
    <row r="812" spans="1:10">
      <c r="A812" s="273"/>
      <c r="B812" s="274"/>
      <c r="C812" s="278"/>
      <c r="D812" s="275"/>
      <c r="E812" s="275"/>
      <c r="F812" s="275"/>
      <c r="G812" s="275"/>
      <c r="H812" s="275"/>
      <c r="I812" s="275"/>
      <c r="J812" s="275"/>
    </row>
    <row r="813" spans="1:10">
      <c r="A813" s="273">
        <v>270</v>
      </c>
      <c r="B813" s="274">
        <v>88</v>
      </c>
      <c r="C813" s="278" t="s">
        <v>397</v>
      </c>
      <c r="D813" s="275" t="s">
        <v>451</v>
      </c>
      <c r="E813" s="275" t="s">
        <v>452</v>
      </c>
      <c r="F813" s="275" t="s">
        <v>453</v>
      </c>
      <c r="G813" s="275" t="s">
        <v>454</v>
      </c>
      <c r="H813" s="275" t="s">
        <v>455</v>
      </c>
      <c r="I813" s="275" t="s">
        <v>456</v>
      </c>
      <c r="J813" s="275" t="s">
        <v>457</v>
      </c>
    </row>
    <row r="814" spans="1:10">
      <c r="A814" s="273"/>
      <c r="B814" s="274"/>
      <c r="C814" s="278"/>
      <c r="D814" s="275">
        <v>-11.79095</v>
      </c>
      <c r="E814" s="275">
        <v>-11.480320000000001</v>
      </c>
      <c r="F814" s="275">
        <v>-3.5531600000000001</v>
      </c>
      <c r="G814" s="275">
        <v>-3.33806</v>
      </c>
      <c r="H814" s="275">
        <v>-2.0530200000000001</v>
      </c>
      <c r="I814" s="275">
        <v>-1.4032199999999999</v>
      </c>
      <c r="J814" s="275">
        <v>-1.1667000000000001</v>
      </c>
    </row>
    <row r="815" spans="1:10">
      <c r="A815" s="273"/>
      <c r="B815" s="274"/>
      <c r="C815" s="278"/>
      <c r="D815" s="275"/>
      <c r="E815" s="275"/>
      <c r="F815" s="275"/>
      <c r="G815" s="275"/>
      <c r="H815" s="275"/>
      <c r="I815" s="275"/>
      <c r="J815" s="275"/>
    </row>
    <row r="816" spans="1:10">
      <c r="A816" s="273">
        <v>271</v>
      </c>
      <c r="B816" s="274">
        <v>89</v>
      </c>
      <c r="C816" s="278" t="s">
        <v>398</v>
      </c>
      <c r="D816" s="275" t="s">
        <v>451</v>
      </c>
      <c r="E816" s="275" t="s">
        <v>452</v>
      </c>
      <c r="F816" s="275" t="s">
        <v>453</v>
      </c>
      <c r="G816" s="275" t="s">
        <v>454</v>
      </c>
      <c r="H816" s="275" t="s">
        <v>455</v>
      </c>
      <c r="I816" s="275" t="s">
        <v>456</v>
      </c>
      <c r="J816" s="275" t="s">
        <v>457</v>
      </c>
    </row>
    <row r="817" spans="1:10">
      <c r="A817" s="273"/>
      <c r="B817" s="274"/>
      <c r="C817" s="278"/>
      <c r="D817" s="275">
        <v>-13.225300000000001</v>
      </c>
      <c r="E817" s="275">
        <v>-12.890890000000001</v>
      </c>
      <c r="F817" s="275">
        <v>-4.3357000000000001</v>
      </c>
      <c r="G817" s="275">
        <v>-4.0973100000000002</v>
      </c>
      <c r="H817" s="275">
        <v>-2.6219899999999998</v>
      </c>
      <c r="I817" s="275">
        <v>-1.91368</v>
      </c>
      <c r="J817" s="275">
        <v>-1.6305099999999999</v>
      </c>
    </row>
    <row r="818" spans="1:10">
      <c r="A818" s="273"/>
      <c r="B818" s="274"/>
      <c r="C818" s="278"/>
      <c r="D818" s="275"/>
      <c r="E818" s="275"/>
      <c r="F818" s="275"/>
      <c r="G818" s="275"/>
      <c r="H818" s="275"/>
      <c r="I818" s="275"/>
      <c r="J818" s="275"/>
    </row>
    <row r="819" spans="1:10">
      <c r="A819" s="273">
        <v>272</v>
      </c>
      <c r="B819" s="274">
        <v>90</v>
      </c>
      <c r="C819" s="278" t="s">
        <v>399</v>
      </c>
      <c r="D819" s="275" t="s">
        <v>458</v>
      </c>
      <c r="E819" s="275" t="s">
        <v>459</v>
      </c>
      <c r="F819" s="275" t="s">
        <v>460</v>
      </c>
      <c r="G819" s="275" t="s">
        <v>461</v>
      </c>
      <c r="H819" s="275"/>
      <c r="I819" s="275"/>
      <c r="J819" s="275"/>
    </row>
    <row r="820" spans="1:10">
      <c r="A820" s="273"/>
      <c r="B820" s="274"/>
      <c r="C820" s="278"/>
      <c r="D820" s="275">
        <v>-0.68659000000000003</v>
      </c>
      <c r="E820" s="275">
        <v>-0.66929000000000005</v>
      </c>
      <c r="F820" s="275">
        <v>-0.62468000000000001</v>
      </c>
      <c r="G820" s="275">
        <v>-0.61195999999999995</v>
      </c>
      <c r="H820" s="275"/>
      <c r="I820" s="275"/>
      <c r="J820" s="275"/>
    </row>
    <row r="821" spans="1:10">
      <c r="A821" s="273"/>
      <c r="B821" s="274"/>
      <c r="C821" s="278"/>
      <c r="D821" s="275"/>
      <c r="E821" s="275"/>
      <c r="F821" s="275"/>
      <c r="G821" s="275"/>
      <c r="H821" s="275"/>
      <c r="I821" s="275"/>
      <c r="J821" s="275"/>
    </row>
    <row r="822" spans="1:10">
      <c r="A822" s="273">
        <v>273</v>
      </c>
      <c r="B822" s="274">
        <v>90</v>
      </c>
      <c r="C822" s="278" t="s">
        <v>199</v>
      </c>
      <c r="D822" s="275" t="s">
        <v>458</v>
      </c>
      <c r="E822" s="275" t="s">
        <v>459</v>
      </c>
      <c r="F822" s="275"/>
      <c r="G822" s="275"/>
      <c r="H822" s="275"/>
      <c r="I822" s="275"/>
      <c r="J822" s="275"/>
    </row>
    <row r="823" spans="1:10">
      <c r="A823" s="273"/>
      <c r="B823" s="274"/>
      <c r="C823" s="278"/>
      <c r="D823" s="275">
        <v>-1.02478</v>
      </c>
      <c r="E823" s="275">
        <v>-1.0067900000000001</v>
      </c>
      <c r="F823" s="275"/>
      <c r="G823" s="275"/>
      <c r="H823" s="275"/>
      <c r="I823" s="275"/>
      <c r="J823" s="275"/>
    </row>
    <row r="824" spans="1:10">
      <c r="A824" s="273"/>
      <c r="B824" s="274"/>
      <c r="C824" s="278"/>
      <c r="D824" s="275"/>
      <c r="E824" s="275"/>
      <c r="F824" s="275"/>
      <c r="G824" s="275"/>
      <c r="H824" s="275"/>
      <c r="I824" s="275"/>
      <c r="J824" s="275"/>
    </row>
    <row r="825" spans="1:10">
      <c r="A825" s="273">
        <v>274</v>
      </c>
      <c r="B825" s="274">
        <v>90</v>
      </c>
      <c r="C825" s="278" t="s">
        <v>200</v>
      </c>
      <c r="D825" s="275" t="s">
        <v>451</v>
      </c>
      <c r="E825" s="275" t="s">
        <v>452</v>
      </c>
      <c r="F825" s="275" t="s">
        <v>453</v>
      </c>
      <c r="G825" s="275" t="s">
        <v>454</v>
      </c>
      <c r="H825" s="275" t="s">
        <v>455</v>
      </c>
      <c r="I825" s="275" t="s">
        <v>456</v>
      </c>
      <c r="J825" s="275" t="s">
        <v>457</v>
      </c>
    </row>
    <row r="826" spans="1:10">
      <c r="A826" s="273"/>
      <c r="B826" s="274"/>
      <c r="C826" s="278"/>
      <c r="D826" s="275">
        <v>-14.74128</v>
      </c>
      <c r="E826" s="275">
        <v>-14.381769999999999</v>
      </c>
      <c r="F826" s="275">
        <v>-5.1774199999999997</v>
      </c>
      <c r="G826" s="275">
        <v>-4.9141500000000002</v>
      </c>
      <c r="H826" s="275">
        <v>-3.2373599999999998</v>
      </c>
      <c r="I826" s="275">
        <v>-2.47099</v>
      </c>
      <c r="J826" s="275">
        <v>-2.1369400000000001</v>
      </c>
    </row>
    <row r="827" spans="1:10">
      <c r="A827" s="273"/>
      <c r="B827" s="274"/>
      <c r="C827" s="278"/>
      <c r="D827" s="275"/>
      <c r="E827" s="275"/>
      <c r="F827" s="275"/>
      <c r="G827" s="275"/>
      <c r="H827" s="275"/>
      <c r="I827" s="275"/>
      <c r="J827" s="275"/>
    </row>
    <row r="828" spans="1:10">
      <c r="A828" s="273">
        <v>275</v>
      </c>
      <c r="B828" s="274">
        <v>91</v>
      </c>
      <c r="C828" s="278" t="s">
        <v>400</v>
      </c>
      <c r="D828" s="275" t="s">
        <v>458</v>
      </c>
      <c r="E828" s="275" t="s">
        <v>459</v>
      </c>
      <c r="F828" s="275"/>
      <c r="G828" s="275"/>
      <c r="H828" s="275"/>
      <c r="I828" s="275"/>
      <c r="J828" s="275"/>
    </row>
    <row r="829" spans="1:10">
      <c r="A829" s="273"/>
      <c r="B829" s="274"/>
      <c r="C829" s="278"/>
      <c r="D829" s="275">
        <v>-1.0982799999999999</v>
      </c>
      <c r="E829" s="275">
        <v>-1.0754600000000001</v>
      </c>
      <c r="F829" s="275"/>
      <c r="G829" s="275"/>
      <c r="H829" s="275"/>
      <c r="I829" s="275"/>
      <c r="J829" s="275"/>
    </row>
    <row r="830" spans="1:10">
      <c r="A830" s="273"/>
      <c r="B830" s="274"/>
      <c r="C830" s="278"/>
      <c r="D830" s="275"/>
      <c r="E830" s="275"/>
      <c r="F830" s="275"/>
      <c r="G830" s="275"/>
      <c r="H830" s="275"/>
      <c r="I830" s="275"/>
      <c r="J830" s="275"/>
    </row>
    <row r="831" spans="1:10">
      <c r="A831" s="273">
        <v>276</v>
      </c>
      <c r="B831" s="274">
        <v>91</v>
      </c>
      <c r="C831" s="278" t="s">
        <v>201</v>
      </c>
      <c r="D831" s="275" t="s">
        <v>458</v>
      </c>
      <c r="E831" s="275" t="s">
        <v>459</v>
      </c>
      <c r="F831" s="275"/>
      <c r="G831" s="275"/>
      <c r="H831" s="275"/>
      <c r="I831" s="275"/>
      <c r="J831" s="275"/>
    </row>
    <row r="832" spans="1:10">
      <c r="A832" s="273"/>
      <c r="B832" s="274"/>
      <c r="C832" s="278"/>
      <c r="D832" s="275">
        <v>-1.6293500000000001</v>
      </c>
      <c r="E832" s="275">
        <v>-1.6035600000000001</v>
      </c>
      <c r="F832" s="275"/>
      <c r="G832" s="275"/>
      <c r="H832" s="275"/>
      <c r="I832" s="275"/>
      <c r="J832" s="275"/>
    </row>
    <row r="833" spans="1:10">
      <c r="A833" s="273"/>
      <c r="B833" s="274"/>
      <c r="C833" s="278"/>
      <c r="D833" s="275"/>
      <c r="E833" s="275"/>
      <c r="F833" s="275"/>
      <c r="G833" s="275"/>
      <c r="H833" s="275"/>
      <c r="I833" s="275"/>
      <c r="J833" s="275"/>
    </row>
    <row r="834" spans="1:10">
      <c r="A834" s="273">
        <v>277</v>
      </c>
      <c r="B834" s="274">
        <v>91</v>
      </c>
      <c r="C834" s="278" t="s">
        <v>202</v>
      </c>
      <c r="D834" s="275" t="s">
        <v>451</v>
      </c>
      <c r="E834" s="275" t="s">
        <v>452</v>
      </c>
      <c r="F834" s="275" t="s">
        <v>453</v>
      </c>
      <c r="G834" s="275" t="s">
        <v>454</v>
      </c>
      <c r="H834" s="275" t="s">
        <v>455</v>
      </c>
      <c r="I834" s="275" t="s">
        <v>456</v>
      </c>
      <c r="J834" s="275" t="s">
        <v>457</v>
      </c>
    </row>
    <row r="835" spans="1:10">
      <c r="A835" s="273"/>
      <c r="B835" s="274"/>
      <c r="C835" s="278"/>
      <c r="D835" s="275">
        <v>-16.335180000000001</v>
      </c>
      <c r="E835" s="275">
        <v>-15.94922</v>
      </c>
      <c r="F835" s="275">
        <v>-6.0749300000000002</v>
      </c>
      <c r="G835" s="275">
        <v>-5.7851400000000002</v>
      </c>
      <c r="H835" s="275">
        <v>-3.8971100000000001</v>
      </c>
      <c r="I835" s="275">
        <v>-3.0728399999999998</v>
      </c>
      <c r="J835" s="275">
        <v>-2.6834899999999999</v>
      </c>
    </row>
    <row r="836" spans="1:10">
      <c r="A836" s="273"/>
      <c r="B836" s="274"/>
      <c r="C836" s="278"/>
      <c r="D836" s="275"/>
      <c r="E836" s="275"/>
      <c r="F836" s="275"/>
      <c r="G836" s="275"/>
      <c r="H836" s="275"/>
      <c r="I836" s="275"/>
      <c r="J836" s="275"/>
    </row>
    <row r="837" spans="1:10">
      <c r="A837" s="273">
        <v>278</v>
      </c>
      <c r="B837" s="274">
        <v>92</v>
      </c>
      <c r="C837" s="278" t="s">
        <v>401</v>
      </c>
      <c r="D837" s="275" t="s">
        <v>458</v>
      </c>
      <c r="E837" s="275" t="s">
        <v>459</v>
      </c>
      <c r="F837" s="275"/>
      <c r="G837" s="275"/>
      <c r="H837" s="275"/>
      <c r="I837" s="275"/>
      <c r="J837" s="275"/>
    </row>
    <row r="838" spans="1:10">
      <c r="A838" s="273"/>
      <c r="B838" s="274"/>
      <c r="C838" s="278"/>
      <c r="D838" s="275">
        <v>-1.1661900000000001</v>
      </c>
      <c r="E838" s="275">
        <v>-1.1383099999999999</v>
      </c>
      <c r="F838" s="275"/>
      <c r="G838" s="275"/>
      <c r="H838" s="275"/>
      <c r="I838" s="275"/>
      <c r="J838" s="275"/>
    </row>
    <row r="839" spans="1:10">
      <c r="A839" s="273"/>
      <c r="B839" s="274"/>
      <c r="C839" s="278"/>
      <c r="D839" s="275"/>
      <c r="E839" s="275"/>
      <c r="F839" s="275"/>
      <c r="G839" s="275"/>
      <c r="H839" s="275"/>
      <c r="I839" s="275"/>
      <c r="J839" s="275"/>
    </row>
    <row r="840" spans="1:10">
      <c r="A840" s="273">
        <v>279</v>
      </c>
      <c r="B840" s="274">
        <v>92</v>
      </c>
      <c r="C840" s="278" t="s">
        <v>203</v>
      </c>
      <c r="D840" s="275" t="s">
        <v>458</v>
      </c>
      <c r="E840" s="275" t="s">
        <v>459</v>
      </c>
      <c r="F840" s="275"/>
      <c r="G840" s="275"/>
      <c r="H840" s="275"/>
      <c r="I840" s="275"/>
      <c r="J840" s="275"/>
    </row>
    <row r="841" spans="1:10">
      <c r="A841" s="273"/>
      <c r="B841" s="274"/>
      <c r="C841" s="278"/>
      <c r="D841" s="275">
        <v>-1.70906</v>
      </c>
      <c r="E841" s="275">
        <v>-1.6783300000000001</v>
      </c>
      <c r="F841" s="275"/>
      <c r="G841" s="275"/>
      <c r="H841" s="275"/>
      <c r="I841" s="275"/>
      <c r="J841" s="275"/>
    </row>
    <row r="842" spans="1:10">
      <c r="A842" s="273"/>
      <c r="B842" s="274"/>
      <c r="C842" s="278"/>
      <c r="D842" s="275"/>
      <c r="E842" s="275"/>
      <c r="F842" s="275"/>
      <c r="G842" s="275"/>
      <c r="H842" s="275"/>
      <c r="I842" s="275"/>
      <c r="J842" s="275"/>
    </row>
    <row r="843" spans="1:10">
      <c r="A843" s="273">
        <v>280</v>
      </c>
      <c r="B843" s="274">
        <v>92</v>
      </c>
      <c r="C843" s="278" t="s">
        <v>204</v>
      </c>
      <c r="D843" s="275" t="s">
        <v>458</v>
      </c>
      <c r="E843" s="275" t="s">
        <v>459</v>
      </c>
      <c r="F843" s="275"/>
      <c r="G843" s="275"/>
      <c r="H843" s="275"/>
      <c r="I843" s="275"/>
      <c r="J843" s="275"/>
    </row>
    <row r="844" spans="1:10">
      <c r="A844" s="273"/>
      <c r="B844" s="274"/>
      <c r="C844" s="278"/>
      <c r="D844" s="275">
        <v>-2.2968799999999998</v>
      </c>
      <c r="E844" s="275">
        <v>-2.2631899999999998</v>
      </c>
      <c r="F844" s="275"/>
      <c r="G844" s="275"/>
      <c r="H844" s="275"/>
      <c r="I844" s="275"/>
      <c r="J844" s="275"/>
    </row>
    <row r="845" spans="1:10">
      <c r="A845" s="273"/>
      <c r="B845" s="274"/>
      <c r="C845" s="278"/>
      <c r="D845" s="275"/>
      <c r="E845" s="275"/>
      <c r="F845" s="275"/>
      <c r="G845" s="275"/>
      <c r="H845" s="275"/>
      <c r="I845" s="275"/>
      <c r="J845" s="275"/>
    </row>
    <row r="846" spans="1:10">
      <c r="A846" s="273">
        <v>281</v>
      </c>
      <c r="B846" s="274">
        <v>92</v>
      </c>
      <c r="C846" s="278" t="s">
        <v>205</v>
      </c>
      <c r="D846" s="275" t="s">
        <v>451</v>
      </c>
      <c r="E846" s="275" t="s">
        <v>452</v>
      </c>
      <c r="F846" s="275" t="s">
        <v>453</v>
      </c>
      <c r="G846" s="275" t="s">
        <v>454</v>
      </c>
      <c r="H846" s="275" t="s">
        <v>455</v>
      </c>
      <c r="I846" s="275" t="s">
        <v>456</v>
      </c>
      <c r="J846" s="275" t="s">
        <v>457</v>
      </c>
    </row>
    <row r="847" spans="1:10">
      <c r="A847" s="273"/>
      <c r="B847" s="274"/>
      <c r="C847" s="278"/>
      <c r="D847" s="275">
        <v>-18.004709999999999</v>
      </c>
      <c r="E847" s="275">
        <v>-17.590890000000002</v>
      </c>
      <c r="F847" s="275">
        <v>-7.0260400000000001</v>
      </c>
      <c r="G847" s="275">
        <v>-6.7080200000000003</v>
      </c>
      <c r="H847" s="275">
        <v>-4.5994400000000004</v>
      </c>
      <c r="I847" s="275">
        <v>-3.71767</v>
      </c>
      <c r="J847" s="275">
        <v>-3.2684600000000001</v>
      </c>
    </row>
    <row r="848" spans="1:10">
      <c r="A848" s="273"/>
      <c r="B848" s="274"/>
      <c r="C848" s="278"/>
      <c r="D848" s="275"/>
      <c r="E848" s="275"/>
      <c r="F848" s="275"/>
      <c r="G848" s="275"/>
      <c r="H848" s="275"/>
      <c r="I848" s="275"/>
      <c r="J848" s="275"/>
    </row>
    <row r="849" spans="1:10">
      <c r="A849" s="273">
        <v>282</v>
      </c>
      <c r="B849" s="274">
        <v>93</v>
      </c>
      <c r="C849" s="278" t="s">
        <v>402</v>
      </c>
      <c r="D849" s="275" t="s">
        <v>458</v>
      </c>
      <c r="E849" s="275" t="s">
        <v>459</v>
      </c>
      <c r="F849" s="275"/>
      <c r="G849" s="275"/>
      <c r="H849" s="275"/>
      <c r="I849" s="275"/>
      <c r="J849" s="275"/>
    </row>
    <row r="850" spans="1:10">
      <c r="A850" s="273"/>
      <c r="B850" s="274"/>
      <c r="C850" s="278"/>
      <c r="D850" s="275">
        <v>-1.2300199999999999</v>
      </c>
      <c r="E850" s="275">
        <v>-1.19682</v>
      </c>
      <c r="F850" s="275"/>
      <c r="G850" s="275"/>
      <c r="H850" s="275"/>
      <c r="I850" s="275"/>
      <c r="J850" s="275"/>
    </row>
    <row r="851" spans="1:10">
      <c r="A851" s="273"/>
      <c r="B851" s="274"/>
      <c r="C851" s="278"/>
      <c r="D851" s="275"/>
      <c r="E851" s="275"/>
      <c r="F851" s="275"/>
      <c r="G851" s="275"/>
      <c r="H851" s="275"/>
      <c r="I851" s="275"/>
      <c r="J851" s="275"/>
    </row>
    <row r="852" spans="1:10">
      <c r="A852" s="273">
        <v>283</v>
      </c>
      <c r="B852" s="274">
        <v>93</v>
      </c>
      <c r="C852" s="278" t="s">
        <v>206</v>
      </c>
      <c r="D852" s="275" t="s">
        <v>458</v>
      </c>
      <c r="E852" s="275" t="s">
        <v>459</v>
      </c>
      <c r="F852" s="275"/>
      <c r="G852" s="275"/>
      <c r="H852" s="275"/>
      <c r="I852" s="275"/>
      <c r="J852" s="275"/>
    </row>
    <row r="853" spans="1:10">
      <c r="A853" s="273"/>
      <c r="B853" s="274"/>
      <c r="C853" s="278"/>
      <c r="D853" s="275">
        <v>-1.7848999999999999</v>
      </c>
      <c r="E853" s="275">
        <v>-1.74895</v>
      </c>
      <c r="F853" s="275"/>
      <c r="G853" s="275"/>
      <c r="H853" s="275"/>
      <c r="I853" s="275"/>
      <c r="J853" s="275"/>
    </row>
    <row r="854" spans="1:10">
      <c r="A854" s="273"/>
      <c r="B854" s="274"/>
      <c r="C854" s="278"/>
      <c r="D854" s="275"/>
      <c r="E854" s="275"/>
      <c r="F854" s="275"/>
      <c r="G854" s="275"/>
      <c r="H854" s="275"/>
      <c r="I854" s="275"/>
      <c r="J854" s="275"/>
    </row>
    <row r="855" spans="1:10">
      <c r="A855" s="273">
        <v>284</v>
      </c>
      <c r="B855" s="274">
        <v>93</v>
      </c>
      <c r="C855" s="278" t="s">
        <v>207</v>
      </c>
      <c r="D855" s="275" t="s">
        <v>458</v>
      </c>
      <c r="E855" s="275" t="s">
        <v>459</v>
      </c>
      <c r="F855" s="275"/>
      <c r="G855" s="275"/>
      <c r="H855" s="275"/>
      <c r="I855" s="275"/>
      <c r="J855" s="275"/>
    </row>
    <row r="856" spans="1:10">
      <c r="A856" s="273"/>
      <c r="B856" s="274"/>
      <c r="C856" s="278"/>
      <c r="D856" s="275">
        <v>-2.3843399999999999</v>
      </c>
      <c r="E856" s="275">
        <v>-2.3454600000000001</v>
      </c>
      <c r="F856" s="275"/>
      <c r="G856" s="275"/>
      <c r="H856" s="275"/>
      <c r="I856" s="275"/>
      <c r="J856" s="275"/>
    </row>
    <row r="857" spans="1:10">
      <c r="A857" s="273"/>
      <c r="B857" s="274"/>
      <c r="C857" s="278"/>
      <c r="D857" s="275"/>
      <c r="E857" s="275"/>
      <c r="F857" s="275"/>
      <c r="G857" s="275"/>
      <c r="H857" s="275"/>
      <c r="I857" s="275"/>
      <c r="J857" s="275"/>
    </row>
    <row r="858" spans="1:10">
      <c r="A858" s="273">
        <v>285</v>
      </c>
      <c r="B858" s="274">
        <v>93</v>
      </c>
      <c r="C858" s="278" t="s">
        <v>208</v>
      </c>
      <c r="D858" s="275" t="s">
        <v>458</v>
      </c>
      <c r="E858" s="275" t="s">
        <v>459</v>
      </c>
      <c r="F858" s="275"/>
      <c r="G858" s="275"/>
      <c r="H858" s="275"/>
      <c r="I858" s="275"/>
      <c r="J858" s="275"/>
    </row>
    <row r="859" spans="1:10">
      <c r="A859" s="273"/>
      <c r="B859" s="274"/>
      <c r="C859" s="278"/>
      <c r="D859" s="275">
        <v>-3.0223800000000001</v>
      </c>
      <c r="E859" s="275">
        <v>-2.9804499999999998</v>
      </c>
      <c r="F859" s="275"/>
      <c r="G859" s="275"/>
      <c r="H859" s="275"/>
      <c r="I859" s="275"/>
      <c r="J859" s="275"/>
    </row>
    <row r="860" spans="1:10">
      <c r="A860" s="273"/>
      <c r="B860" s="274"/>
      <c r="C860" s="278"/>
      <c r="D860" s="275"/>
      <c r="E860" s="275"/>
      <c r="F860" s="275"/>
      <c r="G860" s="275"/>
      <c r="H860" s="275"/>
      <c r="I860" s="275"/>
      <c r="J860" s="275"/>
    </row>
    <row r="861" spans="1:10">
      <c r="A861" s="273">
        <v>286</v>
      </c>
      <c r="B861" s="274">
        <v>93</v>
      </c>
      <c r="C861" s="278" t="s">
        <v>209</v>
      </c>
      <c r="D861" s="275" t="s">
        <v>451</v>
      </c>
      <c r="E861" s="275" t="s">
        <v>452</v>
      </c>
      <c r="F861" s="275" t="s">
        <v>453</v>
      </c>
      <c r="G861" s="275" t="s">
        <v>454</v>
      </c>
      <c r="H861" s="275" t="s">
        <v>455</v>
      </c>
      <c r="I861" s="275" t="s">
        <v>456</v>
      </c>
      <c r="J861" s="275" t="s">
        <v>457</v>
      </c>
    </row>
    <row r="862" spans="1:10">
      <c r="A862" s="273"/>
      <c r="B862" s="274"/>
      <c r="C862" s="278"/>
      <c r="D862" s="275">
        <v>-19.74756</v>
      </c>
      <c r="E862" s="275">
        <v>-19.30443</v>
      </c>
      <c r="F862" s="275">
        <v>-8.0288500000000003</v>
      </c>
      <c r="G862" s="275">
        <v>-7.6808500000000004</v>
      </c>
      <c r="H862" s="275">
        <v>-5.3438499999999998</v>
      </c>
      <c r="I862" s="275">
        <v>-4.4043999999999999</v>
      </c>
      <c r="J862" s="275">
        <v>-3.8904700000000001</v>
      </c>
    </row>
    <row r="863" spans="1:10">
      <c r="A863" s="273"/>
      <c r="B863" s="274"/>
      <c r="C863" s="278"/>
      <c r="D863" s="275"/>
      <c r="E863" s="275"/>
      <c r="F863" s="275"/>
      <c r="G863" s="275"/>
      <c r="H863" s="275"/>
      <c r="I863" s="275"/>
      <c r="J863" s="275"/>
    </row>
    <row r="864" spans="1:10">
      <c r="A864" s="273">
        <v>287</v>
      </c>
      <c r="B864" s="274">
        <v>94</v>
      </c>
      <c r="C864" s="278" t="s">
        <v>403</v>
      </c>
      <c r="D864" s="275" t="s">
        <v>458</v>
      </c>
      <c r="E864" s="275" t="s">
        <v>459</v>
      </c>
      <c r="F864" s="275"/>
      <c r="G864" s="275"/>
      <c r="H864" s="275"/>
      <c r="I864" s="275"/>
      <c r="J864" s="275"/>
    </row>
    <row r="865" spans="1:10">
      <c r="A865" s="273"/>
      <c r="B865" s="274"/>
      <c r="C865" s="278"/>
      <c r="D865" s="275">
        <v>-1.29078</v>
      </c>
      <c r="E865" s="275">
        <v>-1.2519499999999999</v>
      </c>
      <c r="F865" s="275"/>
      <c r="G865" s="275"/>
      <c r="H865" s="275"/>
      <c r="I865" s="275"/>
      <c r="J865" s="275"/>
    </row>
    <row r="866" spans="1:10">
      <c r="A866" s="273"/>
      <c r="B866" s="274"/>
      <c r="C866" s="278"/>
      <c r="D866" s="275"/>
      <c r="E866" s="275"/>
      <c r="F866" s="275"/>
      <c r="G866" s="275"/>
      <c r="H866" s="275"/>
      <c r="I866" s="275"/>
      <c r="J866" s="275"/>
    </row>
    <row r="867" spans="1:10">
      <c r="A867" s="273">
        <v>288</v>
      </c>
      <c r="B867" s="274">
        <v>94</v>
      </c>
      <c r="C867" s="278" t="s">
        <v>210</v>
      </c>
      <c r="D867" s="275" t="s">
        <v>458</v>
      </c>
      <c r="E867" s="275" t="s">
        <v>459</v>
      </c>
      <c r="F867" s="275"/>
      <c r="G867" s="275"/>
      <c r="H867" s="275"/>
      <c r="I867" s="275"/>
      <c r="J867" s="275"/>
    </row>
    <row r="868" spans="1:10">
      <c r="A868" s="273"/>
      <c r="B868" s="274"/>
      <c r="C868" s="278"/>
      <c r="D868" s="275">
        <v>-1.8576900000000001</v>
      </c>
      <c r="E868" s="275">
        <v>-1.8162100000000001</v>
      </c>
      <c r="F868" s="275"/>
      <c r="G868" s="275"/>
      <c r="H868" s="275"/>
      <c r="I868" s="275"/>
      <c r="J868" s="275"/>
    </row>
    <row r="869" spans="1:10">
      <c r="A869" s="273"/>
      <c r="B869" s="274"/>
      <c r="C869" s="278"/>
      <c r="D869" s="275"/>
      <c r="E869" s="275"/>
      <c r="F869" s="275"/>
      <c r="G869" s="275"/>
      <c r="H869" s="275"/>
      <c r="I869" s="275"/>
      <c r="J869" s="275"/>
    </row>
    <row r="870" spans="1:10">
      <c r="A870" s="273">
        <v>289</v>
      </c>
      <c r="B870" s="274">
        <v>94</v>
      </c>
      <c r="C870" s="278" t="s">
        <v>211</v>
      </c>
      <c r="D870" s="275" t="s">
        <v>458</v>
      </c>
      <c r="E870" s="275" t="s">
        <v>459</v>
      </c>
      <c r="F870" s="275"/>
      <c r="G870" s="275"/>
      <c r="H870" s="275"/>
      <c r="I870" s="275"/>
      <c r="J870" s="275"/>
    </row>
    <row r="871" spans="1:10">
      <c r="A871" s="273"/>
      <c r="B871" s="274"/>
      <c r="C871" s="278"/>
      <c r="D871" s="275">
        <v>-2.46882</v>
      </c>
      <c r="E871" s="275">
        <v>-2.4244400000000002</v>
      </c>
      <c r="F871" s="275"/>
      <c r="G871" s="275"/>
      <c r="H871" s="275"/>
      <c r="I871" s="275"/>
      <c r="J871" s="275"/>
    </row>
    <row r="872" spans="1:10">
      <c r="A872" s="273"/>
      <c r="B872" s="274"/>
      <c r="C872" s="278"/>
      <c r="D872" s="275"/>
      <c r="E872" s="275"/>
      <c r="F872" s="275"/>
      <c r="G872" s="275"/>
      <c r="H872" s="275"/>
      <c r="I872" s="275"/>
      <c r="J872" s="275"/>
    </row>
    <row r="873" spans="1:10">
      <c r="A873" s="273">
        <v>290</v>
      </c>
      <c r="B873" s="274">
        <v>94</v>
      </c>
      <c r="C873" s="278" t="s">
        <v>212</v>
      </c>
      <c r="D873" s="275" t="s">
        <v>458</v>
      </c>
      <c r="E873" s="275" t="s">
        <v>459</v>
      </c>
      <c r="F873" s="275"/>
      <c r="G873" s="275"/>
      <c r="H873" s="275"/>
      <c r="I873" s="275"/>
      <c r="J873" s="275"/>
    </row>
    <row r="874" spans="1:10">
      <c r="A874" s="273"/>
      <c r="B874" s="274"/>
      <c r="C874" s="278"/>
      <c r="D874" s="275">
        <v>-3.1184400000000001</v>
      </c>
      <c r="E874" s="275">
        <v>-3.0710000000000002</v>
      </c>
      <c r="F874" s="275"/>
      <c r="G874" s="275"/>
      <c r="H874" s="275"/>
      <c r="I874" s="275"/>
      <c r="J874" s="275"/>
    </row>
    <row r="875" spans="1:10">
      <c r="A875" s="273"/>
      <c r="B875" s="274"/>
      <c r="C875" s="278"/>
      <c r="D875" s="275"/>
      <c r="E875" s="275"/>
      <c r="F875" s="275"/>
      <c r="G875" s="275"/>
      <c r="H875" s="275"/>
      <c r="I875" s="275"/>
      <c r="J875" s="275"/>
    </row>
    <row r="876" spans="1:10">
      <c r="A876" s="273">
        <v>291</v>
      </c>
      <c r="B876" s="274">
        <v>94</v>
      </c>
      <c r="C876" s="278" t="s">
        <v>213</v>
      </c>
      <c r="D876" s="275" t="s">
        <v>458</v>
      </c>
      <c r="E876" s="275" t="s">
        <v>459</v>
      </c>
      <c r="F876" s="275"/>
      <c r="G876" s="275"/>
      <c r="H876" s="275"/>
      <c r="I876" s="275"/>
      <c r="J876" s="275"/>
    </row>
    <row r="877" spans="1:10">
      <c r="A877" s="273"/>
      <c r="B877" s="274"/>
      <c r="C877" s="278"/>
      <c r="D877" s="275">
        <v>-3.8027199999999999</v>
      </c>
      <c r="E877" s="275">
        <v>-3.7521200000000001</v>
      </c>
      <c r="F877" s="275"/>
      <c r="G877" s="275"/>
      <c r="H877" s="275"/>
      <c r="I877" s="275"/>
      <c r="J877" s="275"/>
    </row>
    <row r="878" spans="1:10">
      <c r="A878" s="273"/>
      <c r="B878" s="274"/>
      <c r="C878" s="278"/>
      <c r="D878" s="275"/>
      <c r="E878" s="275"/>
      <c r="F878" s="275"/>
      <c r="G878" s="275"/>
      <c r="H878" s="275"/>
      <c r="I878" s="275"/>
      <c r="J878" s="275"/>
    </row>
    <row r="879" spans="1:10">
      <c r="A879" s="273">
        <v>292</v>
      </c>
      <c r="B879" s="274">
        <v>95</v>
      </c>
      <c r="C879" s="278" t="s">
        <v>404</v>
      </c>
      <c r="D879" s="275" t="s">
        <v>458</v>
      </c>
      <c r="E879" s="275" t="s">
        <v>459</v>
      </c>
      <c r="F879" s="275"/>
      <c r="G879" s="275"/>
      <c r="H879" s="275"/>
      <c r="I879" s="275"/>
      <c r="J879" s="275"/>
    </row>
    <row r="880" spans="1:10">
      <c r="A880" s="273"/>
      <c r="B880" s="274"/>
      <c r="C880" s="278"/>
      <c r="D880" s="275">
        <v>-0.82357000000000002</v>
      </c>
      <c r="E880" s="275">
        <v>-0.78069999999999995</v>
      </c>
      <c r="F880" s="275"/>
      <c r="G880" s="275"/>
      <c r="H880" s="275"/>
      <c r="I880" s="275"/>
      <c r="J880" s="275"/>
    </row>
    <row r="881" spans="1:10">
      <c r="A881" s="273"/>
      <c r="B881" s="274"/>
      <c r="C881" s="278"/>
      <c r="D881" s="275"/>
      <c r="E881" s="275"/>
      <c r="F881" s="275"/>
      <c r="G881" s="275"/>
      <c r="H881" s="275"/>
      <c r="I881" s="275"/>
      <c r="J881" s="275"/>
    </row>
    <row r="882" spans="1:10">
      <c r="A882" s="273">
        <v>293</v>
      </c>
      <c r="B882" s="274">
        <v>95</v>
      </c>
      <c r="C882" s="278" t="s">
        <v>214</v>
      </c>
      <c r="D882" s="275" t="s">
        <v>458</v>
      </c>
      <c r="E882" s="275" t="s">
        <v>459</v>
      </c>
      <c r="F882" s="275"/>
      <c r="G882" s="275"/>
      <c r="H882" s="275"/>
      <c r="I882" s="275"/>
      <c r="J882" s="275"/>
    </row>
    <row r="883" spans="1:10">
      <c r="A883" s="273"/>
      <c r="B883" s="274"/>
      <c r="C883" s="278"/>
      <c r="D883" s="275">
        <v>-1.34904</v>
      </c>
      <c r="E883" s="275">
        <v>-1.3042499999999999</v>
      </c>
      <c r="F883" s="275"/>
      <c r="G883" s="275"/>
      <c r="H883" s="275"/>
      <c r="I883" s="275"/>
      <c r="J883" s="275"/>
    </row>
    <row r="884" spans="1:10">
      <c r="A884" s="273"/>
      <c r="B884" s="274"/>
      <c r="C884" s="278"/>
      <c r="D884" s="275"/>
      <c r="E884" s="275"/>
      <c r="F884" s="275"/>
      <c r="G884" s="275"/>
      <c r="H884" s="275"/>
      <c r="I884" s="275"/>
      <c r="J884" s="275"/>
    </row>
    <row r="885" spans="1:10">
      <c r="A885" s="273">
        <v>294</v>
      </c>
      <c r="B885" s="274">
        <v>95</v>
      </c>
      <c r="C885" s="278" t="s">
        <v>215</v>
      </c>
      <c r="D885" s="275" t="s">
        <v>458</v>
      </c>
      <c r="E885" s="275" t="s">
        <v>459</v>
      </c>
      <c r="F885" s="275"/>
      <c r="G885" s="275"/>
      <c r="H885" s="275"/>
      <c r="I885" s="275"/>
      <c r="J885" s="275"/>
    </row>
    <row r="886" spans="1:10">
      <c r="A886" s="273"/>
      <c r="B886" s="274"/>
      <c r="C886" s="278"/>
      <c r="D886" s="275">
        <v>-1.9278999999999999</v>
      </c>
      <c r="E886" s="275">
        <v>-1.8805499999999999</v>
      </c>
      <c r="F886" s="275"/>
      <c r="G886" s="275"/>
      <c r="H886" s="275"/>
      <c r="I886" s="275"/>
      <c r="J886" s="275"/>
    </row>
    <row r="887" spans="1:10">
      <c r="A887" s="273"/>
      <c r="B887" s="274"/>
      <c r="C887" s="278"/>
      <c r="D887" s="275"/>
      <c r="E887" s="275"/>
      <c r="F887" s="275"/>
      <c r="G887" s="275"/>
      <c r="H887" s="275"/>
      <c r="I887" s="275"/>
      <c r="J887" s="275"/>
    </row>
    <row r="888" spans="1:10">
      <c r="A888" s="273">
        <v>295</v>
      </c>
      <c r="B888" s="274">
        <v>95</v>
      </c>
      <c r="C888" s="278" t="s">
        <v>216</v>
      </c>
      <c r="D888" s="275" t="s">
        <v>458</v>
      </c>
      <c r="E888" s="275" t="s">
        <v>459</v>
      </c>
      <c r="F888" s="275"/>
      <c r="G888" s="275"/>
      <c r="H888" s="275"/>
      <c r="I888" s="275"/>
      <c r="J888" s="275"/>
    </row>
    <row r="889" spans="1:10">
      <c r="A889" s="273"/>
      <c r="B889" s="274"/>
      <c r="C889" s="278"/>
      <c r="D889" s="275">
        <v>-2.5506899999999999</v>
      </c>
      <c r="E889" s="275">
        <v>-2.50048</v>
      </c>
      <c r="F889" s="275"/>
      <c r="G889" s="275"/>
      <c r="H889" s="275"/>
      <c r="I889" s="275"/>
      <c r="J889" s="275"/>
    </row>
    <row r="890" spans="1:10">
      <c r="A890" s="273"/>
      <c r="B890" s="274"/>
      <c r="C890" s="278"/>
      <c r="D890" s="275"/>
      <c r="E890" s="275"/>
      <c r="F890" s="275"/>
      <c r="G890" s="275"/>
      <c r="H890" s="275"/>
      <c r="I890" s="275"/>
      <c r="J890" s="275"/>
    </row>
    <row r="891" spans="1:10">
      <c r="A891" s="273">
        <v>296</v>
      </c>
      <c r="B891" s="274">
        <v>95</v>
      </c>
      <c r="C891" s="278" t="s">
        <v>217</v>
      </c>
      <c r="D891" s="275" t="s">
        <v>458</v>
      </c>
      <c r="E891" s="275" t="s">
        <v>459</v>
      </c>
      <c r="F891" s="275"/>
      <c r="G891" s="275"/>
      <c r="H891" s="275"/>
      <c r="I891" s="275"/>
      <c r="J891" s="275"/>
    </row>
    <row r="892" spans="1:10">
      <c r="A892" s="273"/>
      <c r="B892" s="274"/>
      <c r="C892" s="278"/>
      <c r="D892" s="275">
        <v>-3.2118899999999999</v>
      </c>
      <c r="E892" s="275">
        <v>-3.15862</v>
      </c>
      <c r="F892" s="275"/>
      <c r="G892" s="275"/>
      <c r="H892" s="275"/>
      <c r="I892" s="275"/>
      <c r="J892" s="275"/>
    </row>
    <row r="893" spans="1:10">
      <c r="A893" s="273"/>
      <c r="B893" s="274"/>
      <c r="C893" s="278"/>
      <c r="D893" s="275"/>
      <c r="E893" s="275"/>
      <c r="F893" s="275"/>
      <c r="G893" s="275"/>
      <c r="H893" s="275"/>
      <c r="I893" s="275"/>
      <c r="J893" s="275"/>
    </row>
    <row r="894" spans="1:10">
      <c r="A894" s="273">
        <v>297</v>
      </c>
      <c r="B894" s="274">
        <v>96</v>
      </c>
      <c r="C894" s="278" t="s">
        <v>405</v>
      </c>
      <c r="D894" s="275" t="s">
        <v>458</v>
      </c>
      <c r="E894" s="275" t="s">
        <v>459</v>
      </c>
      <c r="F894" s="275"/>
      <c r="G894" s="275"/>
      <c r="H894" s="275"/>
      <c r="I894" s="275"/>
      <c r="J894" s="275"/>
    </row>
    <row r="895" spans="1:10">
      <c r="A895" s="273"/>
      <c r="B895" s="274"/>
      <c r="C895" s="278"/>
      <c r="D895" s="275">
        <v>-1.4052199999999999</v>
      </c>
      <c r="E895" s="275">
        <v>-1.35412</v>
      </c>
      <c r="F895" s="275"/>
      <c r="G895" s="275"/>
      <c r="H895" s="275"/>
      <c r="I895" s="275"/>
      <c r="J895" s="275"/>
    </row>
    <row r="896" spans="1:10">
      <c r="A896" s="273"/>
      <c r="B896" s="274"/>
      <c r="C896" s="278"/>
      <c r="D896" s="275"/>
      <c r="E896" s="275"/>
      <c r="F896" s="275"/>
      <c r="G896" s="275"/>
      <c r="H896" s="275"/>
      <c r="I896" s="275"/>
      <c r="J896" s="275"/>
    </row>
    <row r="897" spans="1:10">
      <c r="A897" s="273">
        <v>298</v>
      </c>
      <c r="B897" s="274">
        <v>96</v>
      </c>
      <c r="C897" s="278" t="s">
        <v>218</v>
      </c>
      <c r="D897" s="275" t="s">
        <v>458</v>
      </c>
      <c r="E897" s="275" t="s">
        <v>459</v>
      </c>
      <c r="F897" s="275"/>
      <c r="G897" s="275"/>
      <c r="H897" s="275"/>
      <c r="I897" s="275"/>
      <c r="J897" s="275"/>
    </row>
    <row r="898" spans="1:10">
      <c r="A898" s="273"/>
      <c r="B898" s="274"/>
      <c r="C898" s="278"/>
      <c r="D898" s="275">
        <v>-1.9958899999999999</v>
      </c>
      <c r="E898" s="275">
        <v>-1.94232</v>
      </c>
      <c r="F898" s="275"/>
      <c r="G898" s="275"/>
      <c r="H898" s="275"/>
      <c r="I898" s="275"/>
      <c r="J898" s="275"/>
    </row>
    <row r="899" spans="1:10">
      <c r="A899" s="273"/>
      <c r="B899" s="274"/>
      <c r="C899" s="278"/>
      <c r="D899" s="275"/>
      <c r="E899" s="275"/>
      <c r="F899" s="275"/>
      <c r="G899" s="275"/>
      <c r="H899" s="275"/>
      <c r="I899" s="275"/>
      <c r="J899" s="275"/>
    </row>
    <row r="900" spans="1:10">
      <c r="A900" s="273">
        <v>299</v>
      </c>
      <c r="B900" s="274">
        <v>97</v>
      </c>
      <c r="C900" s="278" t="s">
        <v>406</v>
      </c>
      <c r="D900" s="275" t="s">
        <v>458</v>
      </c>
      <c r="E900" s="275" t="s">
        <v>459</v>
      </c>
      <c r="F900" s="275"/>
      <c r="G900" s="275"/>
      <c r="H900" s="275"/>
      <c r="I900" s="275"/>
      <c r="J900" s="275"/>
    </row>
    <row r="901" spans="1:10">
      <c r="A901" s="273"/>
      <c r="B901" s="274"/>
      <c r="C901" s="278"/>
      <c r="D901" s="275">
        <v>-1.45964</v>
      </c>
      <c r="E901" s="275">
        <v>-1.4018600000000001</v>
      </c>
      <c r="F901" s="275"/>
      <c r="G901" s="275"/>
      <c r="H901" s="275"/>
      <c r="I901" s="275"/>
      <c r="J901" s="275"/>
    </row>
    <row r="902" spans="1:10">
      <c r="A902" s="273"/>
      <c r="B902" s="274"/>
      <c r="C902" s="278"/>
      <c r="D902" s="275"/>
      <c r="E902" s="275"/>
      <c r="F902" s="275"/>
      <c r="G902" s="275"/>
      <c r="H902" s="275"/>
      <c r="I902" s="275"/>
      <c r="J902" s="275"/>
    </row>
    <row r="903" spans="1:10">
      <c r="A903" s="273">
        <v>300</v>
      </c>
      <c r="B903" s="274">
        <v>97</v>
      </c>
      <c r="C903" s="278" t="s">
        <v>219</v>
      </c>
      <c r="D903" s="275" t="s">
        <v>458</v>
      </c>
      <c r="E903" s="275" t="s">
        <v>459</v>
      </c>
      <c r="F903" s="275"/>
      <c r="G903" s="275"/>
      <c r="H903" s="275"/>
      <c r="I903" s="275"/>
      <c r="J903" s="275"/>
    </row>
    <row r="904" spans="1:10">
      <c r="A904" s="273"/>
      <c r="B904" s="274"/>
      <c r="C904" s="278"/>
      <c r="D904" s="275">
        <v>-2.0619700000000001</v>
      </c>
      <c r="E904" s="275">
        <v>-2.0018099999999999</v>
      </c>
      <c r="F904" s="275"/>
      <c r="G904" s="275"/>
      <c r="H904" s="275"/>
      <c r="I904" s="275"/>
      <c r="J904" s="275"/>
    </row>
    <row r="905" spans="1:10">
      <c r="A905" s="273"/>
      <c r="B905" s="274"/>
      <c r="C905" s="278"/>
      <c r="D905" s="275"/>
      <c r="E905" s="275"/>
      <c r="F905" s="275"/>
      <c r="G905" s="275"/>
      <c r="H905" s="275"/>
      <c r="I905" s="275"/>
      <c r="J905" s="275"/>
    </row>
    <row r="906" spans="1:10">
      <c r="A906" s="273">
        <v>301</v>
      </c>
      <c r="B906" s="274">
        <v>98</v>
      </c>
      <c r="C906" s="278" t="s">
        <v>407</v>
      </c>
      <c r="D906" s="275" t="s">
        <v>458</v>
      </c>
      <c r="E906" s="275" t="s">
        <v>459</v>
      </c>
      <c r="F906" s="275"/>
      <c r="G906" s="275"/>
      <c r="H906" s="275"/>
      <c r="I906" s="275"/>
      <c r="J906" s="275"/>
    </row>
    <row r="907" spans="1:10">
      <c r="A907" s="273"/>
      <c r="B907" s="274"/>
      <c r="C907" s="278"/>
      <c r="D907" s="275">
        <v>-0.95069000000000004</v>
      </c>
      <c r="E907" s="275">
        <v>-0.88717000000000001</v>
      </c>
      <c r="F907" s="275"/>
      <c r="G907" s="275"/>
      <c r="H907" s="275"/>
      <c r="I907" s="275"/>
      <c r="J907" s="275"/>
    </row>
    <row r="908" spans="1:10">
      <c r="A908" s="273"/>
      <c r="B908" s="274"/>
      <c r="C908" s="278"/>
      <c r="D908" s="275"/>
      <c r="E908" s="275"/>
      <c r="F908" s="275"/>
      <c r="G908" s="275"/>
      <c r="H908" s="275"/>
      <c r="I908" s="275"/>
      <c r="J908" s="275"/>
    </row>
    <row r="909" spans="1:10">
      <c r="A909" s="273">
        <v>302</v>
      </c>
      <c r="B909" s="274">
        <v>98</v>
      </c>
      <c r="C909" s="278" t="s">
        <v>220</v>
      </c>
      <c r="D909" s="275" t="s">
        <v>458</v>
      </c>
      <c r="E909" s="275" t="s">
        <v>459</v>
      </c>
      <c r="F909" s="275"/>
      <c r="G909" s="275"/>
      <c r="H909" s="275"/>
      <c r="I909" s="275"/>
      <c r="J909" s="275"/>
    </row>
    <row r="910" spans="1:10">
      <c r="A910" s="273"/>
      <c r="B910" s="274"/>
      <c r="C910" s="278"/>
      <c r="D910" s="275">
        <v>-1.5125500000000001</v>
      </c>
      <c r="E910" s="275">
        <v>-1.4477</v>
      </c>
      <c r="F910" s="275"/>
      <c r="G910" s="275"/>
      <c r="H910" s="275"/>
      <c r="I910" s="275"/>
      <c r="J910" s="275"/>
    </row>
    <row r="911" spans="1:10">
      <c r="A911" s="273"/>
      <c r="B911" s="274"/>
      <c r="C911" s="278"/>
      <c r="D911" s="275"/>
      <c r="E911" s="275"/>
      <c r="F911" s="275"/>
      <c r="G911" s="275"/>
      <c r="H911" s="275"/>
      <c r="I911" s="275"/>
      <c r="J911" s="275"/>
    </row>
    <row r="912" spans="1:10">
      <c r="A912" s="273">
        <v>303</v>
      </c>
      <c r="B912" s="274">
        <v>98</v>
      </c>
      <c r="C912" s="278" t="s">
        <v>221</v>
      </c>
      <c r="D912" s="275" t="s">
        <v>458</v>
      </c>
      <c r="E912" s="275" t="s">
        <v>459</v>
      </c>
      <c r="F912" s="275"/>
      <c r="G912" s="275"/>
      <c r="H912" s="275"/>
      <c r="I912" s="275"/>
      <c r="J912" s="275"/>
    </row>
    <row r="913" spans="1:10">
      <c r="A913" s="273"/>
      <c r="B913" s="274"/>
      <c r="C913" s="278"/>
      <c r="D913" s="275">
        <v>-2.1263700000000001</v>
      </c>
      <c r="E913" s="275">
        <v>-2.05925</v>
      </c>
      <c r="F913" s="275"/>
      <c r="G913" s="275"/>
      <c r="H913" s="275"/>
      <c r="I913" s="275"/>
      <c r="J913" s="275"/>
    </row>
    <row r="914" spans="1:10">
      <c r="A914" s="273"/>
      <c r="B914" s="274"/>
      <c r="C914" s="278"/>
      <c r="D914" s="275"/>
      <c r="E914" s="275"/>
      <c r="F914" s="275"/>
      <c r="G914" s="275"/>
      <c r="H914" s="275"/>
      <c r="I914" s="275"/>
      <c r="J914" s="275"/>
    </row>
    <row r="915" spans="1:10">
      <c r="A915" s="273">
        <v>304</v>
      </c>
      <c r="B915" s="274">
        <v>99</v>
      </c>
      <c r="C915" s="278" t="s">
        <v>408</v>
      </c>
      <c r="D915" s="275" t="s">
        <v>458</v>
      </c>
      <c r="E915" s="275" t="s">
        <v>459</v>
      </c>
      <c r="F915" s="275"/>
      <c r="G915" s="275"/>
      <c r="H915" s="275"/>
      <c r="I915" s="275"/>
      <c r="J915" s="275"/>
    </row>
    <row r="916" spans="1:10">
      <c r="A916" s="273"/>
      <c r="B916" s="274"/>
      <c r="C916" s="278"/>
      <c r="D916" s="275">
        <v>-0.99070000000000003</v>
      </c>
      <c r="E916" s="275">
        <v>-0.91949000000000003</v>
      </c>
      <c r="F916" s="275"/>
      <c r="G916" s="275"/>
      <c r="H916" s="275"/>
      <c r="I916" s="275"/>
      <c r="J916" s="275"/>
    </row>
    <row r="917" spans="1:10">
      <c r="A917" s="273"/>
      <c r="B917" s="274"/>
      <c r="C917" s="278"/>
      <c r="D917" s="275"/>
      <c r="E917" s="275"/>
      <c r="F917" s="275"/>
      <c r="G917" s="275"/>
      <c r="H917" s="275"/>
      <c r="I917" s="275"/>
      <c r="J917" s="275"/>
    </row>
    <row r="918" spans="1:10">
      <c r="A918" s="273">
        <v>305</v>
      </c>
      <c r="B918" s="274">
        <v>99</v>
      </c>
      <c r="C918" s="278" t="s">
        <v>222</v>
      </c>
      <c r="D918" s="275" t="s">
        <v>458</v>
      </c>
      <c r="E918" s="275" t="s">
        <v>459</v>
      </c>
      <c r="F918" s="275"/>
      <c r="G918" s="275"/>
      <c r="H918" s="275"/>
      <c r="I918" s="275"/>
      <c r="J918" s="275"/>
    </row>
    <row r="919" spans="1:10">
      <c r="A919" s="273"/>
      <c r="B919" s="274"/>
      <c r="C919" s="278"/>
      <c r="D919" s="275">
        <v>-1.5641099999999999</v>
      </c>
      <c r="E919" s="275">
        <v>-1.4917800000000001</v>
      </c>
      <c r="F919" s="275"/>
      <c r="G919" s="275"/>
      <c r="H919" s="275"/>
      <c r="I919" s="275"/>
      <c r="J919" s="275"/>
    </row>
    <row r="920" spans="1:10">
      <c r="A920" s="273"/>
      <c r="B920" s="274"/>
      <c r="C920" s="278"/>
      <c r="D920" s="275"/>
      <c r="E920" s="275"/>
      <c r="F920" s="275"/>
      <c r="G920" s="275"/>
      <c r="H920" s="275"/>
      <c r="I920" s="275"/>
      <c r="J920" s="275"/>
    </row>
    <row r="921" spans="1:10">
      <c r="A921" s="273">
        <v>306</v>
      </c>
      <c r="B921" s="274">
        <v>100</v>
      </c>
      <c r="C921" s="278" t="s">
        <v>409</v>
      </c>
      <c r="D921" s="275" t="s">
        <v>458</v>
      </c>
      <c r="E921" s="275" t="s">
        <v>459</v>
      </c>
      <c r="F921" s="275"/>
      <c r="G921" s="275"/>
      <c r="H921" s="275"/>
      <c r="I921" s="275"/>
      <c r="J921" s="275"/>
    </row>
    <row r="922" spans="1:10">
      <c r="A922" s="273"/>
      <c r="B922" s="274"/>
      <c r="C922" s="278"/>
      <c r="D922" s="275">
        <v>-1.0297700000000001</v>
      </c>
      <c r="E922" s="275">
        <v>-0.95043</v>
      </c>
      <c r="F922" s="275"/>
      <c r="G922" s="275"/>
      <c r="H922" s="275"/>
      <c r="I922" s="275"/>
      <c r="J922" s="275"/>
    </row>
    <row r="923" spans="1:10">
      <c r="A923" s="273"/>
      <c r="B923" s="274"/>
      <c r="C923" s="278"/>
      <c r="D923" s="275"/>
      <c r="E923" s="275"/>
      <c r="F923" s="275"/>
      <c r="G923" s="275"/>
      <c r="H923" s="275"/>
      <c r="I923" s="275"/>
      <c r="J923" s="275"/>
    </row>
    <row r="924" spans="1:10">
      <c r="A924" s="273">
        <v>307</v>
      </c>
      <c r="B924" s="274">
        <v>100</v>
      </c>
      <c r="C924" s="278" t="s">
        <v>223</v>
      </c>
      <c r="D924" s="275" t="s">
        <v>458</v>
      </c>
      <c r="E924" s="275" t="s">
        <v>459</v>
      </c>
      <c r="F924" s="275"/>
      <c r="G924" s="275"/>
      <c r="H924" s="275"/>
      <c r="I924" s="275"/>
      <c r="J924" s="275"/>
    </row>
    <row r="925" spans="1:10">
      <c r="A925" s="273"/>
      <c r="B925" s="274"/>
      <c r="C925" s="278"/>
      <c r="D925" s="275">
        <v>-1.6144700000000001</v>
      </c>
      <c r="E925" s="275">
        <v>-1.53423</v>
      </c>
      <c r="F925" s="275"/>
      <c r="G925" s="275"/>
      <c r="H925" s="275"/>
      <c r="I925" s="275"/>
      <c r="J925" s="275"/>
    </row>
    <row r="926" spans="1:10">
      <c r="A926" s="273"/>
      <c r="B926" s="274"/>
      <c r="C926" s="278"/>
      <c r="D926" s="275"/>
      <c r="E926" s="275"/>
      <c r="F926" s="275"/>
      <c r="G926" s="275"/>
      <c r="H926" s="275"/>
      <c r="I926" s="275"/>
      <c r="J926" s="275"/>
    </row>
    <row r="927" spans="1:10">
      <c r="A927" s="273">
        <v>308</v>
      </c>
      <c r="B927" s="274">
        <v>101</v>
      </c>
      <c r="C927" s="278" t="s">
        <v>410</v>
      </c>
      <c r="D927" s="275" t="s">
        <v>458</v>
      </c>
      <c r="E927" s="275" t="s">
        <v>459</v>
      </c>
      <c r="F927" s="275"/>
      <c r="G927" s="275"/>
      <c r="H927" s="275"/>
      <c r="I927" s="275"/>
      <c r="J927" s="275"/>
    </row>
    <row r="928" spans="1:10">
      <c r="A928" s="273"/>
      <c r="B928" s="274"/>
      <c r="C928" s="278"/>
      <c r="D928" s="275">
        <v>-1.06799</v>
      </c>
      <c r="E928" s="275">
        <v>-0.98007</v>
      </c>
      <c r="F928" s="275"/>
      <c r="G928" s="275"/>
      <c r="H928" s="275"/>
      <c r="I928" s="275"/>
      <c r="J928" s="275"/>
    </row>
    <row r="929" spans="1:10">
      <c r="A929" s="273"/>
      <c r="B929" s="274"/>
      <c r="C929" s="278"/>
      <c r="D929" s="275"/>
      <c r="E929" s="275"/>
      <c r="F929" s="275"/>
      <c r="G929" s="275"/>
      <c r="H929" s="275"/>
      <c r="I929" s="275"/>
      <c r="J929" s="275"/>
    </row>
    <row r="930" spans="1:10">
      <c r="A930" s="273">
        <v>309</v>
      </c>
      <c r="B930" s="274">
        <v>101</v>
      </c>
      <c r="C930" s="278" t="s">
        <v>224</v>
      </c>
      <c r="D930" s="275" t="s">
        <v>458</v>
      </c>
      <c r="E930" s="275" t="s">
        <v>459</v>
      </c>
      <c r="F930" s="275"/>
      <c r="G930" s="275"/>
      <c r="H930" s="275"/>
      <c r="I930" s="275"/>
      <c r="J930" s="275"/>
    </row>
    <row r="931" spans="1:10">
      <c r="A931" s="273"/>
      <c r="B931" s="274"/>
      <c r="C931" s="278"/>
      <c r="D931" s="275">
        <v>-1.6637500000000001</v>
      </c>
      <c r="E931" s="275">
        <v>-1.5751500000000001</v>
      </c>
      <c r="F931" s="275"/>
      <c r="G931" s="275"/>
      <c r="H931" s="275"/>
      <c r="I931" s="275"/>
      <c r="J931" s="275"/>
    </row>
    <row r="932" spans="1:10">
      <c r="A932" s="273"/>
      <c r="B932" s="274"/>
      <c r="C932" s="278"/>
      <c r="D932" s="275"/>
      <c r="E932" s="275"/>
      <c r="F932" s="275"/>
      <c r="G932" s="275"/>
      <c r="H932" s="275"/>
      <c r="I932" s="275"/>
      <c r="J932" s="275"/>
    </row>
    <row r="933" spans="1:10">
      <c r="A933" s="273">
        <v>310</v>
      </c>
      <c r="B933" s="274">
        <v>102</v>
      </c>
      <c r="C933" s="278" t="s">
        <v>411</v>
      </c>
      <c r="D933" s="275" t="s">
        <v>458</v>
      </c>
      <c r="E933" s="275" t="s">
        <v>459</v>
      </c>
      <c r="F933" s="275"/>
      <c r="G933" s="275"/>
      <c r="H933" s="275"/>
      <c r="I933" s="275"/>
      <c r="J933" s="275"/>
    </row>
    <row r="934" spans="1:10">
      <c r="A934" s="273"/>
      <c r="B934" s="274"/>
      <c r="C934" s="278"/>
      <c r="D934" s="275">
        <v>-1.1054600000000001</v>
      </c>
      <c r="E934" s="275">
        <v>-1.00847</v>
      </c>
      <c r="F934" s="275"/>
      <c r="G934" s="275"/>
      <c r="H934" s="275"/>
      <c r="I934" s="275"/>
      <c r="J934" s="275"/>
    </row>
    <row r="935" spans="1:10">
      <c r="A935" s="273"/>
      <c r="B935" s="274"/>
      <c r="C935" s="278"/>
      <c r="D935" s="275"/>
      <c r="E935" s="275"/>
      <c r="F935" s="275"/>
      <c r="G935" s="275"/>
      <c r="H935" s="275"/>
      <c r="I935" s="275"/>
      <c r="J935" s="275"/>
    </row>
    <row r="936" spans="1:10">
      <c r="A936" s="273">
        <v>311</v>
      </c>
      <c r="B936" s="274">
        <v>102</v>
      </c>
      <c r="C936" s="278" t="s">
        <v>225</v>
      </c>
      <c r="D936" s="275" t="s">
        <v>458</v>
      </c>
      <c r="E936" s="275" t="s">
        <v>459</v>
      </c>
      <c r="F936" s="275"/>
      <c r="G936" s="275"/>
      <c r="H936" s="275"/>
      <c r="I936" s="275"/>
      <c r="J936" s="275"/>
    </row>
    <row r="937" spans="1:10">
      <c r="A937" s="273"/>
      <c r="B937" s="274"/>
      <c r="C937" s="278"/>
      <c r="D937" s="275">
        <v>-1.7120200000000001</v>
      </c>
      <c r="E937" s="275">
        <v>-1.6146100000000001</v>
      </c>
      <c r="F937" s="275"/>
      <c r="G937" s="275"/>
      <c r="H937" s="275"/>
      <c r="I937" s="275"/>
      <c r="J937" s="275"/>
    </row>
    <row r="938" spans="1:10">
      <c r="A938" s="273"/>
      <c r="B938" s="274"/>
      <c r="C938" s="278"/>
      <c r="D938" s="275"/>
      <c r="E938" s="275"/>
      <c r="F938" s="275"/>
      <c r="G938" s="275"/>
      <c r="H938" s="275"/>
      <c r="I938" s="275"/>
      <c r="J938" s="275"/>
    </row>
    <row r="939" spans="1:10">
      <c r="A939" s="273">
        <v>312</v>
      </c>
      <c r="B939" s="274">
        <v>103</v>
      </c>
      <c r="C939" s="278" t="s">
        <v>412</v>
      </c>
      <c r="D939" s="275" t="s">
        <v>458</v>
      </c>
      <c r="E939" s="275" t="s">
        <v>459</v>
      </c>
      <c r="F939" s="275"/>
      <c r="G939" s="275"/>
      <c r="H939" s="275"/>
      <c r="I939" s="275"/>
      <c r="J939" s="275"/>
    </row>
    <row r="940" spans="1:10">
      <c r="A940" s="273"/>
      <c r="B940" s="274"/>
      <c r="C940" s="278"/>
      <c r="D940" s="275">
        <v>-1.7594000000000001</v>
      </c>
      <c r="E940" s="275">
        <v>-1.6526700000000001</v>
      </c>
      <c r="F940" s="275"/>
      <c r="G940" s="275"/>
      <c r="H940" s="275"/>
      <c r="I940" s="275"/>
      <c r="J940" s="275"/>
    </row>
    <row r="941" spans="1:10">
      <c r="A941" s="273"/>
      <c r="B941" s="274"/>
      <c r="C941" s="278"/>
      <c r="D941" s="275"/>
      <c r="E941" s="275"/>
      <c r="F941" s="275"/>
      <c r="G941" s="275"/>
      <c r="H941" s="275"/>
      <c r="I941" s="275"/>
      <c r="J941" s="275"/>
    </row>
    <row r="942" spans="1:10">
      <c r="A942" s="273">
        <v>313</v>
      </c>
      <c r="B942" s="274">
        <v>104</v>
      </c>
      <c r="C942" s="278" t="s">
        <v>413</v>
      </c>
      <c r="D942" s="275" t="s">
        <v>458</v>
      </c>
      <c r="E942" s="275" t="s">
        <v>459</v>
      </c>
      <c r="F942" s="275"/>
      <c r="G942" s="275"/>
      <c r="H942" s="275"/>
      <c r="I942" s="275"/>
      <c r="J942" s="275"/>
    </row>
    <row r="943" spans="1:10">
      <c r="A943" s="273"/>
      <c r="B943" s="274"/>
      <c r="C943" s="278"/>
      <c r="D943" s="275">
        <v>-2.4853299999999998</v>
      </c>
      <c r="E943" s="275">
        <v>-2.3672800000000001</v>
      </c>
      <c r="F943" s="275"/>
      <c r="G943" s="275"/>
      <c r="H943" s="275"/>
      <c r="I943" s="275"/>
      <c r="J943" s="275"/>
    </row>
    <row r="944" spans="1:10">
      <c r="A944" s="273"/>
      <c r="B944" s="274"/>
      <c r="C944" s="278"/>
      <c r="D944" s="275"/>
      <c r="E944" s="275"/>
      <c r="F944" s="275"/>
      <c r="G944" s="275"/>
      <c r="H944" s="275"/>
      <c r="I944" s="275"/>
      <c r="J944" s="275"/>
    </row>
    <row r="945" spans="1:10">
      <c r="A945" s="273">
        <v>314</v>
      </c>
      <c r="B945" s="274">
        <v>105</v>
      </c>
      <c r="C945" s="278" t="s">
        <v>414</v>
      </c>
      <c r="D945" s="275" t="s">
        <v>458</v>
      </c>
      <c r="E945" s="275" t="s">
        <v>459</v>
      </c>
      <c r="F945" s="275"/>
      <c r="G945" s="275"/>
      <c r="H945" s="275"/>
      <c r="I945" s="275"/>
      <c r="J945" s="275"/>
    </row>
    <row r="946" spans="1:10">
      <c r="A946" s="273"/>
      <c r="B946" s="274"/>
      <c r="C946" s="278"/>
      <c r="D946" s="275">
        <v>-3.2753899999999998</v>
      </c>
      <c r="E946" s="275">
        <v>-3.14486</v>
      </c>
      <c r="F946" s="275"/>
      <c r="G946" s="275"/>
      <c r="H946" s="275"/>
      <c r="I946" s="275"/>
      <c r="J946" s="275"/>
    </row>
    <row r="947" spans="1:10">
      <c r="A947" s="273"/>
      <c r="B947" s="274"/>
      <c r="C947" s="278"/>
      <c r="D947" s="275"/>
      <c r="E947" s="275"/>
      <c r="F947" s="275"/>
      <c r="G947" s="275"/>
      <c r="H947" s="275"/>
      <c r="I947" s="275"/>
      <c r="J947" s="275"/>
    </row>
    <row r="948" spans="1:10">
      <c r="A948" s="273">
        <v>315</v>
      </c>
      <c r="B948" s="274">
        <v>106</v>
      </c>
      <c r="C948" s="278" t="s">
        <v>415</v>
      </c>
      <c r="D948" s="275" t="s">
        <v>458</v>
      </c>
      <c r="E948" s="275" t="s">
        <v>459</v>
      </c>
      <c r="F948" s="275"/>
      <c r="G948" s="275"/>
      <c r="H948" s="275"/>
      <c r="I948" s="275"/>
      <c r="J948" s="275"/>
    </row>
    <row r="949" spans="1:10">
      <c r="A949" s="273"/>
      <c r="B949" s="274"/>
      <c r="C949" s="278"/>
      <c r="D949" s="275">
        <v>-4.1247699999999998</v>
      </c>
      <c r="E949" s="275">
        <v>-3.98075</v>
      </c>
      <c r="F949" s="275"/>
      <c r="G949" s="275"/>
      <c r="H949" s="275"/>
      <c r="I949" s="275"/>
      <c r="J949" s="275"/>
    </row>
    <row r="950" spans="1:10">
      <c r="A950" s="273"/>
      <c r="B950" s="274"/>
      <c r="C950" s="278"/>
      <c r="D950" s="275"/>
      <c r="E950" s="275"/>
      <c r="F950" s="275"/>
      <c r="G950" s="275"/>
      <c r="H950" s="275"/>
      <c r="I950" s="275"/>
      <c r="J950" s="275"/>
    </row>
    <row r="951" spans="1:10">
      <c r="A951" s="273">
        <v>316</v>
      </c>
      <c r="B951" s="274">
        <v>107</v>
      </c>
      <c r="C951" s="278" t="s">
        <v>416</v>
      </c>
      <c r="D951" s="275" t="s">
        <v>458</v>
      </c>
      <c r="E951" s="275" t="s">
        <v>459</v>
      </c>
      <c r="F951" s="275"/>
      <c r="G951" s="275"/>
      <c r="H951" s="275"/>
      <c r="I951" s="275"/>
      <c r="J951" s="275"/>
    </row>
    <row r="952" spans="1:10">
      <c r="A952" s="273"/>
      <c r="B952" s="274"/>
      <c r="C952" s="278"/>
      <c r="D952" s="275">
        <v>-5.0301799999999997</v>
      </c>
      <c r="E952" s="275">
        <v>-4.87174</v>
      </c>
      <c r="F952" s="275"/>
      <c r="G952" s="275"/>
      <c r="H952" s="275"/>
      <c r="I952" s="275"/>
      <c r="J952" s="275"/>
    </row>
    <row r="953" spans="1:10">
      <c r="A953" s="273"/>
      <c r="B953" s="274"/>
      <c r="C953" s="278"/>
      <c r="D953" s="275"/>
      <c r="E953" s="275"/>
      <c r="F953" s="275"/>
      <c r="G953" s="275"/>
      <c r="H953" s="275"/>
      <c r="I953" s="275"/>
      <c r="J953" s="275"/>
    </row>
    <row r="954" spans="1:10">
      <c r="A954" s="273">
        <v>317</v>
      </c>
      <c r="B954" s="274">
        <v>108</v>
      </c>
      <c r="C954" s="278" t="s">
        <v>417</v>
      </c>
      <c r="D954" s="275" t="s">
        <v>458</v>
      </c>
      <c r="E954" s="275" t="s">
        <v>459</v>
      </c>
      <c r="F954" s="275"/>
      <c r="G954" s="275"/>
      <c r="H954" s="275"/>
      <c r="I954" s="275"/>
      <c r="J954" s="275"/>
    </row>
    <row r="955" spans="1:10">
      <c r="A955" s="273"/>
      <c r="B955" s="274"/>
      <c r="C955" s="278"/>
      <c r="D955" s="275">
        <v>-5.9891399999999999</v>
      </c>
      <c r="E955" s="275">
        <v>-5.8153699999999997</v>
      </c>
      <c r="F955" s="275"/>
      <c r="G955" s="275"/>
      <c r="H955" s="275"/>
      <c r="I955" s="275"/>
      <c r="J955" s="275"/>
    </row>
    <row r="956" spans="1:10">
      <c r="A956" s="273"/>
      <c r="B956" s="274"/>
      <c r="C956" s="278"/>
      <c r="D956" s="275"/>
      <c r="E956" s="275"/>
      <c r="F956" s="275"/>
      <c r="G956" s="275"/>
      <c r="H956" s="275"/>
      <c r="I956" s="275"/>
      <c r="J956" s="275"/>
    </row>
    <row r="957" spans="1:10">
      <c r="A957" s="273">
        <v>318</v>
      </c>
      <c r="B957" s="274">
        <v>112</v>
      </c>
      <c r="C957" s="278" t="s">
        <v>418</v>
      </c>
      <c r="D957" s="275" t="s">
        <v>458</v>
      </c>
      <c r="E957" s="275" t="s">
        <v>459</v>
      </c>
      <c r="F957" s="275" t="s">
        <v>460</v>
      </c>
      <c r="G957" s="275" t="s">
        <v>461</v>
      </c>
      <c r="H957" s="275"/>
      <c r="I957" s="275"/>
      <c r="J957" s="275"/>
    </row>
    <row r="958" spans="1:10">
      <c r="A958" s="273"/>
      <c r="B958" s="274"/>
      <c r="C958" s="278"/>
      <c r="D958" s="275">
        <v>-4.0499299999999998</v>
      </c>
      <c r="E958" s="275">
        <v>-3.80769</v>
      </c>
      <c r="F958" s="275">
        <v>-1.2660199999999999</v>
      </c>
      <c r="G958" s="275">
        <v>-1.1396200000000001</v>
      </c>
      <c r="H958" s="275"/>
      <c r="I958" s="275"/>
      <c r="J958" s="27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4874-E3D9-4EED-9DC4-CF65125661A8}">
  <dimension ref="A1:AA943"/>
  <sheetViews>
    <sheetView workbookViewId="0">
      <selection activeCell="A4" sqref="A4:AA4"/>
    </sheetView>
  </sheetViews>
  <sheetFormatPr defaultRowHeight="15"/>
  <cols>
    <col min="1" max="1" width="9.140625" style="264"/>
    <col min="2" max="2" width="9.140625" style="39"/>
    <col min="3" max="3" width="9.140625" style="38"/>
  </cols>
  <sheetData>
    <row r="1" spans="1:27">
      <c r="A1" s="281" t="s">
        <v>465</v>
      </c>
      <c r="B1" s="268"/>
      <c r="C1" s="266"/>
      <c r="D1" s="267"/>
      <c r="E1" s="267"/>
      <c r="F1" s="267"/>
      <c r="G1" s="267"/>
    </row>
    <row r="2" spans="1:27">
      <c r="A2" s="265"/>
      <c r="B2" s="266" t="s">
        <v>432</v>
      </c>
      <c r="C2" s="266"/>
      <c r="D2" s="267"/>
      <c r="E2" s="267"/>
      <c r="F2" s="267"/>
      <c r="G2" s="267"/>
    </row>
    <row r="4" spans="1:27">
      <c r="A4" s="279" t="s">
        <v>286</v>
      </c>
      <c r="B4" s="270" t="s">
        <v>0</v>
      </c>
      <c r="C4" s="276" t="s">
        <v>421</v>
      </c>
      <c r="D4" s="272" t="s">
        <v>433</v>
      </c>
      <c r="E4" s="272" t="s">
        <v>433</v>
      </c>
      <c r="F4" s="272" t="s">
        <v>433</v>
      </c>
      <c r="G4" s="272" t="s">
        <v>433</v>
      </c>
      <c r="H4" s="272" t="s">
        <v>433</v>
      </c>
      <c r="I4" s="272" t="s">
        <v>433</v>
      </c>
      <c r="J4" s="272" t="s">
        <v>433</v>
      </c>
      <c r="K4" s="272" t="s">
        <v>433</v>
      </c>
      <c r="L4" s="272" t="s">
        <v>433</v>
      </c>
      <c r="M4" s="272" t="s">
        <v>433</v>
      </c>
      <c r="N4" s="272" t="s">
        <v>433</v>
      </c>
      <c r="O4" s="272" t="s">
        <v>433</v>
      </c>
      <c r="P4" s="272" t="s">
        <v>433</v>
      </c>
      <c r="Q4" s="272" t="s">
        <v>433</v>
      </c>
      <c r="R4" s="272" t="s">
        <v>433</v>
      </c>
      <c r="S4" s="272" t="s">
        <v>433</v>
      </c>
      <c r="T4" s="272" t="s">
        <v>433</v>
      </c>
      <c r="U4" s="272" t="s">
        <v>433</v>
      </c>
      <c r="V4" s="272" t="s">
        <v>433</v>
      </c>
      <c r="W4" s="272" t="s">
        <v>433</v>
      </c>
      <c r="X4" s="272" t="s">
        <v>433</v>
      </c>
      <c r="Y4" s="272" t="s">
        <v>433</v>
      </c>
      <c r="Z4" s="272" t="s">
        <v>433</v>
      </c>
      <c r="AA4" s="272" t="s">
        <v>433</v>
      </c>
    </row>
    <row r="5" spans="1:27">
      <c r="A5" s="280"/>
      <c r="B5" s="274"/>
      <c r="C5" s="278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</row>
    <row r="6" spans="1:27">
      <c r="A6" s="280">
        <v>3</v>
      </c>
      <c r="B6" s="274">
        <v>5</v>
      </c>
      <c r="C6" s="278" t="s">
        <v>3</v>
      </c>
      <c r="D6" s="275" t="s">
        <v>434</v>
      </c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</row>
    <row r="7" spans="1:27">
      <c r="A7" s="280"/>
      <c r="B7" s="274"/>
      <c r="C7" s="278"/>
      <c r="D7" s="275">
        <v>0.32516</v>
      </c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</row>
    <row r="8" spans="1:27">
      <c r="A8" s="280"/>
      <c r="B8" s="274"/>
      <c r="C8" s="278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</row>
    <row r="9" spans="1:27">
      <c r="A9" s="280">
        <v>4</v>
      </c>
      <c r="B9" s="274">
        <v>5</v>
      </c>
      <c r="C9" s="278" t="s">
        <v>4</v>
      </c>
      <c r="D9" s="275" t="s">
        <v>434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</row>
    <row r="10" spans="1:27">
      <c r="A10" s="280"/>
      <c r="B10" s="274"/>
      <c r="C10" s="278"/>
      <c r="D10" s="275">
        <v>0.32486999999999999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</row>
    <row r="11" spans="1:27">
      <c r="A11" s="280"/>
      <c r="B11" s="274"/>
      <c r="C11" s="278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</row>
    <row r="12" spans="1:27">
      <c r="A12" s="280">
        <v>6</v>
      </c>
      <c r="B12" s="274">
        <v>6</v>
      </c>
      <c r="C12" s="278" t="s">
        <v>6</v>
      </c>
      <c r="D12" s="275" t="s">
        <v>434</v>
      </c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</row>
    <row r="13" spans="1:27">
      <c r="A13" s="280"/>
      <c r="B13" s="274"/>
      <c r="C13" s="278"/>
      <c r="D13" s="275">
        <v>0.26796999999999999</v>
      </c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</row>
    <row r="14" spans="1:27">
      <c r="A14" s="280"/>
      <c r="B14" s="274"/>
      <c r="C14" s="278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</row>
    <row r="15" spans="1:27">
      <c r="A15" s="280">
        <v>7</v>
      </c>
      <c r="B15" s="274">
        <v>6</v>
      </c>
      <c r="C15" s="278" t="s">
        <v>7</v>
      </c>
      <c r="D15" s="275" t="s">
        <v>434</v>
      </c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</row>
    <row r="16" spans="1:27">
      <c r="A16" s="280"/>
      <c r="B16" s="274"/>
      <c r="C16" s="278"/>
      <c r="D16" s="275">
        <v>0.26727000000000001</v>
      </c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</row>
    <row r="17" spans="1:27">
      <c r="A17" s="280"/>
      <c r="B17" s="274"/>
      <c r="C17" s="278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</row>
    <row r="18" spans="1:27">
      <c r="A18" s="280">
        <v>8</v>
      </c>
      <c r="B18" s="274">
        <v>6</v>
      </c>
      <c r="C18" s="278" t="s">
        <v>8</v>
      </c>
      <c r="D18" s="275" t="s">
        <v>434</v>
      </c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</row>
    <row r="19" spans="1:27">
      <c r="A19" s="280"/>
      <c r="B19" s="274"/>
      <c r="C19" s="278"/>
      <c r="D19" s="275">
        <v>0.26701000000000003</v>
      </c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</row>
    <row r="20" spans="1:27">
      <c r="A20" s="280"/>
      <c r="B20" s="274"/>
      <c r="C20" s="278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</row>
    <row r="21" spans="1:27">
      <c r="A21" s="280">
        <v>10</v>
      </c>
      <c r="B21" s="274">
        <v>6</v>
      </c>
      <c r="C21" s="278" t="s">
        <v>306</v>
      </c>
      <c r="D21" s="275" t="s">
        <v>434</v>
      </c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</row>
    <row r="22" spans="1:27">
      <c r="A22" s="280"/>
      <c r="B22" s="274"/>
      <c r="C22" s="278"/>
      <c r="D22" s="275">
        <v>0.26865</v>
      </c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</row>
    <row r="23" spans="1:27">
      <c r="A23" s="280"/>
      <c r="B23" s="274"/>
      <c r="C23" s="278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</row>
    <row r="24" spans="1:27">
      <c r="A24" s="280">
        <v>11</v>
      </c>
      <c r="B24" s="274">
        <v>7</v>
      </c>
      <c r="C24" s="278" t="s">
        <v>10</v>
      </c>
      <c r="D24" s="275" t="s">
        <v>434</v>
      </c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</row>
    <row r="25" spans="1:27">
      <c r="A25" s="280"/>
      <c r="B25" s="274"/>
      <c r="C25" s="278"/>
      <c r="D25" s="275">
        <v>0.22791</v>
      </c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</row>
    <row r="26" spans="1:27">
      <c r="A26" s="280"/>
      <c r="B26" s="274"/>
      <c r="C26" s="278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</row>
    <row r="27" spans="1:27">
      <c r="A27" s="280">
        <v>12</v>
      </c>
      <c r="B27" s="274">
        <v>7</v>
      </c>
      <c r="C27" s="278" t="s">
        <v>11</v>
      </c>
      <c r="D27" s="275" t="s">
        <v>434</v>
      </c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</row>
    <row r="28" spans="1:27">
      <c r="A28" s="280"/>
      <c r="B28" s="274"/>
      <c r="C28" s="278"/>
      <c r="D28" s="275">
        <v>0.22750000000000001</v>
      </c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</row>
    <row r="29" spans="1:27">
      <c r="A29" s="280"/>
      <c r="B29" s="274"/>
      <c r="C29" s="278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</row>
    <row r="30" spans="1:27">
      <c r="A30" s="280">
        <v>13</v>
      </c>
      <c r="B30" s="274">
        <v>7</v>
      </c>
      <c r="C30" s="278" t="s">
        <v>12</v>
      </c>
      <c r="D30" s="275" t="s">
        <v>434</v>
      </c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</row>
    <row r="31" spans="1:27">
      <c r="A31" s="280"/>
      <c r="B31" s="274"/>
      <c r="C31" s="278"/>
      <c r="D31" s="275">
        <v>0.22684000000000001</v>
      </c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</row>
    <row r="32" spans="1:27">
      <c r="A32" s="280"/>
      <c r="B32" s="274"/>
      <c r="C32" s="278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</row>
    <row r="33" spans="1:27">
      <c r="A33" s="280">
        <v>14</v>
      </c>
      <c r="B33" s="274">
        <v>7</v>
      </c>
      <c r="C33" s="278" t="s">
        <v>13</v>
      </c>
      <c r="D33" s="275" t="s">
        <v>434</v>
      </c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</row>
    <row r="34" spans="1:27">
      <c r="A34" s="280"/>
      <c r="B34" s="274"/>
      <c r="C34" s="278"/>
      <c r="D34" s="275">
        <v>0.22661000000000001</v>
      </c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</row>
    <row r="35" spans="1:27">
      <c r="A35" s="280"/>
      <c r="B35" s="274"/>
      <c r="C35" s="278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</row>
    <row r="36" spans="1:27">
      <c r="A36" s="280">
        <v>16</v>
      </c>
      <c r="B36" s="274">
        <v>8</v>
      </c>
      <c r="C36" s="278" t="s">
        <v>15</v>
      </c>
      <c r="D36" s="275" t="s">
        <v>434</v>
      </c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</row>
    <row r="37" spans="1:27">
      <c r="A37" s="280"/>
      <c r="B37" s="274"/>
      <c r="C37" s="278"/>
      <c r="D37" s="275">
        <v>0.19827</v>
      </c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</row>
    <row r="38" spans="1:27">
      <c r="A38" s="280"/>
      <c r="B38" s="274"/>
      <c r="C38" s="278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</row>
    <row r="39" spans="1:27">
      <c r="A39" s="280">
        <v>17</v>
      </c>
      <c r="B39" s="274">
        <v>8</v>
      </c>
      <c r="C39" s="278" t="s">
        <v>16</v>
      </c>
      <c r="D39" s="275" t="s">
        <v>434</v>
      </c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</row>
    <row r="40" spans="1:27">
      <c r="A40" s="280"/>
      <c r="B40" s="274"/>
      <c r="C40" s="278"/>
      <c r="D40" s="275">
        <v>0.19800999999999999</v>
      </c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</row>
    <row r="41" spans="1:27">
      <c r="A41" s="280"/>
      <c r="B41" s="274"/>
      <c r="C41" s="278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</row>
    <row r="42" spans="1:27">
      <c r="A42" s="280">
        <v>18</v>
      </c>
      <c r="B42" s="274">
        <v>8</v>
      </c>
      <c r="C42" s="278" t="s">
        <v>326</v>
      </c>
      <c r="D42" s="275" t="s">
        <v>434</v>
      </c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</row>
    <row r="43" spans="1:27">
      <c r="A43" s="280"/>
      <c r="B43" s="274"/>
      <c r="C43" s="278"/>
      <c r="D43" s="275">
        <v>0.19841</v>
      </c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</row>
    <row r="44" spans="1:27">
      <c r="A44" s="280"/>
      <c r="B44" s="274"/>
      <c r="C44" s="278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</row>
    <row r="45" spans="1:27">
      <c r="A45" s="280">
        <v>19</v>
      </c>
      <c r="B45" s="274">
        <v>9</v>
      </c>
      <c r="C45" s="278" t="s">
        <v>328</v>
      </c>
      <c r="D45" s="275" t="s">
        <v>434</v>
      </c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</row>
    <row r="46" spans="1:27">
      <c r="A46" s="280"/>
      <c r="B46" s="274"/>
      <c r="C46" s="278"/>
      <c r="D46" s="275">
        <v>0.17554</v>
      </c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</row>
    <row r="47" spans="1:27">
      <c r="A47" s="280"/>
      <c r="B47" s="274"/>
      <c r="C47" s="278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</row>
    <row r="48" spans="1:27">
      <c r="A48" s="280">
        <v>20</v>
      </c>
      <c r="B48" s="274">
        <v>11</v>
      </c>
      <c r="C48" s="278" t="s">
        <v>17</v>
      </c>
      <c r="D48" s="275" t="s">
        <v>434</v>
      </c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</row>
    <row r="49" spans="1:27">
      <c r="A49" s="280"/>
      <c r="B49" s="274"/>
      <c r="C49" s="278"/>
      <c r="D49" s="275">
        <v>0.14258999999999999</v>
      </c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</row>
    <row r="50" spans="1:27">
      <c r="A50" s="280"/>
      <c r="B50" s="274"/>
      <c r="C50" s="278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</row>
    <row r="51" spans="1:27">
      <c r="A51" s="280">
        <v>21</v>
      </c>
      <c r="B51" s="274">
        <v>12</v>
      </c>
      <c r="C51" s="278" t="s">
        <v>329</v>
      </c>
      <c r="D51" s="275" t="s">
        <v>434</v>
      </c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</row>
    <row r="52" spans="1:27">
      <c r="A52" s="280"/>
      <c r="B52" s="274"/>
      <c r="C52" s="278"/>
      <c r="D52" s="275">
        <v>0.1303</v>
      </c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</row>
    <row r="53" spans="1:27">
      <c r="A53" s="280"/>
      <c r="B53" s="274"/>
      <c r="C53" s="278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</row>
    <row r="54" spans="1:27">
      <c r="A54" s="280">
        <v>22</v>
      </c>
      <c r="B54" s="274">
        <v>13</v>
      </c>
      <c r="C54" s="278" t="s">
        <v>18</v>
      </c>
      <c r="D54" s="275" t="s">
        <v>434</v>
      </c>
      <c r="E54" s="275" t="s">
        <v>435</v>
      </c>
      <c r="F54" s="275" t="s">
        <v>436</v>
      </c>
      <c r="G54" s="275" t="s">
        <v>437</v>
      </c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</row>
    <row r="55" spans="1:27">
      <c r="A55" s="280"/>
      <c r="B55" s="274"/>
      <c r="C55" s="278"/>
      <c r="D55" s="275">
        <v>0.11992999999999999</v>
      </c>
      <c r="E55" s="275">
        <v>0.61777000000000004</v>
      </c>
      <c r="F55" s="275">
        <v>0.59855999999999998</v>
      </c>
      <c r="G55" s="275">
        <v>0.60065000000000002</v>
      </c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</row>
    <row r="56" spans="1:27">
      <c r="A56" s="280"/>
      <c r="B56" s="274"/>
      <c r="C56" s="278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</row>
    <row r="57" spans="1:27">
      <c r="A57" s="280">
        <v>23</v>
      </c>
      <c r="B57" s="274">
        <v>13</v>
      </c>
      <c r="C57" s="278" t="s">
        <v>330</v>
      </c>
      <c r="D57" s="275" t="s">
        <v>434</v>
      </c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</row>
    <row r="58" spans="1:27">
      <c r="A58" s="280"/>
      <c r="B58" s="274"/>
      <c r="C58" s="278"/>
      <c r="D58" s="275">
        <v>0.11992999999999999</v>
      </c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</row>
    <row r="59" spans="1:27">
      <c r="A59" s="280"/>
      <c r="B59" s="274"/>
      <c r="C59" s="278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</row>
    <row r="60" spans="1:27">
      <c r="A60" s="280">
        <v>24</v>
      </c>
      <c r="B60" s="274">
        <v>14</v>
      </c>
      <c r="C60" s="278" t="s">
        <v>19</v>
      </c>
      <c r="D60" s="275" t="s">
        <v>434</v>
      </c>
      <c r="E60" s="275" t="s">
        <v>435</v>
      </c>
      <c r="F60" s="275" t="s">
        <v>436</v>
      </c>
      <c r="G60" s="275" t="s">
        <v>437</v>
      </c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</row>
    <row r="61" spans="1:27">
      <c r="A61" s="280"/>
      <c r="B61" s="274"/>
      <c r="C61" s="278"/>
      <c r="D61" s="275">
        <v>0.11107</v>
      </c>
      <c r="E61" s="275">
        <v>0.56066000000000005</v>
      </c>
      <c r="F61" s="275">
        <v>0.5333</v>
      </c>
      <c r="G61" s="275">
        <v>0.53539000000000003</v>
      </c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</row>
    <row r="62" spans="1:27">
      <c r="A62" s="280"/>
      <c r="B62" s="274"/>
      <c r="C62" s="278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</row>
    <row r="63" spans="1:27">
      <c r="A63" s="280">
        <v>25</v>
      </c>
      <c r="B63" s="274">
        <v>14</v>
      </c>
      <c r="C63" s="278" t="s">
        <v>20</v>
      </c>
      <c r="D63" s="275" t="s">
        <v>434</v>
      </c>
      <c r="E63" s="275" t="s">
        <v>435</v>
      </c>
      <c r="F63" s="275" t="s">
        <v>436</v>
      </c>
      <c r="G63" s="275" t="s">
        <v>437</v>
      </c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</row>
    <row r="64" spans="1:27">
      <c r="A64" s="280"/>
      <c r="B64" s="274"/>
      <c r="C64" s="278"/>
      <c r="D64" s="275">
        <v>0.11107</v>
      </c>
      <c r="E64" s="275">
        <v>0.55993999999999999</v>
      </c>
      <c r="F64" s="275">
        <v>0.53276999999999997</v>
      </c>
      <c r="G64" s="275">
        <v>0.53485000000000005</v>
      </c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</row>
    <row r="65" spans="1:27">
      <c r="A65" s="280"/>
      <c r="B65" s="274"/>
      <c r="C65" s="278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</row>
    <row r="66" spans="1:27">
      <c r="A66" s="280">
        <v>26</v>
      </c>
      <c r="B66" s="274">
        <v>14</v>
      </c>
      <c r="C66" s="278" t="s">
        <v>21</v>
      </c>
      <c r="D66" s="275" t="s">
        <v>434</v>
      </c>
      <c r="E66" s="275" t="s">
        <v>435</v>
      </c>
      <c r="F66" s="275" t="s">
        <v>436</v>
      </c>
      <c r="G66" s="275" t="s">
        <v>437</v>
      </c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</row>
    <row r="67" spans="1:27">
      <c r="A67" s="280"/>
      <c r="B67" s="274"/>
      <c r="C67" s="278"/>
      <c r="D67" s="275">
        <v>0.11107</v>
      </c>
      <c r="E67" s="275">
        <v>0.55981999999999998</v>
      </c>
      <c r="F67" s="275">
        <v>0.53103</v>
      </c>
      <c r="G67" s="275">
        <v>0.53308</v>
      </c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</row>
    <row r="68" spans="1:27">
      <c r="A68" s="280"/>
      <c r="B68" s="274"/>
      <c r="C68" s="278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</row>
    <row r="69" spans="1:27">
      <c r="A69" s="280">
        <v>27</v>
      </c>
      <c r="B69" s="274">
        <v>14</v>
      </c>
      <c r="C69" s="278" t="s">
        <v>22</v>
      </c>
      <c r="D69" s="275" t="s">
        <v>434</v>
      </c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</row>
    <row r="70" spans="1:27">
      <c r="A70" s="280"/>
      <c r="B70" s="274"/>
      <c r="C70" s="278"/>
      <c r="D70" s="275">
        <v>0.11107</v>
      </c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</row>
    <row r="71" spans="1:27">
      <c r="A71" s="280"/>
      <c r="B71" s="274"/>
      <c r="C71" s="278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</row>
    <row r="72" spans="1:27">
      <c r="A72" s="280">
        <v>28</v>
      </c>
      <c r="B72" s="274">
        <v>14</v>
      </c>
      <c r="C72" s="278" t="s">
        <v>463</v>
      </c>
      <c r="D72" s="275" t="s">
        <v>464</v>
      </c>
      <c r="E72" s="275" t="s">
        <v>435</v>
      </c>
      <c r="F72" s="275" t="s">
        <v>436</v>
      </c>
      <c r="G72" s="275" t="s">
        <v>437</v>
      </c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</row>
    <row r="73" spans="1:27">
      <c r="A73" s="280"/>
      <c r="B73" s="274"/>
      <c r="C73" s="278"/>
      <c r="D73" s="275">
        <v>0.11108</v>
      </c>
      <c r="E73" s="275">
        <v>0.56162000000000001</v>
      </c>
      <c r="F73" s="275">
        <v>0.53271000000000002</v>
      </c>
      <c r="G73" s="275">
        <v>0.53478999999999999</v>
      </c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</row>
    <row r="74" spans="1:27">
      <c r="A74" s="280"/>
      <c r="B74" s="274"/>
      <c r="C74" s="278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</row>
    <row r="75" spans="1:27">
      <c r="A75" s="280">
        <v>29</v>
      </c>
      <c r="B75" s="274">
        <v>15</v>
      </c>
      <c r="C75" s="278" t="s">
        <v>23</v>
      </c>
      <c r="D75" s="275" t="s">
        <v>434</v>
      </c>
      <c r="E75" s="275" t="s">
        <v>435</v>
      </c>
      <c r="F75" s="275" t="s">
        <v>436</v>
      </c>
      <c r="G75" s="275" t="s">
        <v>437</v>
      </c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</row>
    <row r="76" spans="1:27">
      <c r="A76" s="280"/>
      <c r="B76" s="274"/>
      <c r="C76" s="278"/>
      <c r="D76" s="275">
        <v>0.10342</v>
      </c>
      <c r="E76" s="275">
        <v>0.51332</v>
      </c>
      <c r="F76" s="275">
        <v>0.48126000000000002</v>
      </c>
      <c r="G76" s="275">
        <v>0.48337999999999998</v>
      </c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</row>
    <row r="77" spans="1:27">
      <c r="A77" s="280"/>
      <c r="B77" s="274"/>
      <c r="C77" s="278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</row>
    <row r="78" spans="1:27">
      <c r="A78" s="280">
        <v>30</v>
      </c>
      <c r="B78" s="274">
        <v>15</v>
      </c>
      <c r="C78" s="278" t="s">
        <v>24</v>
      </c>
      <c r="D78" s="275" t="s">
        <v>434</v>
      </c>
      <c r="E78" s="275" t="s">
        <v>435</v>
      </c>
      <c r="F78" s="275" t="s">
        <v>436</v>
      </c>
      <c r="G78" s="275" t="s">
        <v>437</v>
      </c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</row>
    <row r="79" spans="1:27">
      <c r="A79" s="280"/>
      <c r="B79" s="274"/>
      <c r="C79" s="278"/>
      <c r="D79" s="275">
        <v>0.10342</v>
      </c>
      <c r="E79" s="275">
        <v>0.51275000000000004</v>
      </c>
      <c r="F79" s="275">
        <v>0.48086000000000001</v>
      </c>
      <c r="G79" s="275">
        <v>0.48297000000000001</v>
      </c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</row>
    <row r="80" spans="1:27">
      <c r="A80" s="280"/>
      <c r="B80" s="274"/>
      <c r="C80" s="278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</row>
    <row r="81" spans="1:27">
      <c r="A81" s="280">
        <v>31</v>
      </c>
      <c r="B81" s="274">
        <v>15</v>
      </c>
      <c r="C81" s="278" t="s">
        <v>25</v>
      </c>
      <c r="D81" s="275" t="s">
        <v>434</v>
      </c>
      <c r="E81" s="275" t="s">
        <v>435</v>
      </c>
      <c r="F81" s="275" t="s">
        <v>436</v>
      </c>
      <c r="G81" s="275" t="s">
        <v>437</v>
      </c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</row>
    <row r="82" spans="1:27">
      <c r="A82" s="280"/>
      <c r="B82" s="274"/>
      <c r="C82" s="278"/>
      <c r="D82" s="275">
        <v>0.10341</v>
      </c>
      <c r="E82" s="275">
        <v>0.51188</v>
      </c>
      <c r="F82" s="275">
        <v>0.48011999999999999</v>
      </c>
      <c r="G82" s="275">
        <v>0.48221999999999998</v>
      </c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</row>
    <row r="83" spans="1:27">
      <c r="A83" s="280"/>
      <c r="B83" s="274"/>
      <c r="C83" s="278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</row>
    <row r="84" spans="1:27">
      <c r="A84" s="280">
        <v>32</v>
      </c>
      <c r="B84" s="274">
        <v>15</v>
      </c>
      <c r="C84" s="278" t="s">
        <v>26</v>
      </c>
      <c r="D84" s="275" t="s">
        <v>434</v>
      </c>
      <c r="E84" s="275" t="s">
        <v>435</v>
      </c>
      <c r="F84" s="275" t="s">
        <v>436</v>
      </c>
      <c r="G84" s="275" t="s">
        <v>437</v>
      </c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</row>
    <row r="85" spans="1:27">
      <c r="A85" s="280"/>
      <c r="B85" s="274"/>
      <c r="C85" s="278"/>
      <c r="D85" s="275">
        <v>0.10341</v>
      </c>
      <c r="E85" s="275">
        <v>0.51171999999999995</v>
      </c>
      <c r="F85" s="275">
        <v>0.47849999999999998</v>
      </c>
      <c r="G85" s="275">
        <v>0.48057</v>
      </c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</row>
    <row r="86" spans="1:27">
      <c r="A86" s="280"/>
      <c r="B86" s="274"/>
      <c r="C86" s="278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</row>
    <row r="87" spans="1:27">
      <c r="A87" s="280">
        <v>33</v>
      </c>
      <c r="B87" s="274">
        <v>15</v>
      </c>
      <c r="C87" s="278" t="s">
        <v>27</v>
      </c>
      <c r="D87" s="275" t="s">
        <v>434</v>
      </c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</row>
    <row r="88" spans="1:27">
      <c r="A88" s="280"/>
      <c r="B88" s="274"/>
      <c r="C88" s="278"/>
      <c r="D88" s="275">
        <v>0.10341</v>
      </c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</row>
    <row r="89" spans="1:27">
      <c r="A89" s="280"/>
      <c r="B89" s="274"/>
      <c r="C89" s="278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</row>
    <row r="90" spans="1:27">
      <c r="A90" s="280">
        <v>34</v>
      </c>
      <c r="B90" s="274">
        <v>16</v>
      </c>
      <c r="C90" s="278" t="s">
        <v>28</v>
      </c>
      <c r="D90" s="275" t="s">
        <v>434</v>
      </c>
      <c r="E90" s="275" t="s">
        <v>435</v>
      </c>
      <c r="F90" s="275" t="s">
        <v>436</v>
      </c>
      <c r="G90" s="275" t="s">
        <v>437</v>
      </c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</row>
    <row r="91" spans="1:27">
      <c r="A91" s="280"/>
      <c r="B91" s="274"/>
      <c r="C91" s="278"/>
      <c r="D91" s="275">
        <v>9.6740000000000007E-2</v>
      </c>
      <c r="E91" s="275">
        <v>0.47341</v>
      </c>
      <c r="F91" s="275">
        <v>0.43869000000000002</v>
      </c>
      <c r="G91" s="275">
        <v>0.44085000000000002</v>
      </c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</row>
    <row r="92" spans="1:27">
      <c r="A92" s="280"/>
      <c r="B92" s="274"/>
      <c r="C92" s="278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</row>
    <row r="93" spans="1:27">
      <c r="A93" s="280">
        <v>35</v>
      </c>
      <c r="B93" s="274">
        <v>16</v>
      </c>
      <c r="C93" s="278" t="s">
        <v>29</v>
      </c>
      <c r="D93" s="275" t="s">
        <v>434</v>
      </c>
      <c r="E93" s="275" t="s">
        <v>435</v>
      </c>
      <c r="F93" s="275" t="s">
        <v>436</v>
      </c>
      <c r="G93" s="275" t="s">
        <v>437</v>
      </c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</row>
    <row r="94" spans="1:27">
      <c r="A94" s="280"/>
      <c r="B94" s="274"/>
      <c r="C94" s="278"/>
      <c r="D94" s="275">
        <v>9.6740000000000007E-2</v>
      </c>
      <c r="E94" s="275">
        <v>0.47294999999999998</v>
      </c>
      <c r="F94" s="275">
        <v>0.43836999999999998</v>
      </c>
      <c r="G94" s="275">
        <v>0.44052999999999998</v>
      </c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</row>
    <row r="95" spans="1:27">
      <c r="A95" s="280"/>
      <c r="B95" s="274"/>
      <c r="C95" s="278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</row>
    <row r="96" spans="1:27">
      <c r="A96" s="280">
        <v>36</v>
      </c>
      <c r="B96" s="274">
        <v>16</v>
      </c>
      <c r="C96" s="278" t="s">
        <v>30</v>
      </c>
      <c r="D96" s="275" t="s">
        <v>434</v>
      </c>
      <c r="E96" s="275" t="s">
        <v>435</v>
      </c>
      <c r="F96" s="275" t="s">
        <v>436</v>
      </c>
      <c r="G96" s="275" t="s">
        <v>437</v>
      </c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</row>
    <row r="97" spans="1:27">
      <c r="A97" s="280"/>
      <c r="B97" s="274"/>
      <c r="C97" s="278"/>
      <c r="D97" s="275">
        <v>9.6729999999999997E-2</v>
      </c>
      <c r="E97" s="275">
        <v>0.47226000000000001</v>
      </c>
      <c r="F97" s="275">
        <v>0.43781999999999999</v>
      </c>
      <c r="G97" s="275">
        <v>0.43997000000000003</v>
      </c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</row>
    <row r="98" spans="1:27">
      <c r="A98" s="280"/>
      <c r="B98" s="274"/>
      <c r="C98" s="278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</row>
    <row r="99" spans="1:27">
      <c r="A99" s="280">
        <v>37</v>
      </c>
      <c r="B99" s="274">
        <v>16</v>
      </c>
      <c r="C99" s="278" t="s">
        <v>31</v>
      </c>
      <c r="D99" s="275" t="s">
        <v>434</v>
      </c>
      <c r="E99" s="275" t="s">
        <v>435</v>
      </c>
      <c r="F99" s="275" t="s">
        <v>436</v>
      </c>
      <c r="G99" s="275" t="s">
        <v>437</v>
      </c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</row>
    <row r="100" spans="1:27">
      <c r="A100" s="280"/>
      <c r="B100" s="274"/>
      <c r="C100" s="278"/>
      <c r="D100" s="275">
        <v>9.672E-2</v>
      </c>
      <c r="E100" s="275">
        <v>0.47133000000000003</v>
      </c>
      <c r="F100" s="275">
        <v>0.437</v>
      </c>
      <c r="G100" s="275">
        <v>0.43913000000000002</v>
      </c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</row>
    <row r="101" spans="1:27">
      <c r="A101" s="280"/>
      <c r="B101" s="274"/>
      <c r="C101" s="278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</row>
    <row r="102" spans="1:27">
      <c r="A102" s="280">
        <v>38</v>
      </c>
      <c r="B102" s="274">
        <v>16</v>
      </c>
      <c r="C102" s="278" t="s">
        <v>32</v>
      </c>
      <c r="D102" s="275" t="s">
        <v>434</v>
      </c>
      <c r="E102" s="275" t="s">
        <v>435</v>
      </c>
      <c r="F102" s="275" t="s">
        <v>436</v>
      </c>
      <c r="G102" s="275" t="s">
        <v>437</v>
      </c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</row>
    <row r="103" spans="1:27">
      <c r="A103" s="280"/>
      <c r="B103" s="274"/>
      <c r="C103" s="278"/>
      <c r="D103" s="275">
        <v>9.672E-2</v>
      </c>
      <c r="E103" s="275">
        <v>0.47114</v>
      </c>
      <c r="F103" s="275">
        <v>0.43552000000000002</v>
      </c>
      <c r="G103" s="275">
        <v>0.43763000000000002</v>
      </c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</row>
    <row r="104" spans="1:27">
      <c r="A104" s="280"/>
      <c r="B104" s="274"/>
      <c r="C104" s="278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</row>
    <row r="105" spans="1:27">
      <c r="A105" s="280">
        <v>39</v>
      </c>
      <c r="B105" s="274">
        <v>16</v>
      </c>
      <c r="C105" s="278" t="s">
        <v>33</v>
      </c>
      <c r="D105" s="275" t="s">
        <v>434</v>
      </c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</row>
    <row r="106" spans="1:27">
      <c r="A106" s="280"/>
      <c r="B106" s="274"/>
      <c r="C106" s="278"/>
      <c r="D106" s="275">
        <v>9.672E-2</v>
      </c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</row>
    <row r="107" spans="1:27">
      <c r="A107" s="280"/>
      <c r="B107" s="274"/>
      <c r="C107" s="278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</row>
    <row r="108" spans="1:27">
      <c r="A108" s="280">
        <v>40</v>
      </c>
      <c r="B108" s="274">
        <v>17</v>
      </c>
      <c r="C108" s="278" t="s">
        <v>34</v>
      </c>
      <c r="D108" s="275" t="s">
        <v>434</v>
      </c>
      <c r="E108" s="275" t="s">
        <v>435</v>
      </c>
      <c r="F108" s="275" t="s">
        <v>436</v>
      </c>
      <c r="G108" s="275" t="s">
        <v>437</v>
      </c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</row>
    <row r="109" spans="1:27">
      <c r="A109" s="280"/>
      <c r="B109" s="274"/>
      <c r="C109" s="278"/>
      <c r="D109" s="275">
        <v>9.0859999999999996E-2</v>
      </c>
      <c r="E109" s="275">
        <v>0.43929000000000001</v>
      </c>
      <c r="F109" s="275">
        <v>0.40314</v>
      </c>
      <c r="G109" s="275">
        <v>0.40537000000000001</v>
      </c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</row>
    <row r="110" spans="1:27">
      <c r="A110" s="280"/>
      <c r="B110" s="274"/>
      <c r="C110" s="278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</row>
    <row r="111" spans="1:27">
      <c r="A111" s="280">
        <v>41</v>
      </c>
      <c r="B111" s="274">
        <v>17</v>
      </c>
      <c r="C111" s="278" t="s">
        <v>35</v>
      </c>
      <c r="D111" s="275" t="s">
        <v>434</v>
      </c>
      <c r="E111" s="275" t="s">
        <v>435</v>
      </c>
      <c r="F111" s="275" t="s">
        <v>436</v>
      </c>
      <c r="G111" s="275" t="s">
        <v>437</v>
      </c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</row>
    <row r="112" spans="1:27">
      <c r="A112" s="280"/>
      <c r="B112" s="274"/>
      <c r="C112" s="278"/>
      <c r="D112" s="275">
        <v>9.0859999999999996E-2</v>
      </c>
      <c r="E112" s="275">
        <v>0.43891000000000002</v>
      </c>
      <c r="F112" s="275">
        <v>0.40289000000000003</v>
      </c>
      <c r="G112" s="275">
        <v>0.40511000000000003</v>
      </c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</row>
    <row r="113" spans="1:27">
      <c r="A113" s="280"/>
      <c r="B113" s="274"/>
      <c r="C113" s="278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</row>
    <row r="114" spans="1:27">
      <c r="A114" s="280">
        <v>42</v>
      </c>
      <c r="B114" s="274">
        <v>17</v>
      </c>
      <c r="C114" s="278" t="s">
        <v>36</v>
      </c>
      <c r="D114" s="275" t="s">
        <v>434</v>
      </c>
      <c r="E114" s="275" t="s">
        <v>435</v>
      </c>
      <c r="F114" s="275" t="s">
        <v>436</v>
      </c>
      <c r="G114" s="275" t="s">
        <v>437</v>
      </c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</row>
    <row r="115" spans="1:27">
      <c r="A115" s="280"/>
      <c r="B115" s="274"/>
      <c r="C115" s="278"/>
      <c r="D115" s="275">
        <v>9.085E-2</v>
      </c>
      <c r="E115" s="275">
        <v>0.43836000000000003</v>
      </c>
      <c r="F115" s="275">
        <v>0.40245999999999998</v>
      </c>
      <c r="G115" s="275">
        <v>0.40466999999999997</v>
      </c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</row>
    <row r="116" spans="1:27">
      <c r="A116" s="280"/>
      <c r="B116" s="274"/>
      <c r="C116" s="278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</row>
    <row r="117" spans="1:27">
      <c r="A117" s="280">
        <v>43</v>
      </c>
      <c r="B117" s="274">
        <v>17</v>
      </c>
      <c r="C117" s="278" t="s">
        <v>37</v>
      </c>
      <c r="D117" s="275" t="s">
        <v>434</v>
      </c>
      <c r="E117" s="275" t="s">
        <v>435</v>
      </c>
      <c r="F117" s="275" t="s">
        <v>436</v>
      </c>
      <c r="G117" s="275" t="s">
        <v>437</v>
      </c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</row>
    <row r="118" spans="1:27">
      <c r="A118" s="280"/>
      <c r="B118" s="274"/>
      <c r="C118" s="278"/>
      <c r="D118" s="275">
        <v>9.0840000000000004E-2</v>
      </c>
      <c r="E118" s="275">
        <v>0.43761</v>
      </c>
      <c r="F118" s="275">
        <v>0.40183999999999997</v>
      </c>
      <c r="G118" s="275">
        <v>0.40404000000000001</v>
      </c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</row>
    <row r="119" spans="1:27">
      <c r="A119" s="280"/>
      <c r="B119" s="274"/>
      <c r="C119" s="278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</row>
    <row r="120" spans="1:27">
      <c r="A120" s="280">
        <v>44</v>
      </c>
      <c r="B120" s="274">
        <v>17</v>
      </c>
      <c r="C120" s="278" t="s">
        <v>38</v>
      </c>
      <c r="D120" s="275" t="s">
        <v>434</v>
      </c>
      <c r="E120" s="275" t="s">
        <v>435</v>
      </c>
      <c r="F120" s="275" t="s">
        <v>436</v>
      </c>
      <c r="G120" s="275" t="s">
        <v>437</v>
      </c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</row>
    <row r="121" spans="1:27">
      <c r="A121" s="280"/>
      <c r="B121" s="274"/>
      <c r="C121" s="278"/>
      <c r="D121" s="275">
        <v>9.0829999999999994E-2</v>
      </c>
      <c r="E121" s="275">
        <v>0.43665999999999999</v>
      </c>
      <c r="F121" s="275">
        <v>0.40100000000000002</v>
      </c>
      <c r="G121" s="275">
        <v>0.40317999999999998</v>
      </c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</row>
    <row r="122" spans="1:27">
      <c r="A122" s="280"/>
      <c r="B122" s="274"/>
      <c r="C122" s="278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</row>
    <row r="123" spans="1:27">
      <c r="A123" s="280">
        <v>45</v>
      </c>
      <c r="B123" s="274">
        <v>17</v>
      </c>
      <c r="C123" s="278" t="s">
        <v>39</v>
      </c>
      <c r="D123" s="275" t="s">
        <v>434</v>
      </c>
      <c r="E123" s="275" t="s">
        <v>435</v>
      </c>
      <c r="F123" s="275" t="s">
        <v>436</v>
      </c>
      <c r="G123" s="275" t="s">
        <v>437</v>
      </c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</row>
    <row r="124" spans="1:27">
      <c r="A124" s="280"/>
      <c r="B124" s="274"/>
      <c r="C124" s="278"/>
      <c r="D124" s="275">
        <v>9.0829999999999994E-2</v>
      </c>
      <c r="E124" s="275">
        <v>0.43645</v>
      </c>
      <c r="F124" s="275">
        <v>0.39967000000000003</v>
      </c>
      <c r="G124" s="275">
        <v>0.40183000000000002</v>
      </c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</row>
    <row r="125" spans="1:27">
      <c r="A125" s="280"/>
      <c r="B125" s="274"/>
      <c r="C125" s="278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</row>
    <row r="126" spans="1:27">
      <c r="A126" s="280">
        <v>46</v>
      </c>
      <c r="B126" s="274">
        <v>17</v>
      </c>
      <c r="C126" s="278" t="s">
        <v>40</v>
      </c>
      <c r="D126" s="275" t="s">
        <v>434</v>
      </c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</row>
    <row r="127" spans="1:27">
      <c r="A127" s="280"/>
      <c r="B127" s="274"/>
      <c r="C127" s="278"/>
      <c r="D127" s="275">
        <v>9.0819999999999998E-2</v>
      </c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</row>
    <row r="128" spans="1:27">
      <c r="A128" s="280"/>
      <c r="B128" s="274"/>
      <c r="C128" s="278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</row>
    <row r="129" spans="1:27">
      <c r="A129" s="280">
        <v>47</v>
      </c>
      <c r="B129" s="274">
        <v>17</v>
      </c>
      <c r="C129" s="278" t="s">
        <v>332</v>
      </c>
      <c r="D129" s="275" t="s">
        <v>434</v>
      </c>
      <c r="E129" s="275" t="s">
        <v>435</v>
      </c>
      <c r="F129" s="275" t="s">
        <v>436</v>
      </c>
      <c r="G129" s="275" t="s">
        <v>437</v>
      </c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</row>
    <row r="130" spans="1:27">
      <c r="A130" s="280"/>
      <c r="B130" s="274"/>
      <c r="C130" s="278"/>
      <c r="D130" s="275">
        <v>9.0859999999999996E-2</v>
      </c>
      <c r="E130" s="275">
        <v>0.43958999999999998</v>
      </c>
      <c r="F130" s="275">
        <v>0.40322000000000002</v>
      </c>
      <c r="G130" s="275">
        <v>0.40545999999999999</v>
      </c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</row>
    <row r="131" spans="1:27">
      <c r="A131" s="280"/>
      <c r="B131" s="274"/>
      <c r="C131" s="278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</row>
    <row r="132" spans="1:27">
      <c r="A132" s="280">
        <v>48</v>
      </c>
      <c r="B132" s="274">
        <v>19</v>
      </c>
      <c r="C132" s="278" t="s">
        <v>41</v>
      </c>
      <c r="D132" s="275" t="s">
        <v>434</v>
      </c>
      <c r="E132" s="275" t="s">
        <v>435</v>
      </c>
      <c r="F132" s="275" t="s">
        <v>436</v>
      </c>
      <c r="G132" s="275" t="s">
        <v>437</v>
      </c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</row>
    <row r="133" spans="1:27">
      <c r="A133" s="280"/>
      <c r="B133" s="274"/>
      <c r="C133" s="278"/>
      <c r="D133" s="275">
        <v>8.0979999999999996E-2</v>
      </c>
      <c r="E133" s="275">
        <v>0.38396000000000002</v>
      </c>
      <c r="F133" s="275">
        <v>0.34704000000000002</v>
      </c>
      <c r="G133" s="275">
        <v>0.34941</v>
      </c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</row>
    <row r="134" spans="1:27">
      <c r="A134" s="280"/>
      <c r="B134" s="274"/>
      <c r="C134" s="278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</row>
    <row r="135" spans="1:27">
      <c r="A135" s="280">
        <v>49</v>
      </c>
      <c r="B135" s="274">
        <v>20</v>
      </c>
      <c r="C135" s="278" t="s">
        <v>333</v>
      </c>
      <c r="D135" s="275" t="s">
        <v>434</v>
      </c>
      <c r="E135" s="275" t="s">
        <v>435</v>
      </c>
      <c r="F135" s="275" t="s">
        <v>436</v>
      </c>
      <c r="G135" s="275" t="s">
        <v>437</v>
      </c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</row>
    <row r="136" spans="1:27">
      <c r="A136" s="280"/>
      <c r="B136" s="274"/>
      <c r="C136" s="278"/>
      <c r="D136" s="275">
        <v>7.6789999999999997E-2</v>
      </c>
      <c r="E136" s="275">
        <v>0.36098000000000002</v>
      </c>
      <c r="F136" s="275">
        <v>0.32434000000000002</v>
      </c>
      <c r="G136" s="275">
        <v>0.32678000000000001</v>
      </c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</row>
    <row r="137" spans="1:27">
      <c r="A137" s="280"/>
      <c r="B137" s="274"/>
      <c r="C137" s="278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</row>
    <row r="138" spans="1:27">
      <c r="A138" s="280">
        <v>50</v>
      </c>
      <c r="B138" s="274">
        <v>21</v>
      </c>
      <c r="C138" s="278" t="s">
        <v>42</v>
      </c>
      <c r="D138" s="275" t="s">
        <v>434</v>
      </c>
      <c r="E138" s="275" t="s">
        <v>435</v>
      </c>
      <c r="F138" s="275" t="s">
        <v>436</v>
      </c>
      <c r="G138" s="275" t="s">
        <v>437</v>
      </c>
      <c r="H138" s="275" t="s">
        <v>438</v>
      </c>
      <c r="I138" s="275" t="s">
        <v>439</v>
      </c>
      <c r="J138" s="275" t="s">
        <v>440</v>
      </c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</row>
    <row r="139" spans="1:27">
      <c r="A139" s="280"/>
      <c r="B139" s="274"/>
      <c r="C139" s="278"/>
      <c r="D139" s="275">
        <v>7.2989999999999999E-2</v>
      </c>
      <c r="E139" s="275">
        <v>0.34051999999999999</v>
      </c>
      <c r="F139" s="275">
        <v>0.30446000000000001</v>
      </c>
      <c r="G139" s="275">
        <v>0.30697999999999998</v>
      </c>
      <c r="H139" s="275">
        <v>1.07375</v>
      </c>
      <c r="I139" s="275">
        <v>1.1657</v>
      </c>
      <c r="J139" s="275">
        <v>1.17313</v>
      </c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</row>
    <row r="140" spans="1:27">
      <c r="A140" s="280"/>
      <c r="B140" s="274"/>
      <c r="C140" s="278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</row>
    <row r="141" spans="1:27">
      <c r="A141" s="280">
        <v>51</v>
      </c>
      <c r="B141" s="274">
        <v>21</v>
      </c>
      <c r="C141" s="278" t="s">
        <v>43</v>
      </c>
      <c r="D141" s="275" t="s">
        <v>434</v>
      </c>
      <c r="E141" s="275" t="s">
        <v>435</v>
      </c>
      <c r="F141" s="275" t="s">
        <v>436</v>
      </c>
      <c r="G141" s="275" t="s">
        <v>437</v>
      </c>
      <c r="H141" s="275" t="s">
        <v>438</v>
      </c>
      <c r="I141" s="275" t="s">
        <v>439</v>
      </c>
      <c r="J141" s="275" t="s">
        <v>440</v>
      </c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</row>
    <row r="142" spans="1:27">
      <c r="A142" s="280"/>
      <c r="B142" s="274"/>
      <c r="C142" s="278"/>
      <c r="D142" s="275">
        <v>7.2989999999999999E-2</v>
      </c>
      <c r="E142" s="275">
        <v>0.34053</v>
      </c>
      <c r="F142" s="275">
        <v>0.30443999999999999</v>
      </c>
      <c r="G142" s="275">
        <v>0.30696000000000001</v>
      </c>
      <c r="H142" s="275">
        <v>1.0745</v>
      </c>
      <c r="I142" s="275">
        <v>1.1618299999999999</v>
      </c>
      <c r="J142" s="275">
        <v>1.16906</v>
      </c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</row>
    <row r="143" spans="1:27">
      <c r="A143" s="280"/>
      <c r="B143" s="274"/>
      <c r="C143" s="278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</row>
    <row r="144" spans="1:27">
      <c r="A144" s="280">
        <v>52</v>
      </c>
      <c r="B144" s="274">
        <v>21</v>
      </c>
      <c r="C144" s="278" t="s">
        <v>44</v>
      </c>
      <c r="D144" s="275" t="s">
        <v>434</v>
      </c>
      <c r="E144" s="275" t="s">
        <v>435</v>
      </c>
      <c r="F144" s="275" t="s">
        <v>436</v>
      </c>
      <c r="G144" s="275" t="s">
        <v>437</v>
      </c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</row>
    <row r="145" spans="1:27">
      <c r="A145" s="280"/>
      <c r="B145" s="274"/>
      <c r="C145" s="278"/>
      <c r="D145" s="275">
        <v>7.2999999999999995E-2</v>
      </c>
      <c r="E145" s="275">
        <v>0.34050000000000002</v>
      </c>
      <c r="F145" s="275">
        <v>0.30436000000000002</v>
      </c>
      <c r="G145" s="275">
        <v>0.30687999999999999</v>
      </c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</row>
    <row r="146" spans="1:27">
      <c r="A146" s="280"/>
      <c r="B146" s="274"/>
      <c r="C146" s="278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</row>
    <row r="147" spans="1:27">
      <c r="A147" s="280">
        <v>53</v>
      </c>
      <c r="B147" s="274">
        <v>22</v>
      </c>
      <c r="C147" s="278" t="s">
        <v>334</v>
      </c>
      <c r="D147" s="275" t="s">
        <v>434</v>
      </c>
      <c r="E147" s="275" t="s">
        <v>435</v>
      </c>
      <c r="F147" s="275" t="s">
        <v>436</v>
      </c>
      <c r="G147" s="275" t="s">
        <v>437</v>
      </c>
      <c r="H147" s="275" t="s">
        <v>438</v>
      </c>
      <c r="I147" s="275" t="s">
        <v>439</v>
      </c>
      <c r="J147" s="275" t="s">
        <v>440</v>
      </c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</row>
    <row r="148" spans="1:27">
      <c r="A148" s="280"/>
      <c r="B148" s="274"/>
      <c r="C148" s="278"/>
      <c r="D148" s="275">
        <v>6.9550000000000001E-2</v>
      </c>
      <c r="E148" s="275">
        <v>0.32227</v>
      </c>
      <c r="F148" s="275">
        <v>0.28683999999999998</v>
      </c>
      <c r="G148" s="275">
        <v>0.28944999999999999</v>
      </c>
      <c r="H148" s="275">
        <v>1.00742</v>
      </c>
      <c r="I148" s="275">
        <v>1.08168</v>
      </c>
      <c r="J148" s="275">
        <v>1.08914</v>
      </c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</row>
    <row r="149" spans="1:27">
      <c r="A149" s="280"/>
      <c r="B149" s="274"/>
      <c r="C149" s="278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</row>
    <row r="150" spans="1:27">
      <c r="A150" s="280">
        <v>54</v>
      </c>
      <c r="B150" s="274">
        <v>22</v>
      </c>
      <c r="C150" s="278" t="s">
        <v>45</v>
      </c>
      <c r="D150" s="275" t="s">
        <v>434</v>
      </c>
      <c r="E150" s="275" t="s">
        <v>435</v>
      </c>
      <c r="F150" s="275" t="s">
        <v>436</v>
      </c>
      <c r="G150" s="275" t="s">
        <v>437</v>
      </c>
      <c r="H150" s="275" t="s">
        <v>438</v>
      </c>
      <c r="I150" s="275" t="s">
        <v>439</v>
      </c>
      <c r="J150" s="275" t="s">
        <v>440</v>
      </c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</row>
    <row r="151" spans="1:27">
      <c r="A151" s="280"/>
      <c r="B151" s="274"/>
      <c r="C151" s="278"/>
      <c r="D151" s="275">
        <v>6.9550000000000001E-2</v>
      </c>
      <c r="E151" s="275">
        <v>0.32224000000000003</v>
      </c>
      <c r="F151" s="275">
        <v>0.28677999999999998</v>
      </c>
      <c r="G151" s="275">
        <v>0.28938999999999998</v>
      </c>
      <c r="H151" s="275">
        <v>0.99280999999999997</v>
      </c>
      <c r="I151" s="275">
        <v>1.0560700000000001</v>
      </c>
      <c r="J151" s="275">
        <v>1.06291</v>
      </c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</row>
    <row r="152" spans="1:27">
      <c r="A152" s="280"/>
      <c r="B152" s="274"/>
      <c r="C152" s="278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</row>
    <row r="153" spans="1:27">
      <c r="A153" s="280">
        <v>55</v>
      </c>
      <c r="B153" s="274">
        <v>22</v>
      </c>
      <c r="C153" s="278" t="s">
        <v>46</v>
      </c>
      <c r="D153" s="275" t="s">
        <v>434</v>
      </c>
      <c r="E153" s="275" t="s">
        <v>435</v>
      </c>
      <c r="F153" s="275" t="s">
        <v>436</v>
      </c>
      <c r="G153" s="275" t="s">
        <v>437</v>
      </c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</row>
    <row r="154" spans="1:27">
      <c r="A154" s="280"/>
      <c r="B154" s="274"/>
      <c r="C154" s="278"/>
      <c r="D154" s="275">
        <v>6.9559999999999997E-2</v>
      </c>
      <c r="E154" s="275">
        <v>0.32214999999999999</v>
      </c>
      <c r="F154" s="275">
        <v>0.28664000000000001</v>
      </c>
      <c r="G154" s="275">
        <v>0.28924</v>
      </c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</row>
    <row r="155" spans="1:27">
      <c r="A155" s="280"/>
      <c r="B155" s="274"/>
      <c r="C155" s="278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</row>
    <row r="156" spans="1:27">
      <c r="A156" s="280">
        <v>56</v>
      </c>
      <c r="B156" s="274">
        <v>23</v>
      </c>
      <c r="C156" s="278" t="s">
        <v>47</v>
      </c>
      <c r="D156" s="275" t="s">
        <v>434</v>
      </c>
      <c r="E156" s="275" t="s">
        <v>435</v>
      </c>
      <c r="F156" s="275" t="s">
        <v>436</v>
      </c>
      <c r="G156" s="275" t="s">
        <v>437</v>
      </c>
      <c r="H156" s="275" t="s">
        <v>438</v>
      </c>
      <c r="I156" s="275" t="s">
        <v>439</v>
      </c>
      <c r="J156" s="275" t="s">
        <v>440</v>
      </c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</row>
    <row r="157" spans="1:27">
      <c r="A157" s="280"/>
      <c r="B157" s="274"/>
      <c r="C157" s="278"/>
      <c r="D157" s="275">
        <v>6.6400000000000001E-2</v>
      </c>
      <c r="E157" s="275">
        <v>0.30582999999999999</v>
      </c>
      <c r="F157" s="275">
        <v>0.27116000000000001</v>
      </c>
      <c r="G157" s="275">
        <v>0.27385999999999999</v>
      </c>
      <c r="H157" s="275">
        <v>0.95679999999999998</v>
      </c>
      <c r="I157" s="275">
        <v>1.02816</v>
      </c>
      <c r="J157" s="275">
        <v>1.0364199999999999</v>
      </c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</row>
    <row r="158" spans="1:27">
      <c r="A158" s="280"/>
      <c r="B158" s="274"/>
      <c r="C158" s="278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</row>
    <row r="159" spans="1:27">
      <c r="A159" s="280">
        <v>57</v>
      </c>
      <c r="B159" s="274">
        <v>23</v>
      </c>
      <c r="C159" s="278" t="s">
        <v>48</v>
      </c>
      <c r="D159" s="275" t="s">
        <v>434</v>
      </c>
      <c r="E159" s="275" t="s">
        <v>435</v>
      </c>
      <c r="F159" s="275" t="s">
        <v>436</v>
      </c>
      <c r="G159" s="275" t="s">
        <v>437</v>
      </c>
      <c r="H159" s="275" t="s">
        <v>438</v>
      </c>
      <c r="I159" s="275" t="s">
        <v>439</v>
      </c>
      <c r="J159" s="275" t="s">
        <v>440</v>
      </c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</row>
    <row r="160" spans="1:27">
      <c r="A160" s="280"/>
      <c r="B160" s="274"/>
      <c r="C160" s="278"/>
      <c r="D160" s="275">
        <v>6.6400000000000001E-2</v>
      </c>
      <c r="E160" s="275">
        <v>0.30585000000000001</v>
      </c>
      <c r="F160" s="275">
        <v>0.27117000000000002</v>
      </c>
      <c r="G160" s="275">
        <v>0.27385999999999999</v>
      </c>
      <c r="H160" s="275">
        <v>0.94925999999999999</v>
      </c>
      <c r="I160" s="275">
        <v>1.01319</v>
      </c>
      <c r="J160" s="275">
        <v>1.02092</v>
      </c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</row>
    <row r="161" spans="1:27">
      <c r="A161" s="280"/>
      <c r="B161" s="274"/>
      <c r="C161" s="278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</row>
    <row r="162" spans="1:27">
      <c r="A162" s="280">
        <v>58</v>
      </c>
      <c r="B162" s="274">
        <v>23</v>
      </c>
      <c r="C162" s="278" t="s">
        <v>49</v>
      </c>
      <c r="D162" s="275" t="s">
        <v>434</v>
      </c>
      <c r="E162" s="275" t="s">
        <v>435</v>
      </c>
      <c r="F162" s="275" t="s">
        <v>436</v>
      </c>
      <c r="G162" s="275" t="s">
        <v>437</v>
      </c>
      <c r="H162" s="275" t="s">
        <v>438</v>
      </c>
      <c r="I162" s="275" t="s">
        <v>439</v>
      </c>
      <c r="J162" s="275" t="s">
        <v>440</v>
      </c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</row>
    <row r="163" spans="1:27">
      <c r="A163" s="280"/>
      <c r="B163" s="274"/>
      <c r="C163" s="278"/>
      <c r="D163" s="275">
        <v>6.6409999999999997E-2</v>
      </c>
      <c r="E163" s="275">
        <v>0.30582999999999999</v>
      </c>
      <c r="F163" s="275">
        <v>0.27112000000000003</v>
      </c>
      <c r="G163" s="275">
        <v>0.27382000000000001</v>
      </c>
      <c r="H163" s="275">
        <v>0.93711</v>
      </c>
      <c r="I163" s="275">
        <v>0.99202000000000001</v>
      </c>
      <c r="J163" s="275">
        <v>0.99917</v>
      </c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</row>
    <row r="164" spans="1:27">
      <c r="A164" s="280"/>
      <c r="B164" s="274"/>
      <c r="C164" s="278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</row>
    <row r="165" spans="1:27">
      <c r="A165" s="280">
        <v>59</v>
      </c>
      <c r="B165" s="274">
        <v>23</v>
      </c>
      <c r="C165" s="278" t="s">
        <v>50</v>
      </c>
      <c r="D165" s="275" t="s">
        <v>434</v>
      </c>
      <c r="E165" s="275" t="s">
        <v>435</v>
      </c>
      <c r="F165" s="275" t="s">
        <v>436</v>
      </c>
      <c r="G165" s="275" t="s">
        <v>437</v>
      </c>
      <c r="H165" s="275" t="s">
        <v>438</v>
      </c>
      <c r="I165" s="275" t="s">
        <v>439</v>
      </c>
      <c r="J165" s="275" t="s">
        <v>440</v>
      </c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</row>
    <row r="166" spans="1:27">
      <c r="A166" s="280"/>
      <c r="B166" s="274"/>
      <c r="C166" s="278"/>
      <c r="D166" s="275">
        <v>6.6409999999999997E-2</v>
      </c>
      <c r="E166" s="275">
        <v>0.30575999999999998</v>
      </c>
      <c r="F166" s="275">
        <v>0.27100999999999997</v>
      </c>
      <c r="G166" s="275">
        <v>0.2737</v>
      </c>
      <c r="H166" s="275">
        <v>0.92206999999999995</v>
      </c>
      <c r="I166" s="275">
        <v>0.96799999999999997</v>
      </c>
      <c r="J166" s="275">
        <v>0.97458</v>
      </c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</row>
    <row r="167" spans="1:27">
      <c r="A167" s="280"/>
      <c r="B167" s="274"/>
      <c r="C167" s="278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</row>
    <row r="168" spans="1:27">
      <c r="A168" s="280">
        <v>60</v>
      </c>
      <c r="B168" s="274">
        <v>23</v>
      </c>
      <c r="C168" s="278" t="s">
        <v>51</v>
      </c>
      <c r="D168" s="275" t="s">
        <v>434</v>
      </c>
      <c r="E168" s="275" t="s">
        <v>435</v>
      </c>
      <c r="F168" s="275" t="s">
        <v>436</v>
      </c>
      <c r="G168" s="275" t="s">
        <v>437</v>
      </c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</row>
    <row r="169" spans="1:27">
      <c r="A169" s="280"/>
      <c r="B169" s="274"/>
      <c r="C169" s="278"/>
      <c r="D169" s="275">
        <v>6.6409999999999997E-2</v>
      </c>
      <c r="E169" s="275">
        <v>0.30560999999999999</v>
      </c>
      <c r="F169" s="275">
        <v>0.27082000000000001</v>
      </c>
      <c r="G169" s="275">
        <v>0.27349000000000001</v>
      </c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</row>
    <row r="170" spans="1:27">
      <c r="A170" s="280"/>
      <c r="B170" s="274"/>
      <c r="C170" s="278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</row>
    <row r="171" spans="1:27">
      <c r="A171" s="280">
        <v>61</v>
      </c>
      <c r="B171" s="274">
        <v>24</v>
      </c>
      <c r="C171" s="278" t="s">
        <v>52</v>
      </c>
      <c r="D171" s="275" t="s">
        <v>434</v>
      </c>
      <c r="E171" s="275" t="s">
        <v>435</v>
      </c>
      <c r="F171" s="275" t="s">
        <v>436</v>
      </c>
      <c r="G171" s="275" t="s">
        <v>437</v>
      </c>
      <c r="H171" s="275" t="s">
        <v>438</v>
      </c>
      <c r="I171" s="275" t="s">
        <v>439</v>
      </c>
      <c r="J171" s="275" t="s">
        <v>440</v>
      </c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</row>
    <row r="172" spans="1:27">
      <c r="A172" s="280"/>
      <c r="B172" s="274"/>
      <c r="C172" s="278"/>
      <c r="D172" s="275">
        <v>6.3519999999999993E-2</v>
      </c>
      <c r="E172" s="275">
        <v>0.29099000000000003</v>
      </c>
      <c r="F172" s="275">
        <v>0.2571</v>
      </c>
      <c r="G172" s="275">
        <v>0.25989000000000001</v>
      </c>
      <c r="H172" s="275">
        <v>0.90454999999999997</v>
      </c>
      <c r="I172" s="275">
        <v>0.96633999999999998</v>
      </c>
      <c r="J172" s="275">
        <v>0.97487000000000001</v>
      </c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</row>
    <row r="173" spans="1:27">
      <c r="A173" s="280"/>
      <c r="B173" s="274"/>
      <c r="C173" s="278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</row>
    <row r="174" spans="1:27">
      <c r="A174" s="280">
        <v>62</v>
      </c>
      <c r="B174" s="274">
        <v>24</v>
      </c>
      <c r="C174" s="278" t="s">
        <v>53</v>
      </c>
      <c r="D174" s="275" t="s">
        <v>434</v>
      </c>
      <c r="E174" s="275" t="s">
        <v>435</v>
      </c>
      <c r="F174" s="275" t="s">
        <v>436</v>
      </c>
      <c r="G174" s="275" t="s">
        <v>437</v>
      </c>
      <c r="H174" s="275" t="s">
        <v>438</v>
      </c>
      <c r="I174" s="275" t="s">
        <v>439</v>
      </c>
      <c r="J174" s="275" t="s">
        <v>440</v>
      </c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</row>
    <row r="175" spans="1:27">
      <c r="A175" s="280"/>
      <c r="B175" s="274"/>
      <c r="C175" s="278"/>
      <c r="D175" s="275">
        <v>6.3530000000000003E-2</v>
      </c>
      <c r="E175" s="275">
        <v>0.29099999999999998</v>
      </c>
      <c r="F175" s="275">
        <v>0.25711000000000001</v>
      </c>
      <c r="G175" s="275">
        <v>0.25989000000000001</v>
      </c>
      <c r="H175" s="275">
        <v>0.89805999999999997</v>
      </c>
      <c r="I175" s="275">
        <v>0.95360999999999996</v>
      </c>
      <c r="J175" s="275">
        <v>0.96162999999999998</v>
      </c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</row>
    <row r="176" spans="1:27">
      <c r="A176" s="280"/>
      <c r="B176" s="274"/>
      <c r="C176" s="278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</row>
    <row r="177" spans="1:27">
      <c r="A177" s="280">
        <v>63</v>
      </c>
      <c r="B177" s="274">
        <v>24</v>
      </c>
      <c r="C177" s="278" t="s">
        <v>54</v>
      </c>
      <c r="D177" s="275" t="s">
        <v>434</v>
      </c>
      <c r="E177" s="275" t="s">
        <v>435</v>
      </c>
      <c r="F177" s="275" t="s">
        <v>436</v>
      </c>
      <c r="G177" s="275" t="s">
        <v>437</v>
      </c>
      <c r="H177" s="275" t="s">
        <v>438</v>
      </c>
      <c r="I177" s="275" t="s">
        <v>439</v>
      </c>
      <c r="J177" s="275" t="s">
        <v>440</v>
      </c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</row>
    <row r="178" spans="1:27">
      <c r="A178" s="280"/>
      <c r="B178" s="274"/>
      <c r="C178" s="278"/>
      <c r="D178" s="275">
        <v>6.3530000000000003E-2</v>
      </c>
      <c r="E178" s="275">
        <v>0.29099000000000003</v>
      </c>
      <c r="F178" s="275">
        <v>0.25707000000000002</v>
      </c>
      <c r="G178" s="275">
        <v>0.25985999999999998</v>
      </c>
      <c r="H178" s="275">
        <v>0.88776999999999995</v>
      </c>
      <c r="I178" s="275">
        <v>0.93576999999999999</v>
      </c>
      <c r="J178" s="275">
        <v>0.94323000000000001</v>
      </c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</row>
    <row r="179" spans="1:27">
      <c r="A179" s="280"/>
      <c r="B179" s="274"/>
      <c r="C179" s="278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</row>
    <row r="180" spans="1:27">
      <c r="A180" s="280">
        <v>64</v>
      </c>
      <c r="B180" s="274">
        <v>24</v>
      </c>
      <c r="C180" s="278" t="s">
        <v>55</v>
      </c>
      <c r="D180" s="275" t="s">
        <v>434</v>
      </c>
      <c r="E180" s="275" t="s">
        <v>435</v>
      </c>
      <c r="F180" s="275" t="s">
        <v>436</v>
      </c>
      <c r="G180" s="275" t="s">
        <v>437</v>
      </c>
      <c r="H180" s="275" t="s">
        <v>438</v>
      </c>
      <c r="I180" s="275" t="s">
        <v>439</v>
      </c>
      <c r="J180" s="275" t="s">
        <v>440</v>
      </c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</row>
    <row r="181" spans="1:27">
      <c r="A181" s="280"/>
      <c r="B181" s="274"/>
      <c r="C181" s="278"/>
      <c r="D181" s="275">
        <v>6.3530000000000003E-2</v>
      </c>
      <c r="E181" s="275">
        <v>0.29093000000000002</v>
      </c>
      <c r="F181" s="275">
        <v>0.25697999999999999</v>
      </c>
      <c r="G181" s="275">
        <v>0.25975999999999999</v>
      </c>
      <c r="H181" s="275">
        <v>0.87495999999999996</v>
      </c>
      <c r="I181" s="275">
        <v>0.91532999999999998</v>
      </c>
      <c r="J181" s="275">
        <v>0.92225000000000001</v>
      </c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</row>
    <row r="182" spans="1:27">
      <c r="A182" s="280"/>
      <c r="B182" s="274"/>
      <c r="C182" s="278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</row>
    <row r="183" spans="1:27">
      <c r="A183" s="280">
        <v>65</v>
      </c>
      <c r="B183" s="274">
        <v>24</v>
      </c>
      <c r="C183" s="278" t="s">
        <v>56</v>
      </c>
      <c r="D183" s="275" t="s">
        <v>434</v>
      </c>
      <c r="E183" s="275" t="s">
        <v>435</v>
      </c>
      <c r="F183" s="275" t="s">
        <v>436</v>
      </c>
      <c r="G183" s="275" t="s">
        <v>437</v>
      </c>
      <c r="H183" s="275" t="s">
        <v>438</v>
      </c>
      <c r="I183" s="275" t="s">
        <v>439</v>
      </c>
      <c r="J183" s="275" t="s">
        <v>440</v>
      </c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</row>
    <row r="184" spans="1:27">
      <c r="A184" s="280"/>
      <c r="B184" s="274"/>
      <c r="C184" s="278"/>
      <c r="D184" s="275">
        <v>6.3530000000000003E-2</v>
      </c>
      <c r="E184" s="275">
        <v>0.29081000000000001</v>
      </c>
      <c r="F184" s="275">
        <v>0.25683</v>
      </c>
      <c r="G184" s="275">
        <v>0.2596</v>
      </c>
      <c r="H184" s="275">
        <v>0.86058999999999997</v>
      </c>
      <c r="I184" s="275">
        <v>0.89378999999999997</v>
      </c>
      <c r="J184" s="275">
        <v>0.9002</v>
      </c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</row>
    <row r="185" spans="1:27">
      <c r="A185" s="280"/>
      <c r="B185" s="274"/>
      <c r="C185" s="278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</row>
    <row r="186" spans="1:27">
      <c r="A186" s="280">
        <v>66</v>
      </c>
      <c r="B186" s="274">
        <v>24</v>
      </c>
      <c r="C186" s="278" t="s">
        <v>57</v>
      </c>
      <c r="D186" s="275" t="s">
        <v>434</v>
      </c>
      <c r="E186" s="275" t="s">
        <v>435</v>
      </c>
      <c r="F186" s="275" t="s">
        <v>436</v>
      </c>
      <c r="G186" s="275" t="s">
        <v>437</v>
      </c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</row>
    <row r="187" spans="1:27">
      <c r="A187" s="280"/>
      <c r="B187" s="274"/>
      <c r="C187" s="278"/>
      <c r="D187" s="275">
        <v>6.3539999999999999E-2</v>
      </c>
      <c r="E187" s="275">
        <v>0.29063</v>
      </c>
      <c r="F187" s="275">
        <v>0.25659999999999999</v>
      </c>
      <c r="G187" s="275">
        <v>0.25935999999999998</v>
      </c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</row>
    <row r="188" spans="1:27">
      <c r="A188" s="280"/>
      <c r="B188" s="274"/>
      <c r="C188" s="278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</row>
    <row r="189" spans="1:27">
      <c r="A189" s="280">
        <v>67</v>
      </c>
      <c r="B189" s="274">
        <v>25</v>
      </c>
      <c r="C189" s="278" t="s">
        <v>58</v>
      </c>
      <c r="D189" s="275" t="s">
        <v>434</v>
      </c>
      <c r="E189" s="275" t="s">
        <v>435</v>
      </c>
      <c r="F189" s="275" t="s">
        <v>436</v>
      </c>
      <c r="G189" s="275" t="s">
        <v>437</v>
      </c>
      <c r="H189" s="275" t="s">
        <v>438</v>
      </c>
      <c r="I189" s="275" t="s">
        <v>439</v>
      </c>
      <c r="J189" s="275" t="s">
        <v>440</v>
      </c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</row>
    <row r="190" spans="1:27">
      <c r="A190" s="280"/>
      <c r="B190" s="274"/>
      <c r="C190" s="278"/>
      <c r="D190" s="275">
        <v>6.0879999999999997E-2</v>
      </c>
      <c r="E190" s="275">
        <v>0.27749000000000001</v>
      </c>
      <c r="F190" s="275">
        <v>0.24442</v>
      </c>
      <c r="G190" s="275">
        <v>0.24729999999999999</v>
      </c>
      <c r="H190" s="275">
        <v>0.85148999999999997</v>
      </c>
      <c r="I190" s="275">
        <v>0.90203999999999995</v>
      </c>
      <c r="J190" s="275">
        <v>0.91049000000000002</v>
      </c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</row>
    <row r="191" spans="1:27">
      <c r="A191" s="280"/>
      <c r="B191" s="274"/>
      <c r="C191" s="278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</row>
    <row r="192" spans="1:27">
      <c r="A192" s="280">
        <v>68</v>
      </c>
      <c r="B192" s="274">
        <v>25</v>
      </c>
      <c r="C192" s="278" t="s">
        <v>59</v>
      </c>
      <c r="D192" s="275" t="s">
        <v>434</v>
      </c>
      <c r="E192" s="275" t="s">
        <v>435</v>
      </c>
      <c r="F192" s="275" t="s">
        <v>436</v>
      </c>
      <c r="G192" s="275" t="s">
        <v>437</v>
      </c>
      <c r="H192" s="275" t="s">
        <v>438</v>
      </c>
      <c r="I192" s="275" t="s">
        <v>439</v>
      </c>
      <c r="J192" s="275" t="s">
        <v>440</v>
      </c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</row>
    <row r="193" spans="1:27">
      <c r="A193" s="280"/>
      <c r="B193" s="274"/>
      <c r="C193" s="278"/>
      <c r="D193" s="275">
        <v>6.0879999999999997E-2</v>
      </c>
      <c r="E193" s="275">
        <v>0.27750999999999998</v>
      </c>
      <c r="F193" s="275">
        <v>0.24442</v>
      </c>
      <c r="G193" s="275">
        <v>0.24729999999999999</v>
      </c>
      <c r="H193" s="275">
        <v>0.85248999999999997</v>
      </c>
      <c r="I193" s="275">
        <v>0.90108999999999995</v>
      </c>
      <c r="J193" s="275">
        <v>0.90942999999999996</v>
      </c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</row>
    <row r="194" spans="1:27">
      <c r="A194" s="280"/>
      <c r="B194" s="274"/>
      <c r="C194" s="278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</row>
    <row r="195" spans="1:27">
      <c r="A195" s="280">
        <v>69</v>
      </c>
      <c r="B195" s="274">
        <v>25</v>
      </c>
      <c r="C195" s="278" t="s">
        <v>60</v>
      </c>
      <c r="D195" s="275" t="s">
        <v>434</v>
      </c>
      <c r="E195" s="275" t="s">
        <v>435</v>
      </c>
      <c r="F195" s="275" t="s">
        <v>436</v>
      </c>
      <c r="G195" s="275" t="s">
        <v>437</v>
      </c>
      <c r="H195" s="275" t="s">
        <v>438</v>
      </c>
      <c r="I195" s="275" t="s">
        <v>439</v>
      </c>
      <c r="J195" s="275" t="s">
        <v>440</v>
      </c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</row>
    <row r="196" spans="1:27">
      <c r="A196" s="280"/>
      <c r="B196" s="274"/>
      <c r="C196" s="278"/>
      <c r="D196" s="275">
        <v>6.0879999999999997E-2</v>
      </c>
      <c r="E196" s="275">
        <v>0.27750000000000002</v>
      </c>
      <c r="F196" s="275">
        <v>0.24439</v>
      </c>
      <c r="G196" s="275">
        <v>0.24726999999999999</v>
      </c>
      <c r="H196" s="275">
        <v>0.84365000000000001</v>
      </c>
      <c r="I196" s="275">
        <v>0.88585000000000003</v>
      </c>
      <c r="J196" s="275">
        <v>0.89363000000000004</v>
      </c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</row>
    <row r="197" spans="1:27">
      <c r="A197" s="280"/>
      <c r="B197" s="274"/>
      <c r="C197" s="278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</row>
    <row r="198" spans="1:27">
      <c r="A198" s="280">
        <v>70</v>
      </c>
      <c r="B198" s="274">
        <v>25</v>
      </c>
      <c r="C198" s="278" t="s">
        <v>61</v>
      </c>
      <c r="D198" s="275" t="s">
        <v>434</v>
      </c>
      <c r="E198" s="275" t="s">
        <v>435</v>
      </c>
      <c r="F198" s="275" t="s">
        <v>436</v>
      </c>
      <c r="G198" s="275" t="s">
        <v>437</v>
      </c>
      <c r="H198" s="275" t="s">
        <v>438</v>
      </c>
      <c r="I198" s="275" t="s">
        <v>439</v>
      </c>
      <c r="J198" s="275" t="s">
        <v>440</v>
      </c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</row>
    <row r="199" spans="1:27">
      <c r="A199" s="280"/>
      <c r="B199" s="274"/>
      <c r="C199" s="278"/>
      <c r="D199" s="275">
        <v>6.0879999999999997E-2</v>
      </c>
      <c r="E199" s="275">
        <v>0.27744999999999997</v>
      </c>
      <c r="F199" s="275">
        <v>0.24432000000000001</v>
      </c>
      <c r="G199" s="275">
        <v>0.24718999999999999</v>
      </c>
      <c r="H199" s="275">
        <v>0.83260999999999996</v>
      </c>
      <c r="I199" s="275">
        <v>0.86824999999999997</v>
      </c>
      <c r="J199" s="275">
        <v>0.87549999999999994</v>
      </c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</row>
    <row r="200" spans="1:27">
      <c r="A200" s="280"/>
      <c r="B200" s="274"/>
      <c r="C200" s="278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</row>
    <row r="201" spans="1:27">
      <c r="A201" s="280">
        <v>71</v>
      </c>
      <c r="B201" s="274">
        <v>25</v>
      </c>
      <c r="C201" s="278" t="s">
        <v>62</v>
      </c>
      <c r="D201" s="275" t="s">
        <v>434</v>
      </c>
      <c r="E201" s="275" t="s">
        <v>435</v>
      </c>
      <c r="F201" s="275" t="s">
        <v>436</v>
      </c>
      <c r="G201" s="275" t="s">
        <v>437</v>
      </c>
      <c r="H201" s="275" t="s">
        <v>438</v>
      </c>
      <c r="I201" s="275" t="s">
        <v>439</v>
      </c>
      <c r="J201" s="275" t="s">
        <v>440</v>
      </c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</row>
    <row r="202" spans="1:27">
      <c r="A202" s="280"/>
      <c r="B202" s="274"/>
      <c r="C202" s="278"/>
      <c r="D202" s="275">
        <v>6.089E-2</v>
      </c>
      <c r="E202" s="275">
        <v>0.27736</v>
      </c>
      <c r="F202" s="275">
        <v>0.2442</v>
      </c>
      <c r="G202" s="275">
        <v>0.24706</v>
      </c>
      <c r="H202" s="275">
        <v>0.82011999999999996</v>
      </c>
      <c r="I202" s="275">
        <v>0.84953000000000001</v>
      </c>
      <c r="J202" s="275">
        <v>0.85628000000000004</v>
      </c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</row>
    <row r="203" spans="1:27">
      <c r="A203" s="280"/>
      <c r="B203" s="274"/>
      <c r="C203" s="278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</row>
    <row r="204" spans="1:27">
      <c r="A204" s="280">
        <v>72</v>
      </c>
      <c r="B204" s="274">
        <v>25</v>
      </c>
      <c r="C204" s="278" t="s">
        <v>63</v>
      </c>
      <c r="D204" s="275" t="s">
        <v>434</v>
      </c>
      <c r="E204" s="275" t="s">
        <v>435</v>
      </c>
      <c r="F204" s="275" t="s">
        <v>436</v>
      </c>
      <c r="G204" s="275" t="s">
        <v>437</v>
      </c>
      <c r="H204" s="275" t="s">
        <v>438</v>
      </c>
      <c r="I204" s="275" t="s">
        <v>439</v>
      </c>
      <c r="J204" s="275" t="s">
        <v>440</v>
      </c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</row>
    <row r="205" spans="1:27">
      <c r="A205" s="280"/>
      <c r="B205" s="274"/>
      <c r="C205" s="278"/>
      <c r="D205" s="275">
        <v>6.089E-2</v>
      </c>
      <c r="E205" s="275">
        <v>0.27721000000000001</v>
      </c>
      <c r="F205" s="275">
        <v>0.24401</v>
      </c>
      <c r="G205" s="275">
        <v>0.24686</v>
      </c>
      <c r="H205" s="275">
        <v>0.80674999999999997</v>
      </c>
      <c r="I205" s="275">
        <v>0.83042000000000005</v>
      </c>
      <c r="J205" s="275">
        <v>0.83672999999999997</v>
      </c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</row>
    <row r="206" spans="1:27">
      <c r="A206" s="280"/>
      <c r="B206" s="274"/>
      <c r="C206" s="278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</row>
    <row r="207" spans="1:27">
      <c r="A207" s="280">
        <v>73</v>
      </c>
      <c r="B207" s="274">
        <v>25</v>
      </c>
      <c r="C207" s="278" t="s">
        <v>64</v>
      </c>
      <c r="D207" s="275" t="s">
        <v>434</v>
      </c>
      <c r="E207" s="275" t="s">
        <v>435</v>
      </c>
      <c r="F207" s="275" t="s">
        <v>436</v>
      </c>
      <c r="G207" s="275" t="s">
        <v>437</v>
      </c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</row>
    <row r="208" spans="1:27">
      <c r="A208" s="280"/>
      <c r="B208" s="274"/>
      <c r="C208" s="278"/>
      <c r="D208" s="275">
        <v>6.089E-2</v>
      </c>
      <c r="E208" s="275">
        <v>0.27700000000000002</v>
      </c>
      <c r="F208" s="275">
        <v>0.24376</v>
      </c>
      <c r="G208" s="275">
        <v>0.24660000000000001</v>
      </c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</row>
    <row r="209" spans="1:27">
      <c r="A209" s="280"/>
      <c r="B209" s="274"/>
      <c r="C209" s="278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</row>
    <row r="210" spans="1:27">
      <c r="A210" s="280">
        <v>74</v>
      </c>
      <c r="B210" s="274">
        <v>26</v>
      </c>
      <c r="C210" s="278" t="s">
        <v>65</v>
      </c>
      <c r="D210" s="275" t="s">
        <v>434</v>
      </c>
      <c r="E210" s="275" t="s">
        <v>435</v>
      </c>
      <c r="F210" s="275" t="s">
        <v>436</v>
      </c>
      <c r="G210" s="275" t="s">
        <v>437</v>
      </c>
      <c r="H210" s="275" t="s">
        <v>438</v>
      </c>
      <c r="I210" s="275" t="s">
        <v>439</v>
      </c>
      <c r="J210" s="275" t="s">
        <v>440</v>
      </c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</row>
    <row r="211" spans="1:27">
      <c r="A211" s="280"/>
      <c r="B211" s="274"/>
      <c r="C211" s="278"/>
      <c r="D211" s="275">
        <v>5.8439999999999999E-2</v>
      </c>
      <c r="E211" s="275">
        <v>0.26517000000000002</v>
      </c>
      <c r="F211" s="275">
        <v>0.23291000000000001</v>
      </c>
      <c r="G211" s="275">
        <v>0.23588000000000001</v>
      </c>
      <c r="H211" s="275">
        <v>0.81062000000000001</v>
      </c>
      <c r="I211" s="275">
        <v>0.85502999999999996</v>
      </c>
      <c r="J211" s="275">
        <v>0.86378999999999995</v>
      </c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</row>
    <row r="212" spans="1:27">
      <c r="A212" s="280"/>
      <c r="B212" s="274"/>
      <c r="C212" s="278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</row>
    <row r="213" spans="1:27">
      <c r="A213" s="280">
        <v>75</v>
      </c>
      <c r="B213" s="274">
        <v>26</v>
      </c>
      <c r="C213" s="278" t="s">
        <v>66</v>
      </c>
      <c r="D213" s="275" t="s">
        <v>434</v>
      </c>
      <c r="E213" s="275" t="s">
        <v>435</v>
      </c>
      <c r="F213" s="275" t="s">
        <v>436</v>
      </c>
      <c r="G213" s="275" t="s">
        <v>437</v>
      </c>
      <c r="H213" s="275" t="s">
        <v>438</v>
      </c>
      <c r="I213" s="275" t="s">
        <v>439</v>
      </c>
      <c r="J213" s="275" t="s">
        <v>440</v>
      </c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</row>
    <row r="214" spans="1:27">
      <c r="A214" s="280"/>
      <c r="B214" s="274"/>
      <c r="C214" s="278"/>
      <c r="D214" s="275">
        <v>5.8439999999999999E-2</v>
      </c>
      <c r="E214" s="275">
        <v>0.26518999999999998</v>
      </c>
      <c r="F214" s="275">
        <v>0.2329</v>
      </c>
      <c r="G214" s="275">
        <v>0.23587</v>
      </c>
      <c r="H214" s="275">
        <v>0.81155999999999995</v>
      </c>
      <c r="I214" s="275">
        <v>0.85433000000000003</v>
      </c>
      <c r="J214" s="275">
        <v>0.86297999999999997</v>
      </c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</row>
    <row r="215" spans="1:27">
      <c r="A215" s="280"/>
      <c r="B215" s="274"/>
      <c r="C215" s="278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</row>
    <row r="216" spans="1:27">
      <c r="A216" s="280">
        <v>76</v>
      </c>
      <c r="B216" s="274">
        <v>26</v>
      </c>
      <c r="C216" s="278" t="s">
        <v>67</v>
      </c>
      <c r="D216" s="275" t="s">
        <v>434</v>
      </c>
      <c r="E216" s="275" t="s">
        <v>435</v>
      </c>
      <c r="F216" s="275" t="s">
        <v>436</v>
      </c>
      <c r="G216" s="275" t="s">
        <v>437</v>
      </c>
      <c r="H216" s="275" t="s">
        <v>438</v>
      </c>
      <c r="I216" s="275" t="s">
        <v>439</v>
      </c>
      <c r="J216" s="275" t="s">
        <v>440</v>
      </c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</row>
    <row r="217" spans="1:27">
      <c r="A217" s="280"/>
      <c r="B217" s="274"/>
      <c r="C217" s="278"/>
      <c r="D217" s="275">
        <v>5.8439999999999999E-2</v>
      </c>
      <c r="E217" s="275">
        <v>0.26518000000000003</v>
      </c>
      <c r="F217" s="275">
        <v>0.23288</v>
      </c>
      <c r="G217" s="275">
        <v>0.23585</v>
      </c>
      <c r="H217" s="275">
        <v>0.80388999999999999</v>
      </c>
      <c r="I217" s="275">
        <v>0.84114999999999995</v>
      </c>
      <c r="J217" s="275">
        <v>0.84926000000000001</v>
      </c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</row>
    <row r="218" spans="1:27">
      <c r="A218" s="280"/>
      <c r="B218" s="274"/>
      <c r="C218" s="278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</row>
    <row r="219" spans="1:27">
      <c r="A219" s="280">
        <v>77</v>
      </c>
      <c r="B219" s="274">
        <v>26</v>
      </c>
      <c r="C219" s="278" t="s">
        <v>68</v>
      </c>
      <c r="D219" s="275" t="s">
        <v>434</v>
      </c>
      <c r="E219" s="275" t="s">
        <v>435</v>
      </c>
      <c r="F219" s="275" t="s">
        <v>436</v>
      </c>
      <c r="G219" s="275" t="s">
        <v>437</v>
      </c>
      <c r="H219" s="275" t="s">
        <v>438</v>
      </c>
      <c r="I219" s="275" t="s">
        <v>439</v>
      </c>
      <c r="J219" s="275" t="s">
        <v>440</v>
      </c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</row>
    <row r="220" spans="1:27">
      <c r="A220" s="280"/>
      <c r="B220" s="274"/>
      <c r="C220" s="278"/>
      <c r="D220" s="275">
        <v>5.8439999999999999E-2</v>
      </c>
      <c r="E220" s="275">
        <v>0.26513999999999999</v>
      </c>
      <c r="F220" s="275">
        <v>0.23283000000000001</v>
      </c>
      <c r="G220" s="275">
        <v>0.23579</v>
      </c>
      <c r="H220" s="275">
        <v>0.79427000000000003</v>
      </c>
      <c r="I220" s="275">
        <v>0.82584999999999997</v>
      </c>
      <c r="J220" s="275">
        <v>0.83343999999999996</v>
      </c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</row>
    <row r="221" spans="1:27">
      <c r="A221" s="280"/>
      <c r="B221" s="274"/>
      <c r="C221" s="278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</row>
    <row r="222" spans="1:27">
      <c r="A222" s="280">
        <v>78</v>
      </c>
      <c r="B222" s="274">
        <v>26</v>
      </c>
      <c r="C222" s="278" t="s">
        <v>69</v>
      </c>
      <c r="D222" s="275" t="s">
        <v>434</v>
      </c>
      <c r="E222" s="275" t="s">
        <v>435</v>
      </c>
      <c r="F222" s="275" t="s">
        <v>436</v>
      </c>
      <c r="G222" s="275" t="s">
        <v>437</v>
      </c>
      <c r="H222" s="275" t="s">
        <v>438</v>
      </c>
      <c r="I222" s="275" t="s">
        <v>439</v>
      </c>
      <c r="J222" s="275" t="s">
        <v>440</v>
      </c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</row>
    <row r="223" spans="1:27">
      <c r="A223" s="280"/>
      <c r="B223" s="274"/>
      <c r="C223" s="278"/>
      <c r="D223" s="275">
        <v>5.8439999999999999E-2</v>
      </c>
      <c r="E223" s="275">
        <v>0.26506999999999997</v>
      </c>
      <c r="F223" s="275">
        <v>0.23272999999999999</v>
      </c>
      <c r="G223" s="275">
        <v>0.23569000000000001</v>
      </c>
      <c r="H223" s="275">
        <v>0.78332999999999997</v>
      </c>
      <c r="I223" s="275">
        <v>0.80944000000000005</v>
      </c>
      <c r="J223" s="275">
        <v>0.81654000000000004</v>
      </c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</row>
    <row r="224" spans="1:27">
      <c r="A224" s="280"/>
      <c r="B224" s="274"/>
      <c r="C224" s="278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</row>
    <row r="225" spans="1:27">
      <c r="A225" s="280">
        <v>79</v>
      </c>
      <c r="B225" s="274">
        <v>26</v>
      </c>
      <c r="C225" s="278" t="s">
        <v>70</v>
      </c>
      <c r="D225" s="275" t="s">
        <v>434</v>
      </c>
      <c r="E225" s="275" t="s">
        <v>435</v>
      </c>
      <c r="F225" s="275" t="s">
        <v>436</v>
      </c>
      <c r="G225" s="275" t="s">
        <v>437</v>
      </c>
      <c r="H225" s="275" t="s">
        <v>438</v>
      </c>
      <c r="I225" s="275" t="s">
        <v>439</v>
      </c>
      <c r="J225" s="275" t="s">
        <v>440</v>
      </c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</row>
    <row r="226" spans="1:27">
      <c r="A226" s="280"/>
      <c r="B226" s="274"/>
      <c r="C226" s="278"/>
      <c r="D226" s="275">
        <v>5.8439999999999999E-2</v>
      </c>
      <c r="E226" s="275">
        <v>0.26494000000000001</v>
      </c>
      <c r="F226" s="275">
        <v>0.23258000000000001</v>
      </c>
      <c r="G226" s="275">
        <v>0.23552000000000001</v>
      </c>
      <c r="H226" s="275">
        <v>0.77154</v>
      </c>
      <c r="I226" s="275">
        <v>0.79257</v>
      </c>
      <c r="J226" s="275">
        <v>0.79922000000000004</v>
      </c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</row>
    <row r="227" spans="1:27">
      <c r="A227" s="280"/>
      <c r="B227" s="274"/>
      <c r="C227" s="278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</row>
    <row r="228" spans="1:27">
      <c r="A228" s="280">
        <v>80</v>
      </c>
      <c r="B228" s="274">
        <v>27</v>
      </c>
      <c r="C228" s="278" t="s">
        <v>71</v>
      </c>
      <c r="D228" s="275" t="s">
        <v>434</v>
      </c>
      <c r="E228" s="275" t="s">
        <v>435</v>
      </c>
      <c r="F228" s="275" t="s">
        <v>436</v>
      </c>
      <c r="G228" s="275" t="s">
        <v>437</v>
      </c>
      <c r="H228" s="275" t="s">
        <v>438</v>
      </c>
      <c r="I228" s="275" t="s">
        <v>439</v>
      </c>
      <c r="J228" s="275" t="s">
        <v>440</v>
      </c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</row>
    <row r="229" spans="1:27">
      <c r="A229" s="280"/>
      <c r="B229" s="274"/>
      <c r="C229" s="278"/>
      <c r="D229" s="275">
        <v>5.6169999999999998E-2</v>
      </c>
      <c r="E229" s="275">
        <v>0.25387999999999999</v>
      </c>
      <c r="F229" s="275">
        <v>0.22239999999999999</v>
      </c>
      <c r="G229" s="275">
        <v>0.22545999999999999</v>
      </c>
      <c r="H229" s="275">
        <v>0.77893999999999997</v>
      </c>
      <c r="I229" s="275">
        <v>0.82072999999999996</v>
      </c>
      <c r="J229" s="275">
        <v>0.83016999999999996</v>
      </c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</row>
    <row r="230" spans="1:27">
      <c r="A230" s="280"/>
      <c r="B230" s="274"/>
      <c r="C230" s="278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</row>
    <row r="231" spans="1:27">
      <c r="A231" s="280">
        <v>81</v>
      </c>
      <c r="B231" s="274">
        <v>27</v>
      </c>
      <c r="C231" s="278" t="s">
        <v>72</v>
      </c>
      <c r="D231" s="275" t="s">
        <v>434</v>
      </c>
      <c r="E231" s="275" t="s">
        <v>435</v>
      </c>
      <c r="F231" s="275" t="s">
        <v>436</v>
      </c>
      <c r="G231" s="275" t="s">
        <v>437</v>
      </c>
      <c r="H231" s="275" t="s">
        <v>438</v>
      </c>
      <c r="I231" s="275" t="s">
        <v>439</v>
      </c>
      <c r="J231" s="275" t="s">
        <v>440</v>
      </c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</row>
    <row r="232" spans="1:27">
      <c r="A232" s="280"/>
      <c r="B232" s="274"/>
      <c r="C232" s="278"/>
      <c r="D232" s="275">
        <v>5.6169999999999998E-2</v>
      </c>
      <c r="E232" s="275">
        <v>0.25389</v>
      </c>
      <c r="F232" s="275">
        <v>0.22239999999999999</v>
      </c>
      <c r="G232" s="275">
        <v>0.22547</v>
      </c>
      <c r="H232" s="275">
        <v>0.77454000000000001</v>
      </c>
      <c r="I232" s="275">
        <v>0.81233999999999995</v>
      </c>
      <c r="J232" s="275">
        <v>0.82130999999999998</v>
      </c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</row>
    <row r="233" spans="1:27">
      <c r="A233" s="280"/>
      <c r="B233" s="274"/>
      <c r="C233" s="278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</row>
    <row r="234" spans="1:27">
      <c r="A234" s="280">
        <v>82</v>
      </c>
      <c r="B234" s="274">
        <v>27</v>
      </c>
      <c r="C234" s="278" t="s">
        <v>73</v>
      </c>
      <c r="D234" s="275" t="s">
        <v>434</v>
      </c>
      <c r="E234" s="275" t="s">
        <v>435</v>
      </c>
      <c r="F234" s="275" t="s">
        <v>436</v>
      </c>
      <c r="G234" s="275" t="s">
        <v>437</v>
      </c>
      <c r="H234" s="275" t="s">
        <v>438</v>
      </c>
      <c r="I234" s="275" t="s">
        <v>439</v>
      </c>
      <c r="J234" s="275" t="s">
        <v>440</v>
      </c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</row>
    <row r="235" spans="1:27">
      <c r="A235" s="280"/>
      <c r="B235" s="274"/>
      <c r="C235" s="278"/>
      <c r="D235" s="275">
        <v>5.6180000000000001E-2</v>
      </c>
      <c r="E235" s="275">
        <v>0.25389</v>
      </c>
      <c r="F235" s="275">
        <v>0.22239</v>
      </c>
      <c r="G235" s="275">
        <v>0.22545999999999999</v>
      </c>
      <c r="H235" s="275">
        <v>0.76780999999999999</v>
      </c>
      <c r="I235" s="275">
        <v>0.80083000000000004</v>
      </c>
      <c r="J235" s="275">
        <v>0.80928</v>
      </c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</row>
    <row r="236" spans="1:27">
      <c r="A236" s="280"/>
      <c r="B236" s="274"/>
      <c r="C236" s="278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</row>
    <row r="237" spans="1:27">
      <c r="A237" s="280">
        <v>83</v>
      </c>
      <c r="B237" s="274">
        <v>27</v>
      </c>
      <c r="C237" s="278" t="s">
        <v>74</v>
      </c>
      <c r="D237" s="275" t="s">
        <v>434</v>
      </c>
      <c r="E237" s="275" t="s">
        <v>435</v>
      </c>
      <c r="F237" s="275" t="s">
        <v>436</v>
      </c>
      <c r="G237" s="275" t="s">
        <v>437</v>
      </c>
      <c r="H237" s="275" t="s">
        <v>438</v>
      </c>
      <c r="I237" s="275" t="s">
        <v>439</v>
      </c>
      <c r="J237" s="275" t="s">
        <v>440</v>
      </c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</row>
    <row r="238" spans="1:27">
      <c r="A238" s="280"/>
      <c r="B238" s="274"/>
      <c r="C238" s="278"/>
      <c r="D238" s="275">
        <v>5.6180000000000001E-2</v>
      </c>
      <c r="E238" s="275">
        <v>0.25385999999999997</v>
      </c>
      <c r="F238" s="275">
        <v>0.22234999999999999</v>
      </c>
      <c r="G238" s="275">
        <v>0.22541</v>
      </c>
      <c r="H238" s="275">
        <v>0.75936000000000003</v>
      </c>
      <c r="I238" s="275">
        <v>0.78742000000000001</v>
      </c>
      <c r="J238" s="275">
        <v>0.79535</v>
      </c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</row>
    <row r="239" spans="1:27">
      <c r="A239" s="280"/>
      <c r="B239" s="274"/>
      <c r="C239" s="278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</row>
    <row r="240" spans="1:27">
      <c r="A240" s="280">
        <v>84</v>
      </c>
      <c r="B240" s="274">
        <v>27</v>
      </c>
      <c r="C240" s="278" t="s">
        <v>75</v>
      </c>
      <c r="D240" s="275" t="s">
        <v>434</v>
      </c>
      <c r="E240" s="275" t="s">
        <v>435</v>
      </c>
      <c r="F240" s="275" t="s">
        <v>436</v>
      </c>
      <c r="G240" s="275" t="s">
        <v>437</v>
      </c>
      <c r="H240" s="275" t="s">
        <v>438</v>
      </c>
      <c r="I240" s="275" t="s">
        <v>439</v>
      </c>
      <c r="J240" s="275" t="s">
        <v>440</v>
      </c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</row>
    <row r="241" spans="1:27">
      <c r="A241" s="280"/>
      <c r="B241" s="274"/>
      <c r="C241" s="278"/>
      <c r="D241" s="275">
        <v>5.6180000000000001E-2</v>
      </c>
      <c r="E241" s="275">
        <v>0.25379000000000002</v>
      </c>
      <c r="F241" s="275">
        <v>0.22226000000000001</v>
      </c>
      <c r="G241" s="275">
        <v>0.22531999999999999</v>
      </c>
      <c r="H241" s="275">
        <v>0.74970999999999999</v>
      </c>
      <c r="I241" s="275">
        <v>0.77295000000000003</v>
      </c>
      <c r="J241" s="275">
        <v>0.78039000000000003</v>
      </c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</row>
    <row r="242" spans="1:27">
      <c r="A242" s="280"/>
      <c r="B242" s="274"/>
      <c r="C242" s="278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</row>
    <row r="243" spans="1:27">
      <c r="A243" s="280">
        <v>85</v>
      </c>
      <c r="B243" s="274">
        <v>28</v>
      </c>
      <c r="C243" s="278" t="s">
        <v>76</v>
      </c>
      <c r="D243" s="275" t="s">
        <v>434</v>
      </c>
      <c r="E243" s="275" t="s">
        <v>435</v>
      </c>
      <c r="F243" s="275" t="s">
        <v>436</v>
      </c>
      <c r="G243" s="275" t="s">
        <v>437</v>
      </c>
      <c r="H243" s="275" t="s">
        <v>438</v>
      </c>
      <c r="I243" s="275" t="s">
        <v>439</v>
      </c>
      <c r="J243" s="275" t="s">
        <v>440</v>
      </c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</row>
    <row r="244" spans="1:27">
      <c r="A244" s="280"/>
      <c r="B244" s="274"/>
      <c r="C244" s="278"/>
      <c r="D244" s="275">
        <v>5.4080000000000003E-2</v>
      </c>
      <c r="E244" s="275">
        <v>0.24348</v>
      </c>
      <c r="F244" s="275">
        <v>0.21278</v>
      </c>
      <c r="G244" s="275">
        <v>0.21593999999999999</v>
      </c>
      <c r="H244" s="275">
        <v>0.74475999999999998</v>
      </c>
      <c r="I244" s="275">
        <v>0.78178000000000003</v>
      </c>
      <c r="J244" s="275">
        <v>0.79154000000000002</v>
      </c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</row>
    <row r="245" spans="1:27">
      <c r="A245" s="280"/>
      <c r="B245" s="274"/>
      <c r="C245" s="278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</row>
    <row r="246" spans="1:27">
      <c r="A246" s="280">
        <v>86</v>
      </c>
      <c r="B246" s="274">
        <v>28</v>
      </c>
      <c r="C246" s="278" t="s">
        <v>77</v>
      </c>
      <c r="D246" s="275" t="s">
        <v>434</v>
      </c>
      <c r="E246" s="275" t="s">
        <v>435</v>
      </c>
      <c r="F246" s="275" t="s">
        <v>436</v>
      </c>
      <c r="G246" s="275" t="s">
        <v>437</v>
      </c>
      <c r="H246" s="275" t="s">
        <v>438</v>
      </c>
      <c r="I246" s="275" t="s">
        <v>439</v>
      </c>
      <c r="J246" s="275" t="s">
        <v>440</v>
      </c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</row>
    <row r="247" spans="1:27">
      <c r="A247" s="280"/>
      <c r="B247" s="274"/>
      <c r="C247" s="278"/>
      <c r="D247" s="275">
        <v>5.4080000000000003E-2</v>
      </c>
      <c r="E247" s="275">
        <v>0.24349000000000001</v>
      </c>
      <c r="F247" s="275">
        <v>0.21279000000000001</v>
      </c>
      <c r="G247" s="275">
        <v>0.21595</v>
      </c>
      <c r="H247" s="275">
        <v>0.74084000000000005</v>
      </c>
      <c r="I247" s="275">
        <v>0.77436000000000005</v>
      </c>
      <c r="J247" s="275">
        <v>0.78366000000000002</v>
      </c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</row>
    <row r="248" spans="1:27">
      <c r="A248" s="280"/>
      <c r="B248" s="274"/>
      <c r="C248" s="278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</row>
    <row r="249" spans="1:27">
      <c r="A249" s="280">
        <v>87</v>
      </c>
      <c r="B249" s="274">
        <v>28</v>
      </c>
      <c r="C249" s="278" t="s">
        <v>78</v>
      </c>
      <c r="D249" s="275" t="s">
        <v>434</v>
      </c>
      <c r="E249" s="275" t="s">
        <v>435</v>
      </c>
      <c r="F249" s="275" t="s">
        <v>436</v>
      </c>
      <c r="G249" s="275" t="s">
        <v>437</v>
      </c>
      <c r="H249" s="275" t="s">
        <v>438</v>
      </c>
      <c r="I249" s="275" t="s">
        <v>439</v>
      </c>
      <c r="J249" s="275" t="s">
        <v>440</v>
      </c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</row>
    <row r="250" spans="1:27">
      <c r="A250" s="280"/>
      <c r="B250" s="274"/>
      <c r="C250" s="278"/>
      <c r="D250" s="275">
        <v>5.4080000000000003E-2</v>
      </c>
      <c r="E250" s="275">
        <v>0.24349000000000001</v>
      </c>
      <c r="F250" s="275">
        <v>0.21278</v>
      </c>
      <c r="G250" s="275">
        <v>0.21593999999999999</v>
      </c>
      <c r="H250" s="275">
        <v>0.7349</v>
      </c>
      <c r="I250" s="275">
        <v>0.76424000000000003</v>
      </c>
      <c r="J250" s="275">
        <v>0.77302999999999999</v>
      </c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</row>
    <row r="251" spans="1:27">
      <c r="A251" s="280"/>
      <c r="B251" s="274"/>
      <c r="C251" s="278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</row>
    <row r="252" spans="1:27">
      <c r="A252" s="280">
        <v>88</v>
      </c>
      <c r="B252" s="274">
        <v>28</v>
      </c>
      <c r="C252" s="278" t="s">
        <v>79</v>
      </c>
      <c r="D252" s="275" t="s">
        <v>434</v>
      </c>
      <c r="E252" s="275" t="s">
        <v>435</v>
      </c>
      <c r="F252" s="275" t="s">
        <v>436</v>
      </c>
      <c r="G252" s="275" t="s">
        <v>437</v>
      </c>
      <c r="H252" s="275" t="s">
        <v>438</v>
      </c>
      <c r="I252" s="275" t="s">
        <v>439</v>
      </c>
      <c r="J252" s="275" t="s">
        <v>440</v>
      </c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</row>
    <row r="253" spans="1:27">
      <c r="A253" s="280"/>
      <c r="B253" s="274"/>
      <c r="C253" s="278"/>
      <c r="D253" s="275">
        <v>5.4080000000000003E-2</v>
      </c>
      <c r="E253" s="275">
        <v>0.24346999999999999</v>
      </c>
      <c r="F253" s="275">
        <v>0.21274000000000001</v>
      </c>
      <c r="G253" s="275">
        <v>0.21590000000000001</v>
      </c>
      <c r="H253" s="275">
        <v>0.72741999999999996</v>
      </c>
      <c r="I253" s="275">
        <v>0.75239999999999996</v>
      </c>
      <c r="J253" s="275">
        <v>0.76068000000000002</v>
      </c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</row>
    <row r="254" spans="1:27">
      <c r="A254" s="280"/>
      <c r="B254" s="274"/>
      <c r="C254" s="278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</row>
    <row r="255" spans="1:27">
      <c r="A255" s="280">
        <v>89</v>
      </c>
      <c r="B255" s="274">
        <v>29</v>
      </c>
      <c r="C255" s="278" t="s">
        <v>80</v>
      </c>
      <c r="D255" s="275" t="s">
        <v>434</v>
      </c>
      <c r="E255" s="275" t="s">
        <v>435</v>
      </c>
      <c r="F255" s="275" t="s">
        <v>436</v>
      </c>
      <c r="G255" s="275" t="s">
        <v>437</v>
      </c>
      <c r="H255" s="275" t="s">
        <v>438</v>
      </c>
      <c r="I255" s="275" t="s">
        <v>439</v>
      </c>
      <c r="J255" s="275" t="s">
        <v>440</v>
      </c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</row>
    <row r="256" spans="1:27">
      <c r="A256" s="280"/>
      <c r="B256" s="274"/>
      <c r="C256" s="278"/>
      <c r="D256" s="275">
        <v>5.212E-2</v>
      </c>
      <c r="E256" s="275">
        <v>0.23388</v>
      </c>
      <c r="F256" s="275">
        <v>0.20394000000000001</v>
      </c>
      <c r="G256" s="275">
        <v>0.2072</v>
      </c>
      <c r="H256" s="275">
        <v>0.71350999999999998</v>
      </c>
      <c r="I256" s="275">
        <v>0.74641000000000002</v>
      </c>
      <c r="J256" s="275">
        <v>0.75649999999999995</v>
      </c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</row>
    <row r="257" spans="1:27">
      <c r="A257" s="280"/>
      <c r="B257" s="274"/>
      <c r="C257" s="278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</row>
    <row r="258" spans="1:27">
      <c r="A258" s="280">
        <v>90</v>
      </c>
      <c r="B258" s="274">
        <v>29</v>
      </c>
      <c r="C258" s="278" t="s">
        <v>81</v>
      </c>
      <c r="D258" s="275" t="s">
        <v>434</v>
      </c>
      <c r="E258" s="275" t="s">
        <v>435</v>
      </c>
      <c r="F258" s="275" t="s">
        <v>436</v>
      </c>
      <c r="G258" s="275" t="s">
        <v>437</v>
      </c>
      <c r="H258" s="275" t="s">
        <v>438</v>
      </c>
      <c r="I258" s="275" t="s">
        <v>439</v>
      </c>
      <c r="J258" s="275" t="s">
        <v>440</v>
      </c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</row>
    <row r="259" spans="1:27">
      <c r="A259" s="280"/>
      <c r="B259" s="274"/>
      <c r="C259" s="278"/>
      <c r="D259" s="275">
        <v>5.212E-2</v>
      </c>
      <c r="E259" s="275">
        <v>0.23388999999999999</v>
      </c>
      <c r="F259" s="275">
        <v>0.20394999999999999</v>
      </c>
      <c r="G259" s="275">
        <v>0.20721000000000001</v>
      </c>
      <c r="H259" s="275">
        <v>0.71</v>
      </c>
      <c r="I259" s="275">
        <v>0.73982000000000003</v>
      </c>
      <c r="J259" s="275">
        <v>0.74944999999999995</v>
      </c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</row>
    <row r="260" spans="1:27">
      <c r="A260" s="280"/>
      <c r="B260" s="274"/>
      <c r="C260" s="278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</row>
    <row r="261" spans="1:27">
      <c r="A261" s="280">
        <v>91</v>
      </c>
      <c r="B261" s="274">
        <v>29</v>
      </c>
      <c r="C261" s="278" t="s">
        <v>82</v>
      </c>
      <c r="D261" s="275" t="s">
        <v>434</v>
      </c>
      <c r="E261" s="275" t="s">
        <v>435</v>
      </c>
      <c r="F261" s="275" t="s">
        <v>436</v>
      </c>
      <c r="G261" s="275" t="s">
        <v>437</v>
      </c>
      <c r="H261" s="275" t="s">
        <v>438</v>
      </c>
      <c r="I261" s="275" t="s">
        <v>439</v>
      </c>
      <c r="J261" s="275" t="s">
        <v>440</v>
      </c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</row>
    <row r="262" spans="1:27">
      <c r="A262" s="280"/>
      <c r="B262" s="274"/>
      <c r="C262" s="278"/>
      <c r="D262" s="275">
        <v>5.212E-2</v>
      </c>
      <c r="E262" s="275">
        <v>0.23388999999999999</v>
      </c>
      <c r="F262" s="275">
        <v>0.20394000000000001</v>
      </c>
      <c r="G262" s="275">
        <v>0.2072</v>
      </c>
      <c r="H262" s="275">
        <v>0.70470999999999995</v>
      </c>
      <c r="I262" s="275">
        <v>0.73085999999999995</v>
      </c>
      <c r="J262" s="275">
        <v>0.73997999999999997</v>
      </c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</row>
    <row r="263" spans="1:27">
      <c r="A263" s="280"/>
      <c r="B263" s="274"/>
      <c r="C263" s="278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</row>
    <row r="264" spans="1:27">
      <c r="A264" s="280">
        <v>92</v>
      </c>
      <c r="B264" s="274">
        <v>29</v>
      </c>
      <c r="C264" s="278" t="s">
        <v>83</v>
      </c>
      <c r="D264" s="275" t="s">
        <v>434</v>
      </c>
      <c r="E264" s="275" t="s">
        <v>435</v>
      </c>
      <c r="F264" s="275" t="s">
        <v>436</v>
      </c>
      <c r="G264" s="275" t="s">
        <v>437</v>
      </c>
      <c r="H264" s="275" t="s">
        <v>438</v>
      </c>
      <c r="I264" s="275" t="s">
        <v>439</v>
      </c>
      <c r="J264" s="275" t="s">
        <v>440</v>
      </c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</row>
    <row r="265" spans="1:27">
      <c r="A265" s="280"/>
      <c r="B265" s="274"/>
      <c r="C265" s="278"/>
      <c r="D265" s="275">
        <v>5.212E-2</v>
      </c>
      <c r="E265" s="275">
        <v>0.23386999999999999</v>
      </c>
      <c r="F265" s="275">
        <v>0.20391000000000001</v>
      </c>
      <c r="G265" s="275">
        <v>0.20716999999999999</v>
      </c>
      <c r="H265" s="275">
        <v>0.69806999999999997</v>
      </c>
      <c r="I265" s="275">
        <v>0.72033999999999998</v>
      </c>
      <c r="J265" s="275">
        <v>0.72897000000000001</v>
      </c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</row>
    <row r="266" spans="1:27">
      <c r="A266" s="280"/>
      <c r="B266" s="274"/>
      <c r="C266" s="278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</row>
    <row r="267" spans="1:27">
      <c r="A267" s="280">
        <v>93</v>
      </c>
      <c r="B267" s="274">
        <v>30</v>
      </c>
      <c r="C267" s="278" t="s">
        <v>335</v>
      </c>
      <c r="D267" s="275" t="s">
        <v>434</v>
      </c>
      <c r="E267" s="275" t="s">
        <v>435</v>
      </c>
      <c r="F267" s="275" t="s">
        <v>436</v>
      </c>
      <c r="G267" s="275" t="s">
        <v>437</v>
      </c>
      <c r="H267" s="275" t="s">
        <v>438</v>
      </c>
      <c r="I267" s="275" t="s">
        <v>439</v>
      </c>
      <c r="J267" s="275" t="s">
        <v>440</v>
      </c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</row>
    <row r="268" spans="1:27">
      <c r="A268" s="280"/>
      <c r="B268" s="274"/>
      <c r="C268" s="278"/>
      <c r="D268" s="275">
        <v>5.0299999999999997E-2</v>
      </c>
      <c r="E268" s="275">
        <v>0.22499</v>
      </c>
      <c r="F268" s="275">
        <v>0.19578999999999999</v>
      </c>
      <c r="G268" s="275">
        <v>0.19914000000000001</v>
      </c>
      <c r="H268" s="275">
        <v>0.68164000000000002</v>
      </c>
      <c r="I268" s="275">
        <v>0.70821999999999996</v>
      </c>
      <c r="J268" s="275">
        <v>0.71819</v>
      </c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</row>
    <row r="269" spans="1:27">
      <c r="A269" s="280"/>
      <c r="B269" s="274"/>
      <c r="C269" s="278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</row>
    <row r="270" spans="1:27">
      <c r="A270" s="280">
        <v>94</v>
      </c>
      <c r="B270" s="274">
        <v>31</v>
      </c>
      <c r="C270" s="278" t="s">
        <v>84</v>
      </c>
      <c r="D270" s="275" t="s">
        <v>434</v>
      </c>
      <c r="E270" s="275" t="s">
        <v>435</v>
      </c>
      <c r="F270" s="275" t="s">
        <v>436</v>
      </c>
      <c r="G270" s="275" t="s">
        <v>437</v>
      </c>
      <c r="H270" s="275" t="s">
        <v>438</v>
      </c>
      <c r="I270" s="275" t="s">
        <v>439</v>
      </c>
      <c r="J270" s="275" t="s">
        <v>440</v>
      </c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</row>
    <row r="271" spans="1:27">
      <c r="A271" s="280"/>
      <c r="B271" s="274"/>
      <c r="C271" s="278"/>
      <c r="D271" s="275">
        <v>4.8590000000000001E-2</v>
      </c>
      <c r="E271" s="275">
        <v>0.2167</v>
      </c>
      <c r="F271" s="275">
        <v>0.18823000000000001</v>
      </c>
      <c r="G271" s="275">
        <v>0.19169</v>
      </c>
      <c r="H271" s="275">
        <v>0.6502</v>
      </c>
      <c r="I271" s="275">
        <v>0.67301</v>
      </c>
      <c r="J271" s="275">
        <v>0.68303000000000003</v>
      </c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</row>
    <row r="272" spans="1:27">
      <c r="A272" s="280"/>
      <c r="B272" s="274"/>
      <c r="C272" s="278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</row>
    <row r="273" spans="1:27">
      <c r="A273" s="280">
        <v>95</v>
      </c>
      <c r="B273" s="274">
        <v>31</v>
      </c>
      <c r="C273" s="278" t="s">
        <v>85</v>
      </c>
      <c r="D273" s="275" t="s">
        <v>434</v>
      </c>
      <c r="E273" s="275" t="s">
        <v>435</v>
      </c>
      <c r="F273" s="275" t="s">
        <v>436</v>
      </c>
      <c r="G273" s="275" t="s">
        <v>437</v>
      </c>
      <c r="H273" s="275" t="s">
        <v>438</v>
      </c>
      <c r="I273" s="275" t="s">
        <v>439</v>
      </c>
      <c r="J273" s="275" t="s">
        <v>440</v>
      </c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</row>
    <row r="274" spans="1:27">
      <c r="A274" s="280"/>
      <c r="B274" s="274"/>
      <c r="C274" s="278"/>
      <c r="D274" s="275">
        <v>4.8590000000000001E-2</v>
      </c>
      <c r="E274" s="275">
        <v>0.21671000000000001</v>
      </c>
      <c r="F274" s="275">
        <v>0.18823000000000001</v>
      </c>
      <c r="G274" s="275">
        <v>0.19169</v>
      </c>
      <c r="H274" s="275">
        <v>0.65064999999999995</v>
      </c>
      <c r="I274" s="275">
        <v>0.67264999999999997</v>
      </c>
      <c r="J274" s="275">
        <v>0.68259000000000003</v>
      </c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</row>
    <row r="275" spans="1:27">
      <c r="A275" s="280"/>
      <c r="B275" s="274"/>
      <c r="C275" s="278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</row>
    <row r="276" spans="1:27">
      <c r="A276" s="280">
        <v>96</v>
      </c>
      <c r="B276" s="274">
        <v>31</v>
      </c>
      <c r="C276" s="278" t="s">
        <v>86</v>
      </c>
      <c r="D276" s="275" t="s">
        <v>434</v>
      </c>
      <c r="E276" s="275" t="s">
        <v>435</v>
      </c>
      <c r="F276" s="275" t="s">
        <v>436</v>
      </c>
      <c r="G276" s="275" t="s">
        <v>437</v>
      </c>
      <c r="H276" s="275" t="s">
        <v>438</v>
      </c>
      <c r="I276" s="275" t="s">
        <v>439</v>
      </c>
      <c r="J276" s="275" t="s">
        <v>440</v>
      </c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</row>
    <row r="277" spans="1:27">
      <c r="A277" s="280"/>
      <c r="B277" s="274"/>
      <c r="C277" s="278"/>
      <c r="D277" s="275">
        <v>4.8590000000000001E-2</v>
      </c>
      <c r="E277" s="275">
        <v>0.21672</v>
      </c>
      <c r="F277" s="275">
        <v>0.18823000000000001</v>
      </c>
      <c r="G277" s="275">
        <v>0.19167999999999999</v>
      </c>
      <c r="H277" s="275">
        <v>0.65120999999999996</v>
      </c>
      <c r="I277" s="275">
        <v>0.67205999999999999</v>
      </c>
      <c r="J277" s="275">
        <v>0.68188000000000004</v>
      </c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</row>
    <row r="278" spans="1:27">
      <c r="A278" s="280"/>
      <c r="B278" s="274"/>
      <c r="C278" s="278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</row>
    <row r="279" spans="1:27">
      <c r="A279" s="280">
        <v>97</v>
      </c>
      <c r="B279" s="274">
        <v>32</v>
      </c>
      <c r="C279" s="278" t="s">
        <v>87</v>
      </c>
      <c r="D279" s="275" t="s">
        <v>434</v>
      </c>
      <c r="E279" s="275" t="s">
        <v>435</v>
      </c>
      <c r="F279" s="275" t="s">
        <v>436</v>
      </c>
      <c r="G279" s="275" t="s">
        <v>437</v>
      </c>
      <c r="H279" s="275" t="s">
        <v>438</v>
      </c>
      <c r="I279" s="275" t="s">
        <v>439</v>
      </c>
      <c r="J279" s="275" t="s">
        <v>440</v>
      </c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</row>
    <row r="280" spans="1:27">
      <c r="A280" s="280"/>
      <c r="B280" s="274"/>
      <c r="C280" s="278"/>
      <c r="D280" s="275">
        <v>4.7E-2</v>
      </c>
      <c r="E280" s="275">
        <v>0.20899000000000001</v>
      </c>
      <c r="F280" s="275">
        <v>0.18121000000000001</v>
      </c>
      <c r="G280" s="275">
        <v>0.18476000000000001</v>
      </c>
      <c r="H280" s="275">
        <v>0.62187000000000003</v>
      </c>
      <c r="I280" s="275">
        <v>0.63978999999999997</v>
      </c>
      <c r="J280" s="275">
        <v>0.64971000000000001</v>
      </c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</row>
    <row r="281" spans="1:27">
      <c r="A281" s="280"/>
      <c r="B281" s="274"/>
      <c r="C281" s="278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</row>
    <row r="282" spans="1:27">
      <c r="A282" s="280">
        <v>98</v>
      </c>
      <c r="B282" s="274">
        <v>32</v>
      </c>
      <c r="C282" s="278" t="s">
        <v>88</v>
      </c>
      <c r="D282" s="275" t="s">
        <v>434</v>
      </c>
      <c r="E282" s="275" t="s">
        <v>435</v>
      </c>
      <c r="F282" s="275" t="s">
        <v>436</v>
      </c>
      <c r="G282" s="275" t="s">
        <v>437</v>
      </c>
      <c r="H282" s="275" t="s">
        <v>438</v>
      </c>
      <c r="I282" s="275" t="s">
        <v>439</v>
      </c>
      <c r="J282" s="275" t="s">
        <v>440</v>
      </c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</row>
    <row r="283" spans="1:27">
      <c r="A283" s="280"/>
      <c r="B283" s="274"/>
      <c r="C283" s="278"/>
      <c r="D283" s="275">
        <v>4.7E-2</v>
      </c>
      <c r="E283" s="275">
        <v>0.20898</v>
      </c>
      <c r="F283" s="275">
        <v>0.18121000000000001</v>
      </c>
      <c r="G283" s="275">
        <v>0.18476000000000001</v>
      </c>
      <c r="H283" s="275">
        <v>0.62175000000000002</v>
      </c>
      <c r="I283" s="275">
        <v>0.63985999999999998</v>
      </c>
      <c r="J283" s="275">
        <v>0.64976999999999996</v>
      </c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</row>
    <row r="284" spans="1:27">
      <c r="A284" s="280"/>
      <c r="B284" s="274"/>
      <c r="C284" s="278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</row>
    <row r="285" spans="1:27">
      <c r="A285" s="280">
        <v>99</v>
      </c>
      <c r="B285" s="274">
        <v>32</v>
      </c>
      <c r="C285" s="278" t="s">
        <v>89</v>
      </c>
      <c r="D285" s="275" t="s">
        <v>434</v>
      </c>
      <c r="E285" s="275" t="s">
        <v>435</v>
      </c>
      <c r="F285" s="275" t="s">
        <v>436</v>
      </c>
      <c r="G285" s="275" t="s">
        <v>437</v>
      </c>
      <c r="H285" s="275" t="s">
        <v>438</v>
      </c>
      <c r="I285" s="275" t="s">
        <v>439</v>
      </c>
      <c r="J285" s="275" t="s">
        <v>440</v>
      </c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</row>
    <row r="286" spans="1:27">
      <c r="A286" s="280"/>
      <c r="B286" s="274"/>
      <c r="C286" s="278"/>
      <c r="D286" s="275">
        <v>4.7E-2</v>
      </c>
      <c r="E286" s="275">
        <v>0.20899000000000001</v>
      </c>
      <c r="F286" s="275">
        <v>0.1812</v>
      </c>
      <c r="G286" s="275">
        <v>0.18475</v>
      </c>
      <c r="H286" s="275">
        <v>0.62212000000000001</v>
      </c>
      <c r="I286" s="275">
        <v>0.63924999999999998</v>
      </c>
      <c r="J286" s="275">
        <v>0.64905999999999997</v>
      </c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</row>
    <row r="287" spans="1:27">
      <c r="A287" s="280"/>
      <c r="B287" s="274"/>
      <c r="C287" s="278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</row>
    <row r="288" spans="1:27">
      <c r="A288" s="280">
        <v>100</v>
      </c>
      <c r="B288" s="274">
        <v>32</v>
      </c>
      <c r="C288" s="278" t="s">
        <v>90</v>
      </c>
      <c r="D288" s="275" t="s">
        <v>434</v>
      </c>
      <c r="E288" s="275" t="s">
        <v>435</v>
      </c>
      <c r="F288" s="275" t="s">
        <v>436</v>
      </c>
      <c r="G288" s="275" t="s">
        <v>437</v>
      </c>
      <c r="H288" s="275" t="s">
        <v>438</v>
      </c>
      <c r="I288" s="275" t="s">
        <v>439</v>
      </c>
      <c r="J288" s="275" t="s">
        <v>440</v>
      </c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</row>
    <row r="289" spans="1:27">
      <c r="A289" s="280"/>
      <c r="B289" s="274"/>
      <c r="C289" s="278"/>
      <c r="D289" s="275">
        <v>4.7E-2</v>
      </c>
      <c r="E289" s="275">
        <v>0.20899999999999999</v>
      </c>
      <c r="F289" s="275">
        <v>0.18118999999999999</v>
      </c>
      <c r="G289" s="275">
        <v>0.18475</v>
      </c>
      <c r="H289" s="275">
        <v>0.62255000000000005</v>
      </c>
      <c r="I289" s="275">
        <v>0.63841999999999999</v>
      </c>
      <c r="J289" s="275">
        <v>0.64810999999999996</v>
      </c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</row>
    <row r="290" spans="1:27">
      <c r="A290" s="280"/>
      <c r="B290" s="274"/>
      <c r="C290" s="278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</row>
    <row r="291" spans="1:27">
      <c r="A291" s="280">
        <v>101</v>
      </c>
      <c r="B291" s="274">
        <v>33</v>
      </c>
      <c r="C291" s="278" t="s">
        <v>336</v>
      </c>
      <c r="D291" s="275" t="s">
        <v>434</v>
      </c>
      <c r="E291" s="275" t="s">
        <v>435</v>
      </c>
      <c r="F291" s="275" t="s">
        <v>436</v>
      </c>
      <c r="G291" s="275" t="s">
        <v>437</v>
      </c>
      <c r="H291" s="275" t="s">
        <v>438</v>
      </c>
      <c r="I291" s="275" t="s">
        <v>439</v>
      </c>
      <c r="J291" s="275" t="s">
        <v>440</v>
      </c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</row>
    <row r="292" spans="1:27">
      <c r="A292" s="280"/>
      <c r="B292" s="274"/>
      <c r="C292" s="278"/>
      <c r="D292" s="275">
        <v>4.5490000000000003E-2</v>
      </c>
      <c r="E292" s="275">
        <v>0.20177</v>
      </c>
      <c r="F292" s="275">
        <v>0.17465</v>
      </c>
      <c r="G292" s="275">
        <v>0.17829999999999999</v>
      </c>
      <c r="H292" s="275">
        <v>0.59533999999999998</v>
      </c>
      <c r="I292" s="275">
        <v>0.60918000000000005</v>
      </c>
      <c r="J292" s="275">
        <v>0.61900999999999995</v>
      </c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</row>
    <row r="293" spans="1:27">
      <c r="A293" s="280"/>
      <c r="B293" s="274"/>
      <c r="C293" s="278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</row>
    <row r="294" spans="1:27">
      <c r="A294" s="280">
        <v>102</v>
      </c>
      <c r="B294" s="274">
        <v>33</v>
      </c>
      <c r="C294" s="278" t="s">
        <v>91</v>
      </c>
      <c r="D294" s="275" t="s">
        <v>434</v>
      </c>
      <c r="E294" s="275" t="s">
        <v>435</v>
      </c>
      <c r="F294" s="275" t="s">
        <v>436</v>
      </c>
      <c r="G294" s="275" t="s">
        <v>437</v>
      </c>
      <c r="H294" s="275" t="s">
        <v>438</v>
      </c>
      <c r="I294" s="275" t="s">
        <v>439</v>
      </c>
      <c r="J294" s="275" t="s">
        <v>440</v>
      </c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</row>
    <row r="295" spans="1:27">
      <c r="A295" s="280"/>
      <c r="B295" s="274"/>
      <c r="C295" s="278"/>
      <c r="D295" s="275">
        <v>4.5490000000000003E-2</v>
      </c>
      <c r="E295" s="275">
        <v>0.20175999999999999</v>
      </c>
      <c r="F295" s="275">
        <v>0.17465</v>
      </c>
      <c r="G295" s="275">
        <v>0.17829999999999999</v>
      </c>
      <c r="H295" s="275">
        <v>0.59513000000000005</v>
      </c>
      <c r="I295" s="275">
        <v>0.60911999999999999</v>
      </c>
      <c r="J295" s="275">
        <v>0.61892000000000003</v>
      </c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</row>
    <row r="296" spans="1:27">
      <c r="A296" s="280"/>
      <c r="B296" s="274"/>
      <c r="C296" s="278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</row>
    <row r="297" spans="1:27">
      <c r="A297" s="280">
        <v>103</v>
      </c>
      <c r="B297" s="274">
        <v>33</v>
      </c>
      <c r="C297" s="278" t="s">
        <v>337</v>
      </c>
      <c r="D297" s="275" t="s">
        <v>434</v>
      </c>
      <c r="E297" s="275" t="s">
        <v>435</v>
      </c>
      <c r="F297" s="275" t="s">
        <v>436</v>
      </c>
      <c r="G297" s="275" t="s">
        <v>437</v>
      </c>
      <c r="H297" s="275" t="s">
        <v>438</v>
      </c>
      <c r="I297" s="275" t="s">
        <v>439</v>
      </c>
      <c r="J297" s="275" t="s">
        <v>440</v>
      </c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</row>
    <row r="298" spans="1:27">
      <c r="A298" s="280"/>
      <c r="B298" s="274"/>
      <c r="C298" s="278"/>
      <c r="D298" s="275">
        <v>4.5490000000000003E-2</v>
      </c>
      <c r="E298" s="275">
        <v>0.20177999999999999</v>
      </c>
      <c r="F298" s="275">
        <v>0.17463000000000001</v>
      </c>
      <c r="G298" s="275">
        <v>0.17829</v>
      </c>
      <c r="H298" s="275">
        <v>0.59572999999999998</v>
      </c>
      <c r="I298" s="275">
        <v>0.60738999999999999</v>
      </c>
      <c r="J298" s="275">
        <v>0.61695999999999995</v>
      </c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</row>
    <row r="299" spans="1:27">
      <c r="A299" s="280"/>
      <c r="B299" s="274"/>
      <c r="C299" s="278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</row>
    <row r="300" spans="1:27">
      <c r="A300" s="280">
        <v>104</v>
      </c>
      <c r="B300" s="274">
        <v>34</v>
      </c>
      <c r="C300" s="278" t="s">
        <v>338</v>
      </c>
      <c r="D300" s="275" t="s">
        <v>434</v>
      </c>
      <c r="E300" s="275" t="s">
        <v>435</v>
      </c>
      <c r="F300" s="275" t="s">
        <v>436</v>
      </c>
      <c r="G300" s="275" t="s">
        <v>437</v>
      </c>
      <c r="H300" s="275" t="s">
        <v>438</v>
      </c>
      <c r="I300" s="275" t="s">
        <v>439</v>
      </c>
      <c r="J300" s="275" t="s">
        <v>440</v>
      </c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</row>
    <row r="301" spans="1:27">
      <c r="A301" s="280"/>
      <c r="B301" s="274"/>
      <c r="C301" s="278"/>
      <c r="D301" s="275">
        <v>4.4080000000000001E-2</v>
      </c>
      <c r="E301" s="275">
        <v>0.19500999999999999</v>
      </c>
      <c r="F301" s="275">
        <v>0.16853000000000001</v>
      </c>
      <c r="G301" s="275">
        <v>0.17227999999999999</v>
      </c>
      <c r="H301" s="275">
        <v>0.57079999999999997</v>
      </c>
      <c r="I301" s="275">
        <v>0.58101999999999998</v>
      </c>
      <c r="J301" s="275">
        <v>0.59079999999999999</v>
      </c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</row>
    <row r="302" spans="1:27">
      <c r="A302" s="280"/>
      <c r="B302" s="274"/>
      <c r="C302" s="278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</row>
    <row r="303" spans="1:27">
      <c r="A303" s="280">
        <v>105</v>
      </c>
      <c r="B303" s="274">
        <v>34</v>
      </c>
      <c r="C303" s="278" t="s">
        <v>339</v>
      </c>
      <c r="D303" s="275" t="s">
        <v>434</v>
      </c>
      <c r="E303" s="275" t="s">
        <v>435</v>
      </c>
      <c r="F303" s="275" t="s">
        <v>436</v>
      </c>
      <c r="G303" s="275" t="s">
        <v>437</v>
      </c>
      <c r="H303" s="275" t="s">
        <v>438</v>
      </c>
      <c r="I303" s="275" t="s">
        <v>439</v>
      </c>
      <c r="J303" s="275" t="s">
        <v>440</v>
      </c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</row>
    <row r="304" spans="1:27">
      <c r="A304" s="280"/>
      <c r="B304" s="274"/>
      <c r="C304" s="278"/>
      <c r="D304" s="275">
        <v>4.4080000000000001E-2</v>
      </c>
      <c r="E304" s="275">
        <v>0.19499</v>
      </c>
      <c r="F304" s="275">
        <v>0.16852</v>
      </c>
      <c r="G304" s="275">
        <v>0.17227000000000001</v>
      </c>
      <c r="H304" s="275">
        <v>0.57030000000000003</v>
      </c>
      <c r="I304" s="275">
        <v>0.58074000000000003</v>
      </c>
      <c r="J304" s="275">
        <v>0.59045999999999998</v>
      </c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</row>
    <row r="305" spans="1:27">
      <c r="A305" s="280"/>
      <c r="B305" s="274"/>
      <c r="C305" s="278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</row>
    <row r="306" spans="1:27">
      <c r="A306" s="280">
        <v>106</v>
      </c>
      <c r="B306" s="274">
        <v>34</v>
      </c>
      <c r="C306" s="278" t="s">
        <v>340</v>
      </c>
      <c r="D306" s="275" t="s">
        <v>434</v>
      </c>
      <c r="E306" s="275" t="s">
        <v>435</v>
      </c>
      <c r="F306" s="275" t="s">
        <v>436</v>
      </c>
      <c r="G306" s="275" t="s">
        <v>437</v>
      </c>
      <c r="H306" s="275" t="s">
        <v>438</v>
      </c>
      <c r="I306" s="275" t="s">
        <v>439</v>
      </c>
      <c r="J306" s="275" t="s">
        <v>440</v>
      </c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</row>
    <row r="307" spans="1:27">
      <c r="A307" s="280"/>
      <c r="B307" s="274"/>
      <c r="C307" s="278"/>
      <c r="D307" s="275">
        <v>4.4080000000000001E-2</v>
      </c>
      <c r="E307" s="275">
        <v>0.19500999999999999</v>
      </c>
      <c r="F307" s="275">
        <v>0.16850000000000001</v>
      </c>
      <c r="G307" s="275">
        <v>0.17224999999999999</v>
      </c>
      <c r="H307" s="275">
        <v>0.57072999999999996</v>
      </c>
      <c r="I307" s="275">
        <v>0.57886000000000004</v>
      </c>
      <c r="J307" s="275">
        <v>0.58833000000000002</v>
      </c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</row>
    <row r="308" spans="1:27">
      <c r="A308" s="280"/>
      <c r="B308" s="274"/>
      <c r="C308" s="278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</row>
    <row r="309" spans="1:27">
      <c r="A309" s="280">
        <v>107</v>
      </c>
      <c r="B309" s="274">
        <v>35</v>
      </c>
      <c r="C309" s="278" t="s">
        <v>92</v>
      </c>
      <c r="D309" s="275" t="s">
        <v>434</v>
      </c>
      <c r="E309" s="275" t="s">
        <v>435</v>
      </c>
      <c r="F309" s="275" t="s">
        <v>436</v>
      </c>
      <c r="G309" s="275" t="s">
        <v>437</v>
      </c>
      <c r="H309" s="275" t="s">
        <v>438</v>
      </c>
      <c r="I309" s="275" t="s">
        <v>439</v>
      </c>
      <c r="J309" s="275" t="s">
        <v>440</v>
      </c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</row>
    <row r="310" spans="1:27">
      <c r="A310" s="280"/>
      <c r="B310" s="274"/>
      <c r="C310" s="278"/>
      <c r="D310" s="275">
        <v>4.2750000000000003E-2</v>
      </c>
      <c r="E310" s="275">
        <v>0.18867</v>
      </c>
      <c r="F310" s="275">
        <v>0.16278999999999999</v>
      </c>
      <c r="G310" s="275">
        <v>0.16663</v>
      </c>
      <c r="H310" s="275">
        <v>0.54815999999999998</v>
      </c>
      <c r="I310" s="275">
        <v>0.55518999999999996</v>
      </c>
      <c r="J310" s="275">
        <v>0.56496000000000002</v>
      </c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</row>
    <row r="311" spans="1:27">
      <c r="A311" s="280"/>
      <c r="B311" s="274"/>
      <c r="C311" s="278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</row>
    <row r="312" spans="1:27">
      <c r="A312" s="280">
        <v>108</v>
      </c>
      <c r="B312" s="274">
        <v>35</v>
      </c>
      <c r="C312" s="278" t="s">
        <v>341</v>
      </c>
      <c r="D312" s="275" t="s">
        <v>434</v>
      </c>
      <c r="E312" s="275" t="s">
        <v>435</v>
      </c>
      <c r="F312" s="275" t="s">
        <v>436</v>
      </c>
      <c r="G312" s="275" t="s">
        <v>437</v>
      </c>
      <c r="H312" s="275" t="s">
        <v>438</v>
      </c>
      <c r="I312" s="275" t="s">
        <v>439</v>
      </c>
      <c r="J312" s="275" t="s">
        <v>440</v>
      </c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</row>
    <row r="313" spans="1:27">
      <c r="A313" s="280"/>
      <c r="B313" s="274"/>
      <c r="C313" s="278"/>
      <c r="D313" s="275">
        <v>4.2750000000000003E-2</v>
      </c>
      <c r="E313" s="275">
        <v>0.18865999999999999</v>
      </c>
      <c r="F313" s="275">
        <v>0.16278000000000001</v>
      </c>
      <c r="G313" s="275">
        <v>0.16663</v>
      </c>
      <c r="H313" s="275">
        <v>0.54779999999999995</v>
      </c>
      <c r="I313" s="275">
        <v>0.55503999999999998</v>
      </c>
      <c r="J313" s="275">
        <v>0.56476000000000004</v>
      </c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</row>
    <row r="314" spans="1:27">
      <c r="A314" s="280"/>
      <c r="B314" s="274"/>
      <c r="C314" s="278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</row>
    <row r="315" spans="1:27">
      <c r="A315" s="280">
        <v>109</v>
      </c>
      <c r="B315" s="274">
        <v>35</v>
      </c>
      <c r="C315" s="278" t="s">
        <v>93</v>
      </c>
      <c r="D315" s="275" t="s">
        <v>434</v>
      </c>
      <c r="E315" s="275" t="s">
        <v>435</v>
      </c>
      <c r="F315" s="275" t="s">
        <v>436</v>
      </c>
      <c r="G315" s="275" t="s">
        <v>437</v>
      </c>
      <c r="H315" s="275" t="s">
        <v>438</v>
      </c>
      <c r="I315" s="275" t="s">
        <v>439</v>
      </c>
      <c r="J315" s="275" t="s">
        <v>440</v>
      </c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</row>
    <row r="316" spans="1:27">
      <c r="A316" s="280"/>
      <c r="B316" s="274"/>
      <c r="C316" s="278"/>
      <c r="D316" s="275">
        <v>4.2750000000000003E-2</v>
      </c>
      <c r="E316" s="275">
        <v>0.18865000000000001</v>
      </c>
      <c r="F316" s="275">
        <v>0.16278000000000001</v>
      </c>
      <c r="G316" s="275">
        <v>0.16661999999999999</v>
      </c>
      <c r="H316" s="275">
        <v>0.54752000000000001</v>
      </c>
      <c r="I316" s="275">
        <v>0.55484999999999995</v>
      </c>
      <c r="J316" s="275">
        <v>0.56454000000000004</v>
      </c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</row>
    <row r="317" spans="1:27">
      <c r="A317" s="280"/>
      <c r="B317" s="274"/>
      <c r="C317" s="278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</row>
    <row r="318" spans="1:27">
      <c r="A318" s="280">
        <v>110</v>
      </c>
      <c r="B318" s="274">
        <v>35</v>
      </c>
      <c r="C318" s="278" t="s">
        <v>94</v>
      </c>
      <c r="D318" s="275" t="s">
        <v>434</v>
      </c>
      <c r="E318" s="275" t="s">
        <v>435</v>
      </c>
      <c r="F318" s="275" t="s">
        <v>436</v>
      </c>
      <c r="G318" s="275" t="s">
        <v>437</v>
      </c>
      <c r="H318" s="275" t="s">
        <v>438</v>
      </c>
      <c r="I318" s="275" t="s">
        <v>439</v>
      </c>
      <c r="J318" s="275" t="s">
        <v>440</v>
      </c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</row>
    <row r="319" spans="1:27">
      <c r="A319" s="280"/>
      <c r="B319" s="274"/>
      <c r="C319" s="278"/>
      <c r="D319" s="275">
        <v>4.2750000000000003E-2</v>
      </c>
      <c r="E319" s="275">
        <v>0.18862999999999999</v>
      </c>
      <c r="F319" s="275">
        <v>0.16277</v>
      </c>
      <c r="G319" s="275">
        <v>0.16661999999999999</v>
      </c>
      <c r="H319" s="275">
        <v>0.54715999999999998</v>
      </c>
      <c r="I319" s="275">
        <v>0.55457000000000001</v>
      </c>
      <c r="J319" s="275">
        <v>0.56422000000000005</v>
      </c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</row>
    <row r="320" spans="1:27">
      <c r="A320" s="280"/>
      <c r="B320" s="274"/>
      <c r="C320" s="278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</row>
    <row r="321" spans="1:27">
      <c r="A321" s="280">
        <v>111</v>
      </c>
      <c r="B321" s="274">
        <v>35</v>
      </c>
      <c r="C321" s="278" t="s">
        <v>342</v>
      </c>
      <c r="D321" s="275" t="s">
        <v>434</v>
      </c>
      <c r="E321" s="275" t="s">
        <v>435</v>
      </c>
      <c r="F321" s="275" t="s">
        <v>436</v>
      </c>
      <c r="G321" s="275" t="s">
        <v>437</v>
      </c>
      <c r="H321" s="275" t="s">
        <v>438</v>
      </c>
      <c r="I321" s="275" t="s">
        <v>439</v>
      </c>
      <c r="J321" s="275" t="s">
        <v>440</v>
      </c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</row>
    <row r="322" spans="1:27">
      <c r="A322" s="280"/>
      <c r="B322" s="274"/>
      <c r="C322" s="278"/>
      <c r="D322" s="275">
        <v>4.2750000000000003E-2</v>
      </c>
      <c r="E322" s="275">
        <v>0.18865000000000001</v>
      </c>
      <c r="F322" s="275">
        <v>0.16275000000000001</v>
      </c>
      <c r="G322" s="275">
        <v>0.16658999999999999</v>
      </c>
      <c r="H322" s="275">
        <v>0.54744999999999999</v>
      </c>
      <c r="I322" s="275">
        <v>0.55262</v>
      </c>
      <c r="J322" s="275">
        <v>0.56203000000000003</v>
      </c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</row>
    <row r="323" spans="1:27">
      <c r="A323" s="280"/>
      <c r="B323" s="274"/>
      <c r="C323" s="278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</row>
    <row r="324" spans="1:27">
      <c r="A324" s="280">
        <v>112</v>
      </c>
      <c r="B324" s="274">
        <v>35</v>
      </c>
      <c r="C324" s="278" t="s">
        <v>343</v>
      </c>
      <c r="D324" s="275" t="s">
        <v>434</v>
      </c>
      <c r="E324" s="275" t="s">
        <v>435</v>
      </c>
      <c r="F324" s="275" t="s">
        <v>436</v>
      </c>
      <c r="G324" s="275" t="s">
        <v>437</v>
      </c>
      <c r="H324" s="275" t="s">
        <v>438</v>
      </c>
      <c r="I324" s="275" t="s">
        <v>439</v>
      </c>
      <c r="J324" s="275" t="s">
        <v>440</v>
      </c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</row>
    <row r="325" spans="1:27">
      <c r="A325" s="280"/>
      <c r="B325" s="274"/>
      <c r="C325" s="278"/>
      <c r="D325" s="275">
        <v>4.2750000000000003E-2</v>
      </c>
      <c r="E325" s="275">
        <v>0.18867999999999999</v>
      </c>
      <c r="F325" s="275">
        <v>0.16278999999999999</v>
      </c>
      <c r="G325" s="275">
        <v>0.16664000000000001</v>
      </c>
      <c r="H325" s="275">
        <v>0.54829000000000006</v>
      </c>
      <c r="I325" s="275">
        <v>0.55513000000000001</v>
      </c>
      <c r="J325" s="275">
        <v>0.56493000000000004</v>
      </c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</row>
    <row r="326" spans="1:27">
      <c r="A326" s="280"/>
      <c r="B326" s="274"/>
      <c r="C326" s="278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</row>
    <row r="327" spans="1:27">
      <c r="A327" s="280">
        <v>113</v>
      </c>
      <c r="B327" s="274">
        <v>36</v>
      </c>
      <c r="C327" s="278" t="s">
        <v>344</v>
      </c>
      <c r="D327" s="275" t="s">
        <v>434</v>
      </c>
      <c r="E327" s="275" t="s">
        <v>435</v>
      </c>
      <c r="F327" s="275" t="s">
        <v>436</v>
      </c>
      <c r="G327" s="275" t="s">
        <v>437</v>
      </c>
      <c r="H327" s="275" t="s">
        <v>438</v>
      </c>
      <c r="I327" s="275" t="s">
        <v>439</v>
      </c>
      <c r="J327" s="275" t="s">
        <v>440</v>
      </c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</row>
    <row r="328" spans="1:27">
      <c r="A328" s="280"/>
      <c r="B328" s="274"/>
      <c r="C328" s="278"/>
      <c r="D328" s="275">
        <v>4.1489999999999999E-2</v>
      </c>
      <c r="E328" s="275">
        <v>0.18268999999999999</v>
      </c>
      <c r="F328" s="275">
        <v>0.15739</v>
      </c>
      <c r="G328" s="275">
        <v>0.16134000000000001</v>
      </c>
      <c r="H328" s="275">
        <v>0.52683000000000002</v>
      </c>
      <c r="I328" s="275">
        <v>0.53134000000000003</v>
      </c>
      <c r="J328" s="275">
        <v>0.54108999999999996</v>
      </c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</row>
    <row r="329" spans="1:27">
      <c r="A329" s="280"/>
      <c r="B329" s="274"/>
      <c r="C329" s="278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</row>
    <row r="330" spans="1:27">
      <c r="A330" s="280">
        <v>114</v>
      </c>
      <c r="B330" s="274">
        <v>37</v>
      </c>
      <c r="C330" s="278" t="s">
        <v>95</v>
      </c>
      <c r="D330" s="275" t="s">
        <v>434</v>
      </c>
      <c r="E330" s="275" t="s">
        <v>435</v>
      </c>
      <c r="F330" s="275" t="s">
        <v>436</v>
      </c>
      <c r="G330" s="275" t="s">
        <v>437</v>
      </c>
      <c r="H330" s="275" t="s">
        <v>438</v>
      </c>
      <c r="I330" s="275" t="s">
        <v>439</v>
      </c>
      <c r="J330" s="275" t="s">
        <v>440</v>
      </c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</row>
    <row r="331" spans="1:27">
      <c r="A331" s="280"/>
      <c r="B331" s="274"/>
      <c r="C331" s="278"/>
      <c r="D331" s="275">
        <v>4.0300000000000002E-2</v>
      </c>
      <c r="E331" s="275">
        <v>0.17706</v>
      </c>
      <c r="F331" s="275">
        <v>0.15232000000000001</v>
      </c>
      <c r="G331" s="275">
        <v>0.15637000000000001</v>
      </c>
      <c r="H331" s="275">
        <v>0.50724999999999998</v>
      </c>
      <c r="I331" s="275">
        <v>0.50944</v>
      </c>
      <c r="J331" s="275">
        <v>0.51922000000000001</v>
      </c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</row>
    <row r="332" spans="1:27">
      <c r="A332" s="280"/>
      <c r="B332" s="274"/>
      <c r="C332" s="278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</row>
    <row r="333" spans="1:27">
      <c r="A333" s="280">
        <v>115</v>
      </c>
      <c r="B333" s="274">
        <v>38</v>
      </c>
      <c r="C333" s="278" t="s">
        <v>345</v>
      </c>
      <c r="D333" s="275" t="s">
        <v>434</v>
      </c>
      <c r="E333" s="275" t="s">
        <v>435</v>
      </c>
      <c r="F333" s="275" t="s">
        <v>436</v>
      </c>
      <c r="G333" s="275" t="s">
        <v>437</v>
      </c>
      <c r="H333" s="275" t="s">
        <v>438</v>
      </c>
      <c r="I333" s="275" t="s">
        <v>439</v>
      </c>
      <c r="J333" s="275" t="s">
        <v>440</v>
      </c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</row>
    <row r="334" spans="1:27">
      <c r="A334" s="280"/>
      <c r="B334" s="274"/>
      <c r="C334" s="278"/>
      <c r="D334" s="275">
        <v>3.9170000000000003E-2</v>
      </c>
      <c r="E334" s="275">
        <v>0.17172999999999999</v>
      </c>
      <c r="F334" s="275">
        <v>0.14754</v>
      </c>
      <c r="G334" s="275">
        <v>0.15168000000000001</v>
      </c>
      <c r="H334" s="275">
        <v>0.48873</v>
      </c>
      <c r="I334" s="275">
        <v>0.48908000000000001</v>
      </c>
      <c r="J334" s="275">
        <v>0.49886999999999998</v>
      </c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</row>
    <row r="335" spans="1:27">
      <c r="A335" s="280"/>
      <c r="B335" s="274"/>
      <c r="C335" s="278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</row>
    <row r="336" spans="1:27">
      <c r="A336" s="280">
        <v>116</v>
      </c>
      <c r="B336" s="274">
        <v>39</v>
      </c>
      <c r="C336" s="278" t="s">
        <v>346</v>
      </c>
      <c r="D336" s="275" t="s">
        <v>434</v>
      </c>
      <c r="E336" s="275" t="s">
        <v>435</v>
      </c>
      <c r="F336" s="275" t="s">
        <v>436</v>
      </c>
      <c r="G336" s="275" t="s">
        <v>437</v>
      </c>
      <c r="H336" s="275" t="s">
        <v>438</v>
      </c>
      <c r="I336" s="275" t="s">
        <v>439</v>
      </c>
      <c r="J336" s="275" t="s">
        <v>440</v>
      </c>
      <c r="K336" s="275" t="s">
        <v>441</v>
      </c>
      <c r="L336" s="275" t="s">
        <v>442</v>
      </c>
      <c r="M336" s="275" t="s">
        <v>443</v>
      </c>
      <c r="N336" s="275" t="s">
        <v>444</v>
      </c>
      <c r="O336" s="275" t="s">
        <v>445</v>
      </c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</row>
    <row r="337" spans="1:27">
      <c r="A337" s="280"/>
      <c r="B337" s="274"/>
      <c r="C337" s="278"/>
      <c r="D337" s="275">
        <v>3.8089999999999999E-2</v>
      </c>
      <c r="E337" s="275">
        <v>0.16669</v>
      </c>
      <c r="F337" s="275">
        <v>0.14302000000000001</v>
      </c>
      <c r="G337" s="275">
        <v>0.14726</v>
      </c>
      <c r="H337" s="275">
        <v>0.47145999999999999</v>
      </c>
      <c r="I337" s="275">
        <v>0.47026000000000001</v>
      </c>
      <c r="J337" s="275">
        <v>0.48009000000000002</v>
      </c>
      <c r="K337" s="275">
        <v>0.47042</v>
      </c>
      <c r="L337" s="275">
        <v>0.47393000000000002</v>
      </c>
      <c r="M337" s="275">
        <v>1.2883800000000001</v>
      </c>
      <c r="N337" s="275">
        <v>1.43404</v>
      </c>
      <c r="O337" s="275">
        <v>1.4625300000000001</v>
      </c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</row>
    <row r="338" spans="1:27">
      <c r="A338" s="280"/>
      <c r="B338" s="274"/>
      <c r="C338" s="278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</row>
    <row r="339" spans="1:27">
      <c r="A339" s="280">
        <v>117</v>
      </c>
      <c r="B339" s="274">
        <v>39</v>
      </c>
      <c r="C339" s="278" t="s">
        <v>96</v>
      </c>
      <c r="D339" s="275" t="s">
        <v>434</v>
      </c>
      <c r="E339" s="275" t="s">
        <v>435</v>
      </c>
      <c r="F339" s="275" t="s">
        <v>436</v>
      </c>
      <c r="G339" s="275" t="s">
        <v>437</v>
      </c>
      <c r="H339" s="275" t="s">
        <v>438</v>
      </c>
      <c r="I339" s="275" t="s">
        <v>439</v>
      </c>
      <c r="J339" s="275" t="s">
        <v>440</v>
      </c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</row>
    <row r="340" spans="1:27">
      <c r="A340" s="280"/>
      <c r="B340" s="274"/>
      <c r="C340" s="278"/>
      <c r="D340" s="275">
        <v>3.8089999999999999E-2</v>
      </c>
      <c r="E340" s="275">
        <v>0.16669</v>
      </c>
      <c r="F340" s="275">
        <v>0.14302000000000001</v>
      </c>
      <c r="G340" s="275">
        <v>0.14726</v>
      </c>
      <c r="H340" s="275">
        <v>0.47138000000000002</v>
      </c>
      <c r="I340" s="275">
        <v>0.47016000000000002</v>
      </c>
      <c r="J340" s="275">
        <v>0.47997000000000001</v>
      </c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</row>
    <row r="341" spans="1:27">
      <c r="A341" s="280"/>
      <c r="B341" s="274"/>
      <c r="C341" s="278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</row>
    <row r="342" spans="1:27">
      <c r="A342" s="280">
        <v>118</v>
      </c>
      <c r="B342" s="274">
        <v>40</v>
      </c>
      <c r="C342" s="278" t="s">
        <v>97</v>
      </c>
      <c r="D342" s="275" t="s">
        <v>434</v>
      </c>
      <c r="E342" s="275" t="s">
        <v>435</v>
      </c>
      <c r="F342" s="275" t="s">
        <v>436</v>
      </c>
      <c r="G342" s="275" t="s">
        <v>437</v>
      </c>
      <c r="H342" s="275" t="s">
        <v>438</v>
      </c>
      <c r="I342" s="275" t="s">
        <v>439</v>
      </c>
      <c r="J342" s="275" t="s">
        <v>440</v>
      </c>
      <c r="K342" s="275" t="s">
        <v>441</v>
      </c>
      <c r="L342" s="275" t="s">
        <v>442</v>
      </c>
      <c r="M342" s="275" t="s">
        <v>443</v>
      </c>
      <c r="N342" s="275" t="s">
        <v>444</v>
      </c>
      <c r="O342" s="275" t="s">
        <v>445</v>
      </c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</row>
    <row r="343" spans="1:27">
      <c r="A343" s="280"/>
      <c r="B343" s="274"/>
      <c r="C343" s="278"/>
      <c r="D343" s="275">
        <v>3.7069999999999999E-2</v>
      </c>
      <c r="E343" s="275">
        <v>0.16191</v>
      </c>
      <c r="F343" s="275">
        <v>0.13875000000000001</v>
      </c>
      <c r="G343" s="275">
        <v>0.14308999999999999</v>
      </c>
      <c r="H343" s="275">
        <v>0.45528000000000002</v>
      </c>
      <c r="I343" s="275">
        <v>0.45282</v>
      </c>
      <c r="J343" s="275">
        <v>0.46268999999999999</v>
      </c>
      <c r="K343" s="275">
        <v>0.44906000000000001</v>
      </c>
      <c r="L343" s="275">
        <v>0.45251999999999998</v>
      </c>
      <c r="M343" s="275">
        <v>1.2207600000000001</v>
      </c>
      <c r="N343" s="275">
        <v>1.3537699999999999</v>
      </c>
      <c r="O343" s="275">
        <v>1.3825000000000001</v>
      </c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</row>
    <row r="344" spans="1:27">
      <c r="A344" s="280"/>
      <c r="B344" s="274"/>
      <c r="C344" s="278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</row>
    <row r="345" spans="1:27">
      <c r="A345" s="280">
        <v>119</v>
      </c>
      <c r="B345" s="274">
        <v>40</v>
      </c>
      <c r="C345" s="278" t="s">
        <v>98</v>
      </c>
      <c r="D345" s="275" t="s">
        <v>434</v>
      </c>
      <c r="E345" s="275" t="s">
        <v>435</v>
      </c>
      <c r="F345" s="275" t="s">
        <v>436</v>
      </c>
      <c r="G345" s="275" t="s">
        <v>437</v>
      </c>
      <c r="H345" s="275" t="s">
        <v>438</v>
      </c>
      <c r="I345" s="275" t="s">
        <v>439</v>
      </c>
      <c r="J345" s="275" t="s">
        <v>440</v>
      </c>
      <c r="K345" s="275" t="s">
        <v>441</v>
      </c>
      <c r="L345" s="275" t="s">
        <v>442</v>
      </c>
      <c r="M345" s="275" t="s">
        <v>443</v>
      </c>
      <c r="N345" s="275" t="s">
        <v>444</v>
      </c>
      <c r="O345" s="275" t="s">
        <v>445</v>
      </c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</row>
    <row r="346" spans="1:27">
      <c r="A346" s="280"/>
      <c r="B346" s="274"/>
      <c r="C346" s="278"/>
      <c r="D346" s="275">
        <v>3.7069999999999999E-2</v>
      </c>
      <c r="E346" s="275">
        <v>0.16191</v>
      </c>
      <c r="F346" s="275">
        <v>0.13875000000000001</v>
      </c>
      <c r="G346" s="275">
        <v>0.14308000000000001</v>
      </c>
      <c r="H346" s="275">
        <v>0.45530999999999999</v>
      </c>
      <c r="I346" s="275">
        <v>0.45279999999999998</v>
      </c>
      <c r="J346" s="275">
        <v>0.46267000000000003</v>
      </c>
      <c r="K346" s="275">
        <v>0.44901000000000002</v>
      </c>
      <c r="L346" s="275">
        <v>0.45246999999999998</v>
      </c>
      <c r="M346" s="275">
        <v>1.2220299999999999</v>
      </c>
      <c r="N346" s="275">
        <v>1.34998</v>
      </c>
      <c r="O346" s="275">
        <v>1.37791</v>
      </c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</row>
    <row r="347" spans="1:27">
      <c r="A347" s="280"/>
      <c r="B347" s="274"/>
      <c r="C347" s="278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</row>
    <row r="348" spans="1:27">
      <c r="A348" s="280">
        <v>120</v>
      </c>
      <c r="B348" s="274">
        <v>40</v>
      </c>
      <c r="C348" s="278" t="s">
        <v>99</v>
      </c>
      <c r="D348" s="275" t="s">
        <v>434</v>
      </c>
      <c r="E348" s="275" t="s">
        <v>435</v>
      </c>
      <c r="F348" s="275" t="s">
        <v>436</v>
      </c>
      <c r="G348" s="275" t="s">
        <v>437</v>
      </c>
      <c r="H348" s="275" t="s">
        <v>438</v>
      </c>
      <c r="I348" s="275" t="s">
        <v>439</v>
      </c>
      <c r="J348" s="275" t="s">
        <v>440</v>
      </c>
      <c r="K348" s="275" t="s">
        <v>441</v>
      </c>
      <c r="L348" s="275" t="s">
        <v>442</v>
      </c>
      <c r="M348" s="275" t="s">
        <v>443</v>
      </c>
      <c r="N348" s="275" t="s">
        <v>444</v>
      </c>
      <c r="O348" s="275" t="s">
        <v>445</v>
      </c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</row>
    <row r="349" spans="1:27">
      <c r="A349" s="280"/>
      <c r="B349" s="274"/>
      <c r="C349" s="278"/>
      <c r="D349" s="275">
        <v>3.7069999999999999E-2</v>
      </c>
      <c r="E349" s="275">
        <v>0.16191</v>
      </c>
      <c r="F349" s="275">
        <v>0.13874</v>
      </c>
      <c r="G349" s="275">
        <v>0.14308000000000001</v>
      </c>
      <c r="H349" s="275">
        <v>0.45523999999999998</v>
      </c>
      <c r="I349" s="275">
        <v>0.45271</v>
      </c>
      <c r="J349" s="275">
        <v>0.46256000000000003</v>
      </c>
      <c r="K349" s="275">
        <v>0.44895000000000002</v>
      </c>
      <c r="L349" s="275">
        <v>0.45240000000000002</v>
      </c>
      <c r="M349" s="275">
        <v>1.21119</v>
      </c>
      <c r="N349" s="275">
        <v>1.3290299999999999</v>
      </c>
      <c r="O349" s="275">
        <v>1.35517</v>
      </c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</row>
    <row r="350" spans="1:27">
      <c r="A350" s="280"/>
      <c r="B350" s="274"/>
      <c r="C350" s="278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</row>
    <row r="351" spans="1:27">
      <c r="A351" s="280">
        <v>121</v>
      </c>
      <c r="B351" s="274">
        <v>40</v>
      </c>
      <c r="C351" s="278" t="s">
        <v>100</v>
      </c>
      <c r="D351" s="275" t="s">
        <v>434</v>
      </c>
      <c r="E351" s="275" t="s">
        <v>435</v>
      </c>
      <c r="F351" s="275" t="s">
        <v>436</v>
      </c>
      <c r="G351" s="275" t="s">
        <v>437</v>
      </c>
      <c r="H351" s="275" t="s">
        <v>438</v>
      </c>
      <c r="I351" s="275" t="s">
        <v>439</v>
      </c>
      <c r="J351" s="275" t="s">
        <v>440</v>
      </c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</row>
    <row r="352" spans="1:27">
      <c r="A352" s="280"/>
      <c r="B352" s="274"/>
      <c r="C352" s="278"/>
      <c r="D352" s="275">
        <v>3.7069999999999999E-2</v>
      </c>
      <c r="E352" s="275">
        <v>0.16189999999999999</v>
      </c>
      <c r="F352" s="275">
        <v>0.13874</v>
      </c>
      <c r="G352" s="275">
        <v>0.14308000000000001</v>
      </c>
      <c r="H352" s="275">
        <v>0.45511000000000001</v>
      </c>
      <c r="I352" s="275">
        <v>0.45254</v>
      </c>
      <c r="J352" s="275">
        <v>0.46238000000000001</v>
      </c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</row>
    <row r="353" spans="1:27">
      <c r="A353" s="280"/>
      <c r="B353" s="274"/>
      <c r="C353" s="278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</row>
    <row r="354" spans="1:27">
      <c r="A354" s="280">
        <v>122</v>
      </c>
      <c r="B354" s="274">
        <v>41</v>
      </c>
      <c r="C354" s="278" t="s">
        <v>347</v>
      </c>
      <c r="D354" s="275" t="s">
        <v>434</v>
      </c>
      <c r="E354" s="275" t="s">
        <v>435</v>
      </c>
      <c r="F354" s="275" t="s">
        <v>436</v>
      </c>
      <c r="G354" s="275" t="s">
        <v>437</v>
      </c>
      <c r="H354" s="275" t="s">
        <v>438</v>
      </c>
      <c r="I354" s="275" t="s">
        <v>439</v>
      </c>
      <c r="J354" s="275" t="s">
        <v>440</v>
      </c>
      <c r="K354" s="275" t="s">
        <v>441</v>
      </c>
      <c r="L354" s="275" t="s">
        <v>442</v>
      </c>
      <c r="M354" s="275" t="s">
        <v>443</v>
      </c>
      <c r="N354" s="275" t="s">
        <v>444</v>
      </c>
      <c r="O354" s="275" t="s">
        <v>445</v>
      </c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</row>
    <row r="355" spans="1:27">
      <c r="A355" s="280"/>
      <c r="B355" s="274"/>
      <c r="C355" s="278"/>
      <c r="D355" s="275">
        <v>3.61E-2</v>
      </c>
      <c r="E355" s="275">
        <v>0.15737000000000001</v>
      </c>
      <c r="F355" s="275">
        <v>0.13469999999999999</v>
      </c>
      <c r="G355" s="275">
        <v>0.13913</v>
      </c>
      <c r="H355" s="275">
        <v>0.44017000000000001</v>
      </c>
      <c r="I355" s="275">
        <v>0.43654999999999999</v>
      </c>
      <c r="J355" s="275">
        <v>0.44646999999999998</v>
      </c>
      <c r="K355" s="275">
        <v>0.42962</v>
      </c>
      <c r="L355" s="275">
        <v>0.43304999999999999</v>
      </c>
      <c r="M355" s="275">
        <v>1.1639699999999999</v>
      </c>
      <c r="N355" s="275">
        <v>1.2778400000000001</v>
      </c>
      <c r="O355" s="275">
        <v>1.30545</v>
      </c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</row>
    <row r="356" spans="1:27">
      <c r="A356" s="280"/>
      <c r="B356" s="274"/>
      <c r="C356" s="278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</row>
    <row r="357" spans="1:27">
      <c r="A357" s="280">
        <v>123</v>
      </c>
      <c r="B357" s="274">
        <v>41</v>
      </c>
      <c r="C357" s="278" t="s">
        <v>101</v>
      </c>
      <c r="D357" s="275" t="s">
        <v>434</v>
      </c>
      <c r="E357" s="275" t="s">
        <v>435</v>
      </c>
      <c r="F357" s="275" t="s">
        <v>436</v>
      </c>
      <c r="G357" s="275" t="s">
        <v>437</v>
      </c>
      <c r="H357" s="275" t="s">
        <v>438</v>
      </c>
      <c r="I357" s="275" t="s">
        <v>439</v>
      </c>
      <c r="J357" s="275" t="s">
        <v>440</v>
      </c>
      <c r="K357" s="275" t="s">
        <v>441</v>
      </c>
      <c r="L357" s="275" t="s">
        <v>442</v>
      </c>
      <c r="M357" s="275" t="s">
        <v>443</v>
      </c>
      <c r="N357" s="275" t="s">
        <v>444</v>
      </c>
      <c r="O357" s="275" t="s">
        <v>445</v>
      </c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</row>
    <row r="358" spans="1:27">
      <c r="A358" s="280"/>
      <c r="B358" s="274"/>
      <c r="C358" s="278"/>
      <c r="D358" s="275">
        <v>3.61E-2</v>
      </c>
      <c r="E358" s="275">
        <v>0.15737000000000001</v>
      </c>
      <c r="F358" s="275">
        <v>0.13469</v>
      </c>
      <c r="G358" s="275">
        <v>0.13913</v>
      </c>
      <c r="H358" s="275">
        <v>0.44011</v>
      </c>
      <c r="I358" s="275">
        <v>0.43646000000000001</v>
      </c>
      <c r="J358" s="275">
        <v>0.44638</v>
      </c>
      <c r="K358" s="275">
        <v>0.42956</v>
      </c>
      <c r="L358" s="275">
        <v>0.43298999999999999</v>
      </c>
      <c r="M358" s="275">
        <v>1.15456</v>
      </c>
      <c r="N358" s="275">
        <v>1.2599899999999999</v>
      </c>
      <c r="O358" s="275">
        <v>1.2859700000000001</v>
      </c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</row>
    <row r="359" spans="1:27">
      <c r="A359" s="280"/>
      <c r="B359" s="274"/>
      <c r="C359" s="278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</row>
    <row r="360" spans="1:27">
      <c r="A360" s="280">
        <v>124</v>
      </c>
      <c r="B360" s="274">
        <v>41</v>
      </c>
      <c r="C360" s="278" t="s">
        <v>102</v>
      </c>
      <c r="D360" s="275" t="s">
        <v>434</v>
      </c>
      <c r="E360" s="275" t="s">
        <v>435</v>
      </c>
      <c r="F360" s="275" t="s">
        <v>436</v>
      </c>
      <c r="G360" s="275" t="s">
        <v>437</v>
      </c>
      <c r="H360" s="275" t="s">
        <v>438</v>
      </c>
      <c r="I360" s="275" t="s">
        <v>439</v>
      </c>
      <c r="J360" s="275" t="s">
        <v>440</v>
      </c>
      <c r="K360" s="275" t="s">
        <v>441</v>
      </c>
      <c r="L360" s="275" t="s">
        <v>442</v>
      </c>
      <c r="M360" s="275" t="s">
        <v>443</v>
      </c>
      <c r="N360" s="275" t="s">
        <v>444</v>
      </c>
      <c r="O360" s="275" t="s">
        <v>445</v>
      </c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</row>
    <row r="361" spans="1:27">
      <c r="A361" s="280"/>
      <c r="B361" s="274"/>
      <c r="C361" s="278"/>
      <c r="D361" s="275">
        <v>3.61E-2</v>
      </c>
      <c r="E361" s="275">
        <v>0.15737000000000001</v>
      </c>
      <c r="F361" s="275">
        <v>0.13469</v>
      </c>
      <c r="G361" s="275">
        <v>0.13913</v>
      </c>
      <c r="H361" s="275">
        <v>0.43998999999999999</v>
      </c>
      <c r="I361" s="275">
        <v>0.43630999999999998</v>
      </c>
      <c r="J361" s="275">
        <v>0.44621</v>
      </c>
      <c r="K361" s="275">
        <v>0.42942000000000002</v>
      </c>
      <c r="L361" s="275">
        <v>0.43284</v>
      </c>
      <c r="M361" s="275">
        <v>1.14303</v>
      </c>
      <c r="N361" s="275">
        <v>1.2399199999999999</v>
      </c>
      <c r="O361" s="275">
        <v>1.26433</v>
      </c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</row>
    <row r="362" spans="1:27">
      <c r="A362" s="280"/>
      <c r="B362" s="274"/>
      <c r="C362" s="278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</row>
    <row r="363" spans="1:27">
      <c r="A363" s="280">
        <v>125</v>
      </c>
      <c r="B363" s="274">
        <v>41</v>
      </c>
      <c r="C363" s="278" t="s">
        <v>103</v>
      </c>
      <c r="D363" s="275" t="s">
        <v>434</v>
      </c>
      <c r="E363" s="275" t="s">
        <v>435</v>
      </c>
      <c r="F363" s="275" t="s">
        <v>436</v>
      </c>
      <c r="G363" s="275" t="s">
        <v>437</v>
      </c>
      <c r="H363" s="275" t="s">
        <v>438</v>
      </c>
      <c r="I363" s="275" t="s">
        <v>439</v>
      </c>
      <c r="J363" s="275" t="s">
        <v>440</v>
      </c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</row>
    <row r="364" spans="1:27">
      <c r="A364" s="280"/>
      <c r="B364" s="274"/>
      <c r="C364" s="278"/>
      <c r="D364" s="275">
        <v>3.61E-2</v>
      </c>
      <c r="E364" s="275">
        <v>0.15736</v>
      </c>
      <c r="F364" s="275">
        <v>0.13469</v>
      </c>
      <c r="G364" s="275">
        <v>0.13911999999999999</v>
      </c>
      <c r="H364" s="275">
        <v>0.43981999999999999</v>
      </c>
      <c r="I364" s="275">
        <v>0.43608999999999998</v>
      </c>
      <c r="J364" s="275">
        <v>0.44596999999999998</v>
      </c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</row>
    <row r="365" spans="1:27">
      <c r="A365" s="280"/>
      <c r="B365" s="274"/>
      <c r="C365" s="278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</row>
    <row r="366" spans="1:27">
      <c r="A366" s="280">
        <v>126</v>
      </c>
      <c r="B366" s="274">
        <v>42</v>
      </c>
      <c r="C366" s="278" t="s">
        <v>104</v>
      </c>
      <c r="D366" s="275" t="s">
        <v>434</v>
      </c>
      <c r="E366" s="275" t="s">
        <v>435</v>
      </c>
      <c r="F366" s="275" t="s">
        <v>436</v>
      </c>
      <c r="G366" s="275" t="s">
        <v>437</v>
      </c>
      <c r="H366" s="275" t="s">
        <v>438</v>
      </c>
      <c r="I366" s="275" t="s">
        <v>439</v>
      </c>
      <c r="J366" s="275" t="s">
        <v>440</v>
      </c>
      <c r="K366" s="275" t="s">
        <v>441</v>
      </c>
      <c r="L366" s="275" t="s">
        <v>442</v>
      </c>
      <c r="M366" s="275" t="s">
        <v>443</v>
      </c>
      <c r="N366" s="275" t="s">
        <v>444</v>
      </c>
      <c r="O366" s="275" t="s">
        <v>445</v>
      </c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</row>
    <row r="367" spans="1:27">
      <c r="A367" s="280"/>
      <c r="B367" s="274"/>
      <c r="C367" s="278"/>
      <c r="D367" s="275">
        <v>3.517E-2</v>
      </c>
      <c r="E367" s="275">
        <v>0.15304999999999999</v>
      </c>
      <c r="F367" s="275">
        <v>0.13084999999999999</v>
      </c>
      <c r="G367" s="275">
        <v>0.13539000000000001</v>
      </c>
      <c r="H367" s="275">
        <v>0.42598999999999998</v>
      </c>
      <c r="I367" s="275">
        <v>0.42142000000000002</v>
      </c>
      <c r="J367" s="275">
        <v>0.43141000000000002</v>
      </c>
      <c r="K367" s="275">
        <v>0.41195999999999999</v>
      </c>
      <c r="L367" s="275">
        <v>0.41537000000000002</v>
      </c>
      <c r="M367" s="275">
        <v>1.1182000000000001</v>
      </c>
      <c r="N367" s="275">
        <v>1.22681</v>
      </c>
      <c r="O367" s="275">
        <v>1.2556700000000001</v>
      </c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</row>
    <row r="368" spans="1:27">
      <c r="A368" s="280"/>
      <c r="B368" s="274"/>
      <c r="C368" s="278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</row>
    <row r="369" spans="1:27">
      <c r="A369" s="280">
        <v>127</v>
      </c>
      <c r="B369" s="274">
        <v>42</v>
      </c>
      <c r="C369" s="278" t="s">
        <v>105</v>
      </c>
      <c r="D369" s="275" t="s">
        <v>434</v>
      </c>
      <c r="E369" s="275" t="s">
        <v>435</v>
      </c>
      <c r="F369" s="275" t="s">
        <v>436</v>
      </c>
      <c r="G369" s="275" t="s">
        <v>437</v>
      </c>
      <c r="H369" s="275" t="s">
        <v>438</v>
      </c>
      <c r="I369" s="275" t="s">
        <v>439</v>
      </c>
      <c r="J369" s="275" t="s">
        <v>440</v>
      </c>
      <c r="K369" s="275" t="s">
        <v>441</v>
      </c>
      <c r="L369" s="275" t="s">
        <v>442</v>
      </c>
      <c r="M369" s="275" t="s">
        <v>443</v>
      </c>
      <c r="N369" s="275" t="s">
        <v>444</v>
      </c>
      <c r="O369" s="275" t="s">
        <v>445</v>
      </c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</row>
    <row r="370" spans="1:27">
      <c r="A370" s="280"/>
      <c r="B370" s="274"/>
      <c r="C370" s="278"/>
      <c r="D370" s="275">
        <v>3.517E-2</v>
      </c>
      <c r="E370" s="275">
        <v>0.15304999999999999</v>
      </c>
      <c r="F370" s="275">
        <v>0.13084999999999999</v>
      </c>
      <c r="G370" s="275">
        <v>0.13539000000000001</v>
      </c>
      <c r="H370" s="275">
        <v>0.42596000000000001</v>
      </c>
      <c r="I370" s="275">
        <v>0.42138999999999999</v>
      </c>
      <c r="J370" s="275">
        <v>0.43137999999999999</v>
      </c>
      <c r="K370" s="275">
        <v>0.41195999999999999</v>
      </c>
      <c r="L370" s="275">
        <v>0.41537000000000002</v>
      </c>
      <c r="M370" s="275">
        <v>1.1123700000000001</v>
      </c>
      <c r="N370" s="275">
        <v>1.2146600000000001</v>
      </c>
      <c r="O370" s="275">
        <v>1.2421199999999999</v>
      </c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</row>
    <row r="371" spans="1:27">
      <c r="A371" s="280"/>
      <c r="B371" s="274"/>
      <c r="C371" s="278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</row>
    <row r="372" spans="1:27">
      <c r="A372" s="280">
        <v>128</v>
      </c>
      <c r="B372" s="274">
        <v>42</v>
      </c>
      <c r="C372" s="278" t="s">
        <v>106</v>
      </c>
      <c r="D372" s="275" t="s">
        <v>434</v>
      </c>
      <c r="E372" s="275" t="s">
        <v>435</v>
      </c>
      <c r="F372" s="275" t="s">
        <v>436</v>
      </c>
      <c r="G372" s="275" t="s">
        <v>437</v>
      </c>
      <c r="H372" s="275" t="s">
        <v>438</v>
      </c>
      <c r="I372" s="275" t="s">
        <v>439</v>
      </c>
      <c r="J372" s="275" t="s">
        <v>440</v>
      </c>
      <c r="K372" s="275" t="s">
        <v>441</v>
      </c>
      <c r="L372" s="275" t="s">
        <v>442</v>
      </c>
      <c r="M372" s="275" t="s">
        <v>443</v>
      </c>
      <c r="N372" s="275" t="s">
        <v>444</v>
      </c>
      <c r="O372" s="275" t="s">
        <v>445</v>
      </c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</row>
    <row r="373" spans="1:27">
      <c r="A373" s="280"/>
      <c r="B373" s="274"/>
      <c r="C373" s="278"/>
      <c r="D373" s="275">
        <v>3.517E-2</v>
      </c>
      <c r="E373" s="275">
        <v>0.15304999999999999</v>
      </c>
      <c r="F373" s="275">
        <v>0.13084999999999999</v>
      </c>
      <c r="G373" s="275">
        <v>0.13539000000000001</v>
      </c>
      <c r="H373" s="275">
        <v>0.42591000000000001</v>
      </c>
      <c r="I373" s="275">
        <v>0.42131000000000002</v>
      </c>
      <c r="J373" s="275">
        <v>0.43129000000000001</v>
      </c>
      <c r="K373" s="275">
        <v>0.41191</v>
      </c>
      <c r="L373" s="275">
        <v>0.41532000000000002</v>
      </c>
      <c r="M373" s="275">
        <v>1.10405</v>
      </c>
      <c r="N373" s="275">
        <v>1.1991400000000001</v>
      </c>
      <c r="O373" s="275">
        <v>1.22509</v>
      </c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</row>
    <row r="374" spans="1:27">
      <c r="A374" s="280"/>
      <c r="B374" s="274"/>
      <c r="C374" s="278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</row>
    <row r="375" spans="1:27">
      <c r="A375" s="280">
        <v>129</v>
      </c>
      <c r="B375" s="274">
        <v>42</v>
      </c>
      <c r="C375" s="278" t="s">
        <v>107</v>
      </c>
      <c r="D375" s="275" t="s">
        <v>434</v>
      </c>
      <c r="E375" s="275" t="s">
        <v>435</v>
      </c>
      <c r="F375" s="275" t="s">
        <v>436</v>
      </c>
      <c r="G375" s="275" t="s">
        <v>437</v>
      </c>
      <c r="H375" s="275" t="s">
        <v>438</v>
      </c>
      <c r="I375" s="275" t="s">
        <v>439</v>
      </c>
      <c r="J375" s="275" t="s">
        <v>440</v>
      </c>
      <c r="K375" s="275" t="s">
        <v>441</v>
      </c>
      <c r="L375" s="275" t="s">
        <v>442</v>
      </c>
      <c r="M375" s="275" t="s">
        <v>443</v>
      </c>
      <c r="N375" s="275" t="s">
        <v>444</v>
      </c>
      <c r="O375" s="275" t="s">
        <v>445</v>
      </c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</row>
    <row r="376" spans="1:27">
      <c r="A376" s="280"/>
      <c r="B376" s="274"/>
      <c r="C376" s="278"/>
      <c r="D376" s="275">
        <v>3.517E-2</v>
      </c>
      <c r="E376" s="275">
        <v>0.15304999999999999</v>
      </c>
      <c r="F376" s="275">
        <v>0.13084999999999999</v>
      </c>
      <c r="G376" s="275">
        <v>0.13538</v>
      </c>
      <c r="H376" s="275">
        <v>0.42580000000000001</v>
      </c>
      <c r="I376" s="275">
        <v>0.42118</v>
      </c>
      <c r="J376" s="275">
        <v>0.43114999999999998</v>
      </c>
      <c r="K376" s="275">
        <v>0.41177999999999998</v>
      </c>
      <c r="L376" s="275">
        <v>0.41517999999999999</v>
      </c>
      <c r="M376" s="275">
        <v>1.0939300000000001</v>
      </c>
      <c r="N376" s="275">
        <v>1.1817200000000001</v>
      </c>
      <c r="O376" s="275">
        <v>1.20621</v>
      </c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</row>
    <row r="377" spans="1:27">
      <c r="A377" s="280"/>
      <c r="B377" s="274"/>
      <c r="C377" s="278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</row>
    <row r="378" spans="1:27">
      <c r="A378" s="280">
        <v>130</v>
      </c>
      <c r="B378" s="274">
        <v>42</v>
      </c>
      <c r="C378" s="278" t="s">
        <v>108</v>
      </c>
      <c r="D378" s="275" t="s">
        <v>434</v>
      </c>
      <c r="E378" s="275" t="s">
        <v>435</v>
      </c>
      <c r="F378" s="275" t="s">
        <v>436</v>
      </c>
      <c r="G378" s="275" t="s">
        <v>437</v>
      </c>
      <c r="H378" s="275" t="s">
        <v>438</v>
      </c>
      <c r="I378" s="275" t="s">
        <v>439</v>
      </c>
      <c r="J378" s="275" t="s">
        <v>440</v>
      </c>
      <c r="K378" s="275" t="s">
        <v>441</v>
      </c>
      <c r="L378" s="275" t="s">
        <v>442</v>
      </c>
      <c r="M378" s="275" t="s">
        <v>443</v>
      </c>
      <c r="N378" s="275" t="s">
        <v>444</v>
      </c>
      <c r="O378" s="275" t="s">
        <v>445</v>
      </c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</row>
    <row r="379" spans="1:27">
      <c r="A379" s="280"/>
      <c r="B379" s="274"/>
      <c r="C379" s="278"/>
      <c r="D379" s="275">
        <v>3.517E-2</v>
      </c>
      <c r="E379" s="275">
        <v>0.15304999999999999</v>
      </c>
      <c r="F379" s="275">
        <v>0.13084000000000001</v>
      </c>
      <c r="G379" s="275">
        <v>0.13538</v>
      </c>
      <c r="H379" s="275">
        <v>0.42564999999999997</v>
      </c>
      <c r="I379" s="275">
        <v>0.42098000000000002</v>
      </c>
      <c r="J379" s="275">
        <v>0.43092999999999998</v>
      </c>
      <c r="K379" s="275">
        <v>0.41155999999999998</v>
      </c>
      <c r="L379" s="275">
        <v>0.41494999999999999</v>
      </c>
      <c r="M379" s="275">
        <v>1.0825499999999999</v>
      </c>
      <c r="N379" s="275">
        <v>1.16333</v>
      </c>
      <c r="O379" s="275">
        <v>1.18645</v>
      </c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</row>
    <row r="380" spans="1:27">
      <c r="A380" s="280"/>
      <c r="B380" s="274"/>
      <c r="C380" s="278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</row>
    <row r="381" spans="1:27">
      <c r="A381" s="280">
        <v>131</v>
      </c>
      <c r="B381" s="274">
        <v>42</v>
      </c>
      <c r="C381" s="278" t="s">
        <v>109</v>
      </c>
      <c r="D381" s="275" t="s">
        <v>434</v>
      </c>
      <c r="E381" s="275" t="s">
        <v>435</v>
      </c>
      <c r="F381" s="275" t="s">
        <v>436</v>
      </c>
      <c r="G381" s="275" t="s">
        <v>437</v>
      </c>
      <c r="H381" s="275" t="s">
        <v>438</v>
      </c>
      <c r="I381" s="275" t="s">
        <v>439</v>
      </c>
      <c r="J381" s="275" t="s">
        <v>440</v>
      </c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</row>
    <row r="382" spans="1:27">
      <c r="A382" s="280"/>
      <c r="B382" s="274"/>
      <c r="C382" s="278"/>
      <c r="D382" s="275">
        <v>3.517E-2</v>
      </c>
      <c r="E382" s="275">
        <v>0.15304000000000001</v>
      </c>
      <c r="F382" s="275">
        <v>0.13084000000000001</v>
      </c>
      <c r="G382" s="275">
        <v>0.13536999999999999</v>
      </c>
      <c r="H382" s="275">
        <v>0.42544999999999999</v>
      </c>
      <c r="I382" s="275">
        <v>0.42070999999999997</v>
      </c>
      <c r="J382" s="275">
        <v>0.43064000000000002</v>
      </c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</row>
    <row r="383" spans="1:27">
      <c r="A383" s="280"/>
      <c r="B383" s="274"/>
      <c r="C383" s="278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</row>
    <row r="384" spans="1:27">
      <c r="A384" s="280">
        <v>132</v>
      </c>
      <c r="B384" s="274">
        <v>43</v>
      </c>
      <c r="C384" s="278" t="s">
        <v>110</v>
      </c>
      <c r="D384" s="275" t="s">
        <v>434</v>
      </c>
      <c r="E384" s="275" t="s">
        <v>435</v>
      </c>
      <c r="F384" s="275" t="s">
        <v>436</v>
      </c>
      <c r="G384" s="275" t="s">
        <v>437</v>
      </c>
      <c r="H384" s="275" t="s">
        <v>438</v>
      </c>
      <c r="I384" s="275" t="s">
        <v>439</v>
      </c>
      <c r="J384" s="275" t="s">
        <v>440</v>
      </c>
      <c r="K384" s="275" t="s">
        <v>441</v>
      </c>
      <c r="L384" s="275" t="s">
        <v>442</v>
      </c>
      <c r="M384" s="275" t="s">
        <v>443</v>
      </c>
      <c r="N384" s="275" t="s">
        <v>444</v>
      </c>
      <c r="O384" s="275" t="s">
        <v>445</v>
      </c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</row>
    <row r="385" spans="1:27">
      <c r="A385" s="280"/>
      <c r="B385" s="274"/>
      <c r="C385" s="278"/>
      <c r="D385" s="275">
        <v>3.4290000000000001E-2</v>
      </c>
      <c r="E385" s="275">
        <v>0.14895</v>
      </c>
      <c r="F385" s="275">
        <v>0.12720000000000001</v>
      </c>
      <c r="G385" s="275">
        <v>0.13183</v>
      </c>
      <c r="H385" s="275">
        <v>0.41256999999999999</v>
      </c>
      <c r="I385" s="275">
        <v>0.40722000000000003</v>
      </c>
      <c r="J385" s="275">
        <v>0.41728999999999999</v>
      </c>
      <c r="K385" s="275">
        <v>0.39582000000000001</v>
      </c>
      <c r="L385" s="275">
        <v>0.39922000000000002</v>
      </c>
      <c r="M385" s="275">
        <v>1.0647</v>
      </c>
      <c r="N385" s="275">
        <v>1.16025</v>
      </c>
      <c r="O385" s="275">
        <v>1.1882200000000001</v>
      </c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</row>
    <row r="386" spans="1:27">
      <c r="A386" s="280"/>
      <c r="B386" s="274"/>
      <c r="C386" s="278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</row>
    <row r="387" spans="1:27">
      <c r="A387" s="280">
        <v>133</v>
      </c>
      <c r="B387" s="274">
        <v>43</v>
      </c>
      <c r="C387" s="278" t="s">
        <v>111</v>
      </c>
      <c r="D387" s="275" t="s">
        <v>434</v>
      </c>
      <c r="E387" s="275" t="s">
        <v>435</v>
      </c>
      <c r="F387" s="275" t="s">
        <v>436</v>
      </c>
      <c r="G387" s="275" t="s">
        <v>437</v>
      </c>
      <c r="H387" s="275" t="s">
        <v>438</v>
      </c>
      <c r="I387" s="275" t="s">
        <v>439</v>
      </c>
      <c r="J387" s="275" t="s">
        <v>440</v>
      </c>
      <c r="K387" s="275" t="s">
        <v>441</v>
      </c>
      <c r="L387" s="275" t="s">
        <v>442</v>
      </c>
      <c r="M387" s="275" t="s">
        <v>443</v>
      </c>
      <c r="N387" s="275" t="s">
        <v>444</v>
      </c>
      <c r="O387" s="275" t="s">
        <v>445</v>
      </c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</row>
    <row r="388" spans="1:27">
      <c r="A388" s="280"/>
      <c r="B388" s="274"/>
      <c r="C388" s="278"/>
      <c r="D388" s="275">
        <v>3.4290000000000001E-2</v>
      </c>
      <c r="E388" s="275">
        <v>0.14895</v>
      </c>
      <c r="F388" s="275">
        <v>0.12720000000000001</v>
      </c>
      <c r="G388" s="275">
        <v>0.13183</v>
      </c>
      <c r="H388" s="275">
        <v>0.41260000000000002</v>
      </c>
      <c r="I388" s="275">
        <v>0.40721000000000002</v>
      </c>
      <c r="J388" s="275">
        <v>0.41727999999999998</v>
      </c>
      <c r="K388" s="275">
        <v>0.39578999999999998</v>
      </c>
      <c r="L388" s="275">
        <v>0.3992</v>
      </c>
      <c r="M388" s="275">
        <v>1.0659700000000001</v>
      </c>
      <c r="N388" s="275">
        <v>1.15852</v>
      </c>
      <c r="O388" s="275">
        <v>1.1859500000000001</v>
      </c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</row>
    <row r="389" spans="1:27">
      <c r="A389" s="280"/>
      <c r="B389" s="274"/>
      <c r="C389" s="278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</row>
    <row r="390" spans="1:27">
      <c r="A390" s="280">
        <v>134</v>
      </c>
      <c r="B390" s="274">
        <v>43</v>
      </c>
      <c r="C390" s="278" t="s">
        <v>112</v>
      </c>
      <c r="D390" s="275" t="s">
        <v>434</v>
      </c>
      <c r="E390" s="275" t="s">
        <v>435</v>
      </c>
      <c r="F390" s="275" t="s">
        <v>436</v>
      </c>
      <c r="G390" s="275" t="s">
        <v>437</v>
      </c>
      <c r="H390" s="275" t="s">
        <v>438</v>
      </c>
      <c r="I390" s="275" t="s">
        <v>439</v>
      </c>
      <c r="J390" s="275" t="s">
        <v>440</v>
      </c>
      <c r="K390" s="275" t="s">
        <v>441</v>
      </c>
      <c r="L390" s="275" t="s">
        <v>442</v>
      </c>
      <c r="M390" s="275" t="s">
        <v>443</v>
      </c>
      <c r="N390" s="275" t="s">
        <v>444</v>
      </c>
      <c r="O390" s="275" t="s">
        <v>445</v>
      </c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</row>
    <row r="391" spans="1:27">
      <c r="A391" s="280"/>
      <c r="B391" s="274"/>
      <c r="C391" s="278"/>
      <c r="D391" s="275">
        <v>3.4290000000000001E-2</v>
      </c>
      <c r="E391" s="275">
        <v>0.14895</v>
      </c>
      <c r="F391" s="275">
        <v>0.12720000000000001</v>
      </c>
      <c r="G391" s="275">
        <v>0.13183</v>
      </c>
      <c r="H391" s="275">
        <v>0.41254000000000002</v>
      </c>
      <c r="I391" s="275">
        <v>0.40714</v>
      </c>
      <c r="J391" s="275">
        <v>0.41720000000000002</v>
      </c>
      <c r="K391" s="275">
        <v>0.39574999999999999</v>
      </c>
      <c r="L391" s="275">
        <v>0.39915</v>
      </c>
      <c r="M391" s="275">
        <v>1.0585199999999999</v>
      </c>
      <c r="N391" s="275">
        <v>1.14483</v>
      </c>
      <c r="O391" s="275">
        <v>1.1708400000000001</v>
      </c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</row>
    <row r="392" spans="1:27">
      <c r="A392" s="280"/>
      <c r="B392" s="274"/>
      <c r="C392" s="278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</row>
    <row r="393" spans="1:27">
      <c r="A393" s="280">
        <v>135</v>
      </c>
      <c r="B393" s="274">
        <v>43</v>
      </c>
      <c r="C393" s="278" t="s">
        <v>113</v>
      </c>
      <c r="D393" s="275" t="s">
        <v>434</v>
      </c>
      <c r="E393" s="275" t="s">
        <v>435</v>
      </c>
      <c r="F393" s="275" t="s">
        <v>436</v>
      </c>
      <c r="G393" s="275" t="s">
        <v>437</v>
      </c>
      <c r="H393" s="275" t="s">
        <v>438</v>
      </c>
      <c r="I393" s="275" t="s">
        <v>439</v>
      </c>
      <c r="J393" s="275" t="s">
        <v>440</v>
      </c>
      <c r="K393" s="275" t="s">
        <v>441</v>
      </c>
      <c r="L393" s="275" t="s">
        <v>442</v>
      </c>
      <c r="M393" s="275" t="s">
        <v>443</v>
      </c>
      <c r="N393" s="275" t="s">
        <v>444</v>
      </c>
      <c r="O393" s="275" t="s">
        <v>445</v>
      </c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</row>
    <row r="394" spans="1:27">
      <c r="A394" s="280"/>
      <c r="B394" s="274"/>
      <c r="C394" s="278"/>
      <c r="D394" s="275">
        <v>3.4290000000000001E-2</v>
      </c>
      <c r="E394" s="275">
        <v>0.14895</v>
      </c>
      <c r="F394" s="275">
        <v>0.12719</v>
      </c>
      <c r="G394" s="275">
        <v>0.13183</v>
      </c>
      <c r="H394" s="275">
        <v>0.41244999999999998</v>
      </c>
      <c r="I394" s="275">
        <v>0.40701999999999999</v>
      </c>
      <c r="J394" s="275">
        <v>0.41707</v>
      </c>
      <c r="K394" s="275">
        <v>0.39562999999999998</v>
      </c>
      <c r="L394" s="275">
        <v>0.39903</v>
      </c>
      <c r="M394" s="275">
        <v>1.04952</v>
      </c>
      <c r="N394" s="275">
        <v>1.12951</v>
      </c>
      <c r="O394" s="275">
        <v>1.1541300000000001</v>
      </c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</row>
    <row r="395" spans="1:27">
      <c r="A395" s="280"/>
      <c r="B395" s="274"/>
      <c r="C395" s="278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</row>
    <row r="396" spans="1:27">
      <c r="A396" s="280">
        <v>136</v>
      </c>
      <c r="B396" s="274">
        <v>43</v>
      </c>
      <c r="C396" s="278" t="s">
        <v>114</v>
      </c>
      <c r="D396" s="275" t="s">
        <v>434</v>
      </c>
      <c r="E396" s="275" t="s">
        <v>435</v>
      </c>
      <c r="F396" s="275" t="s">
        <v>436</v>
      </c>
      <c r="G396" s="275" t="s">
        <v>437</v>
      </c>
      <c r="H396" s="275" t="s">
        <v>438</v>
      </c>
      <c r="I396" s="275" t="s">
        <v>439</v>
      </c>
      <c r="J396" s="275" t="s">
        <v>440</v>
      </c>
      <c r="K396" s="275" t="s">
        <v>441</v>
      </c>
      <c r="L396" s="275" t="s">
        <v>442</v>
      </c>
      <c r="M396" s="275" t="s">
        <v>443</v>
      </c>
      <c r="N396" s="275" t="s">
        <v>444</v>
      </c>
      <c r="O396" s="275" t="s">
        <v>445</v>
      </c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</row>
    <row r="397" spans="1:27">
      <c r="A397" s="280"/>
      <c r="B397" s="274"/>
      <c r="C397" s="278"/>
      <c r="D397" s="275">
        <v>3.4290000000000001E-2</v>
      </c>
      <c r="E397" s="275">
        <v>0.14893999999999999</v>
      </c>
      <c r="F397" s="275">
        <v>0.12719</v>
      </c>
      <c r="G397" s="275">
        <v>0.13183</v>
      </c>
      <c r="H397" s="275">
        <v>0.41231000000000001</v>
      </c>
      <c r="I397" s="275">
        <v>0.40683999999999998</v>
      </c>
      <c r="J397" s="275">
        <v>0.41687000000000002</v>
      </c>
      <c r="K397" s="275">
        <v>0.39545000000000002</v>
      </c>
      <c r="L397" s="275">
        <v>0.39883000000000002</v>
      </c>
      <c r="M397" s="275">
        <v>1.0394099999999999</v>
      </c>
      <c r="N397" s="275">
        <v>1.1132899999999999</v>
      </c>
      <c r="O397" s="275">
        <v>1.1366000000000001</v>
      </c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</row>
    <row r="398" spans="1:27">
      <c r="A398" s="280"/>
      <c r="B398" s="274"/>
      <c r="C398" s="278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</row>
    <row r="399" spans="1:27">
      <c r="A399" s="280">
        <v>137</v>
      </c>
      <c r="B399" s="274">
        <v>43</v>
      </c>
      <c r="C399" s="278" t="s">
        <v>115</v>
      </c>
      <c r="D399" s="275" t="s">
        <v>434</v>
      </c>
      <c r="E399" s="275" t="s">
        <v>435</v>
      </c>
      <c r="F399" s="275" t="s">
        <v>436</v>
      </c>
      <c r="G399" s="275" t="s">
        <v>437</v>
      </c>
      <c r="H399" s="275" t="s">
        <v>438</v>
      </c>
      <c r="I399" s="275" t="s">
        <v>439</v>
      </c>
      <c r="J399" s="275" t="s">
        <v>440</v>
      </c>
      <c r="K399" s="275" t="s">
        <v>441</v>
      </c>
      <c r="L399" s="275" t="s">
        <v>442</v>
      </c>
      <c r="M399" s="275" t="s">
        <v>443</v>
      </c>
      <c r="N399" s="275" t="s">
        <v>444</v>
      </c>
      <c r="O399" s="275" t="s">
        <v>445</v>
      </c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</row>
    <row r="400" spans="1:27">
      <c r="A400" s="280"/>
      <c r="B400" s="274"/>
      <c r="C400" s="278"/>
      <c r="D400" s="275">
        <v>3.4290000000000001E-2</v>
      </c>
      <c r="E400" s="275">
        <v>0.14893999999999999</v>
      </c>
      <c r="F400" s="275">
        <v>0.12719</v>
      </c>
      <c r="G400" s="275">
        <v>0.13181999999999999</v>
      </c>
      <c r="H400" s="275">
        <v>0.41213</v>
      </c>
      <c r="I400" s="275">
        <v>0.40661000000000003</v>
      </c>
      <c r="J400" s="275">
        <v>0.41660999999999998</v>
      </c>
      <c r="K400" s="275">
        <v>0.39517000000000002</v>
      </c>
      <c r="L400" s="275">
        <v>0.39854000000000001</v>
      </c>
      <c r="M400" s="275">
        <v>1.0285299999999999</v>
      </c>
      <c r="N400" s="275">
        <v>1.0966400000000001</v>
      </c>
      <c r="O400" s="275">
        <v>1.11876</v>
      </c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</row>
    <row r="401" spans="1:27">
      <c r="A401" s="280"/>
      <c r="B401" s="274"/>
      <c r="C401" s="278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</row>
    <row r="402" spans="1:27">
      <c r="A402" s="280">
        <v>138</v>
      </c>
      <c r="B402" s="274">
        <v>43</v>
      </c>
      <c r="C402" s="278" t="s">
        <v>116</v>
      </c>
      <c r="D402" s="275" t="s">
        <v>434</v>
      </c>
      <c r="E402" s="275" t="s">
        <v>435</v>
      </c>
      <c r="F402" s="275" t="s">
        <v>436</v>
      </c>
      <c r="G402" s="275" t="s">
        <v>437</v>
      </c>
      <c r="H402" s="275" t="s">
        <v>438</v>
      </c>
      <c r="I402" s="275" t="s">
        <v>439</v>
      </c>
      <c r="J402" s="275" t="s">
        <v>440</v>
      </c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</row>
    <row r="403" spans="1:27">
      <c r="A403" s="280"/>
      <c r="B403" s="274"/>
      <c r="C403" s="278"/>
      <c r="D403" s="275">
        <v>3.4290000000000001E-2</v>
      </c>
      <c r="E403" s="275">
        <v>0.14893000000000001</v>
      </c>
      <c r="F403" s="275">
        <v>0.12717999999999999</v>
      </c>
      <c r="G403" s="275">
        <v>0.13181000000000001</v>
      </c>
      <c r="H403" s="275">
        <v>0.41189999999999999</v>
      </c>
      <c r="I403" s="275">
        <v>0.40631</v>
      </c>
      <c r="J403" s="275">
        <v>0.41627999999999998</v>
      </c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</row>
    <row r="404" spans="1:27">
      <c r="A404" s="280"/>
      <c r="B404" s="274"/>
      <c r="C404" s="278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</row>
    <row r="405" spans="1:27">
      <c r="A405" s="280">
        <v>139</v>
      </c>
      <c r="B405" s="274">
        <v>44</v>
      </c>
      <c r="C405" s="278" t="s">
        <v>117</v>
      </c>
      <c r="D405" s="275" t="s">
        <v>434</v>
      </c>
      <c r="E405" s="275" t="s">
        <v>435</v>
      </c>
      <c r="F405" s="275" t="s">
        <v>436</v>
      </c>
      <c r="G405" s="275" t="s">
        <v>437</v>
      </c>
      <c r="H405" s="275" t="s">
        <v>438</v>
      </c>
      <c r="I405" s="275" t="s">
        <v>439</v>
      </c>
      <c r="J405" s="275" t="s">
        <v>440</v>
      </c>
      <c r="K405" s="275" t="s">
        <v>441</v>
      </c>
      <c r="L405" s="275" t="s">
        <v>442</v>
      </c>
      <c r="M405" s="275" t="s">
        <v>443</v>
      </c>
      <c r="N405" s="275" t="s">
        <v>444</v>
      </c>
      <c r="O405" s="275" t="s">
        <v>445</v>
      </c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</row>
    <row r="406" spans="1:27">
      <c r="A406" s="280"/>
      <c r="B406" s="274"/>
      <c r="C406" s="278"/>
      <c r="D406" s="275">
        <v>3.3439999999999998E-2</v>
      </c>
      <c r="E406" s="275">
        <v>0.14504</v>
      </c>
      <c r="F406" s="275">
        <v>0.12372</v>
      </c>
      <c r="G406" s="275">
        <v>0.12845999999999999</v>
      </c>
      <c r="H406" s="275">
        <v>0.40001999999999999</v>
      </c>
      <c r="I406" s="275">
        <v>0.39395000000000002</v>
      </c>
      <c r="J406" s="275">
        <v>0.40411000000000002</v>
      </c>
      <c r="K406" s="275">
        <v>0.38091999999999998</v>
      </c>
      <c r="L406" s="275">
        <v>0.38431999999999999</v>
      </c>
      <c r="M406" s="275">
        <v>1.02878</v>
      </c>
      <c r="N406" s="275">
        <v>1.1179600000000001</v>
      </c>
      <c r="O406" s="275">
        <v>1.1467000000000001</v>
      </c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</row>
    <row r="407" spans="1:27">
      <c r="A407" s="280"/>
      <c r="B407" s="274"/>
      <c r="C407" s="278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</row>
    <row r="408" spans="1:27">
      <c r="A408" s="280">
        <v>140</v>
      </c>
      <c r="B408" s="274">
        <v>44</v>
      </c>
      <c r="C408" s="278" t="s">
        <v>118</v>
      </c>
      <c r="D408" s="275" t="s">
        <v>434</v>
      </c>
      <c r="E408" s="275" t="s">
        <v>435</v>
      </c>
      <c r="F408" s="275" t="s">
        <v>436</v>
      </c>
      <c r="G408" s="275" t="s">
        <v>437</v>
      </c>
      <c r="H408" s="275" t="s">
        <v>438</v>
      </c>
      <c r="I408" s="275" t="s">
        <v>439</v>
      </c>
      <c r="J408" s="275" t="s">
        <v>440</v>
      </c>
      <c r="K408" s="275" t="s">
        <v>441</v>
      </c>
      <c r="L408" s="275" t="s">
        <v>442</v>
      </c>
      <c r="M408" s="275" t="s">
        <v>443</v>
      </c>
      <c r="N408" s="275" t="s">
        <v>444</v>
      </c>
      <c r="O408" s="275" t="s">
        <v>445</v>
      </c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</row>
    <row r="409" spans="1:27">
      <c r="A409" s="280"/>
      <c r="B409" s="274"/>
      <c r="C409" s="278"/>
      <c r="D409" s="275">
        <v>3.3439999999999998E-2</v>
      </c>
      <c r="E409" s="275">
        <v>0.14504</v>
      </c>
      <c r="F409" s="275">
        <v>0.12372</v>
      </c>
      <c r="G409" s="275">
        <v>0.12845999999999999</v>
      </c>
      <c r="H409" s="275">
        <v>0.4</v>
      </c>
      <c r="I409" s="275">
        <v>0.39391999999999999</v>
      </c>
      <c r="J409" s="275">
        <v>0.40407999999999999</v>
      </c>
      <c r="K409" s="275">
        <v>0.38091999999999998</v>
      </c>
      <c r="L409" s="275">
        <v>0.38431999999999999</v>
      </c>
      <c r="M409" s="275">
        <v>1.0238499999999999</v>
      </c>
      <c r="N409" s="275">
        <v>1.10809</v>
      </c>
      <c r="O409" s="275">
        <v>1.1355599999999999</v>
      </c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</row>
    <row r="410" spans="1:27">
      <c r="A410" s="280"/>
      <c r="B410" s="274"/>
      <c r="C410" s="278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</row>
    <row r="411" spans="1:27">
      <c r="A411" s="280">
        <v>141</v>
      </c>
      <c r="B411" s="274">
        <v>44</v>
      </c>
      <c r="C411" s="278" t="s">
        <v>119</v>
      </c>
      <c r="D411" s="275" t="s">
        <v>434</v>
      </c>
      <c r="E411" s="275" t="s">
        <v>435</v>
      </c>
      <c r="F411" s="275" t="s">
        <v>436</v>
      </c>
      <c r="G411" s="275" t="s">
        <v>437</v>
      </c>
      <c r="H411" s="275" t="s">
        <v>438</v>
      </c>
      <c r="I411" s="275" t="s">
        <v>439</v>
      </c>
      <c r="J411" s="275" t="s">
        <v>440</v>
      </c>
      <c r="K411" s="275" t="s">
        <v>441</v>
      </c>
      <c r="L411" s="275" t="s">
        <v>442</v>
      </c>
      <c r="M411" s="275" t="s">
        <v>443</v>
      </c>
      <c r="N411" s="275" t="s">
        <v>444</v>
      </c>
      <c r="O411" s="275" t="s">
        <v>445</v>
      </c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</row>
    <row r="412" spans="1:27">
      <c r="A412" s="280"/>
      <c r="B412" s="274"/>
      <c r="C412" s="278"/>
      <c r="D412" s="275">
        <v>3.3450000000000001E-2</v>
      </c>
      <c r="E412" s="275">
        <v>0.14504</v>
      </c>
      <c r="F412" s="275">
        <v>0.12372</v>
      </c>
      <c r="G412" s="275">
        <v>0.12845999999999999</v>
      </c>
      <c r="H412" s="275">
        <v>0.39995000000000003</v>
      </c>
      <c r="I412" s="275">
        <v>0.39385999999999999</v>
      </c>
      <c r="J412" s="275">
        <v>0.40400999999999998</v>
      </c>
      <c r="K412" s="275">
        <v>0.38088</v>
      </c>
      <c r="L412" s="275">
        <v>0.38428000000000001</v>
      </c>
      <c r="M412" s="275">
        <v>1.01712</v>
      </c>
      <c r="N412" s="275">
        <v>1.09588</v>
      </c>
      <c r="O412" s="275">
        <v>1.1220000000000001</v>
      </c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</row>
    <row r="413" spans="1:27">
      <c r="A413" s="280"/>
      <c r="B413" s="274"/>
      <c r="C413" s="278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</row>
    <row r="414" spans="1:27">
      <c r="A414" s="280">
        <v>142</v>
      </c>
      <c r="B414" s="274">
        <v>44</v>
      </c>
      <c r="C414" s="278" t="s">
        <v>120</v>
      </c>
      <c r="D414" s="275" t="s">
        <v>434</v>
      </c>
      <c r="E414" s="275" t="s">
        <v>435</v>
      </c>
      <c r="F414" s="275" t="s">
        <v>436</v>
      </c>
      <c r="G414" s="275" t="s">
        <v>437</v>
      </c>
      <c r="H414" s="275" t="s">
        <v>438</v>
      </c>
      <c r="I414" s="275" t="s">
        <v>439</v>
      </c>
      <c r="J414" s="275" t="s">
        <v>440</v>
      </c>
      <c r="K414" s="275" t="s">
        <v>441</v>
      </c>
      <c r="L414" s="275" t="s">
        <v>442</v>
      </c>
      <c r="M414" s="275" t="s">
        <v>443</v>
      </c>
      <c r="N414" s="275" t="s">
        <v>444</v>
      </c>
      <c r="O414" s="275" t="s">
        <v>445</v>
      </c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</row>
    <row r="415" spans="1:27">
      <c r="A415" s="280"/>
      <c r="B415" s="274"/>
      <c r="C415" s="278"/>
      <c r="D415" s="275">
        <v>3.3450000000000001E-2</v>
      </c>
      <c r="E415" s="275">
        <v>0.14502999999999999</v>
      </c>
      <c r="F415" s="275">
        <v>0.12372</v>
      </c>
      <c r="G415" s="275">
        <v>0.12845000000000001</v>
      </c>
      <c r="H415" s="275">
        <v>0.39987</v>
      </c>
      <c r="I415" s="275">
        <v>0.39374999999999999</v>
      </c>
      <c r="J415" s="275">
        <v>0.40389000000000003</v>
      </c>
      <c r="K415" s="275">
        <v>0.38078000000000001</v>
      </c>
      <c r="L415" s="275">
        <v>0.38418000000000002</v>
      </c>
      <c r="M415" s="275">
        <v>1.0090399999999999</v>
      </c>
      <c r="N415" s="275">
        <v>1.08226</v>
      </c>
      <c r="O415" s="275">
        <v>1.1070599999999999</v>
      </c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</row>
    <row r="416" spans="1:27">
      <c r="A416" s="280"/>
      <c r="B416" s="274"/>
      <c r="C416" s="278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</row>
    <row r="417" spans="1:27">
      <c r="A417" s="280">
        <v>143</v>
      </c>
      <c r="B417" s="274">
        <v>44</v>
      </c>
      <c r="C417" s="278" t="s">
        <v>121</v>
      </c>
      <c r="D417" s="275" t="s">
        <v>434</v>
      </c>
      <c r="E417" s="275" t="s">
        <v>435</v>
      </c>
      <c r="F417" s="275" t="s">
        <v>436</v>
      </c>
      <c r="G417" s="275" t="s">
        <v>437</v>
      </c>
      <c r="H417" s="275" t="s">
        <v>438</v>
      </c>
      <c r="I417" s="275" t="s">
        <v>439</v>
      </c>
      <c r="J417" s="275" t="s">
        <v>440</v>
      </c>
      <c r="K417" s="275" t="s">
        <v>441</v>
      </c>
      <c r="L417" s="275" t="s">
        <v>442</v>
      </c>
      <c r="M417" s="275" t="s">
        <v>443</v>
      </c>
      <c r="N417" s="275" t="s">
        <v>444</v>
      </c>
      <c r="O417" s="275" t="s">
        <v>445</v>
      </c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</row>
    <row r="418" spans="1:27">
      <c r="A418" s="280"/>
      <c r="B418" s="274"/>
      <c r="C418" s="278"/>
      <c r="D418" s="275">
        <v>3.3450000000000001E-2</v>
      </c>
      <c r="E418" s="275">
        <v>0.14502999999999999</v>
      </c>
      <c r="F418" s="275">
        <v>0.12371</v>
      </c>
      <c r="G418" s="275">
        <v>0.12845000000000001</v>
      </c>
      <c r="H418" s="275">
        <v>0.39974999999999999</v>
      </c>
      <c r="I418" s="275">
        <v>0.39359</v>
      </c>
      <c r="J418" s="275">
        <v>0.40371000000000001</v>
      </c>
      <c r="K418" s="275">
        <v>0.38062000000000001</v>
      </c>
      <c r="L418" s="275">
        <v>0.38400000000000001</v>
      </c>
      <c r="M418" s="275">
        <v>0.99997999999999998</v>
      </c>
      <c r="N418" s="275">
        <v>1.0678099999999999</v>
      </c>
      <c r="O418" s="275">
        <v>1.0913600000000001</v>
      </c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</row>
    <row r="419" spans="1:27">
      <c r="A419" s="280"/>
      <c r="B419" s="274"/>
      <c r="C419" s="278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</row>
    <row r="420" spans="1:27">
      <c r="A420" s="280">
        <v>144</v>
      </c>
      <c r="B420" s="274">
        <v>44</v>
      </c>
      <c r="C420" s="278" t="s">
        <v>122</v>
      </c>
      <c r="D420" s="275" t="s">
        <v>434</v>
      </c>
      <c r="E420" s="275" t="s">
        <v>435</v>
      </c>
      <c r="F420" s="275" t="s">
        <v>436</v>
      </c>
      <c r="G420" s="275" t="s">
        <v>437</v>
      </c>
      <c r="H420" s="275" t="s">
        <v>438</v>
      </c>
      <c r="I420" s="275" t="s">
        <v>439</v>
      </c>
      <c r="J420" s="275" t="s">
        <v>440</v>
      </c>
      <c r="K420" s="275" t="s">
        <v>441</v>
      </c>
      <c r="L420" s="275" t="s">
        <v>442</v>
      </c>
      <c r="M420" s="275" t="s">
        <v>443</v>
      </c>
      <c r="N420" s="275" t="s">
        <v>444</v>
      </c>
      <c r="O420" s="275" t="s">
        <v>445</v>
      </c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</row>
    <row r="421" spans="1:27">
      <c r="A421" s="280"/>
      <c r="B421" s="274"/>
      <c r="C421" s="278"/>
      <c r="D421" s="275">
        <v>3.3450000000000001E-2</v>
      </c>
      <c r="E421" s="275">
        <v>0.14502999999999999</v>
      </c>
      <c r="F421" s="275">
        <v>0.12371</v>
      </c>
      <c r="G421" s="275">
        <v>0.12844</v>
      </c>
      <c r="H421" s="275">
        <v>0.39957999999999999</v>
      </c>
      <c r="I421" s="275">
        <v>0.39338000000000001</v>
      </c>
      <c r="J421" s="275">
        <v>0.40348000000000001</v>
      </c>
      <c r="K421" s="275">
        <v>0.38038</v>
      </c>
      <c r="L421" s="275">
        <v>0.38375999999999999</v>
      </c>
      <c r="M421" s="275">
        <v>0.99021000000000003</v>
      </c>
      <c r="N421" s="275">
        <v>1.0529299999999999</v>
      </c>
      <c r="O421" s="275">
        <v>1.07534</v>
      </c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</row>
    <row r="422" spans="1:27">
      <c r="A422" s="280"/>
      <c r="B422" s="274"/>
      <c r="C422" s="278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</row>
    <row r="423" spans="1:27">
      <c r="A423" s="280">
        <v>145</v>
      </c>
      <c r="B423" s="274">
        <v>44</v>
      </c>
      <c r="C423" s="278" t="s">
        <v>123</v>
      </c>
      <c r="D423" s="275" t="s">
        <v>434</v>
      </c>
      <c r="E423" s="275" t="s">
        <v>435</v>
      </c>
      <c r="F423" s="275" t="s">
        <v>436</v>
      </c>
      <c r="G423" s="275" t="s">
        <v>437</v>
      </c>
      <c r="H423" s="275" t="s">
        <v>438</v>
      </c>
      <c r="I423" s="275" t="s">
        <v>439</v>
      </c>
      <c r="J423" s="275" t="s">
        <v>440</v>
      </c>
      <c r="K423" s="275" t="s">
        <v>441</v>
      </c>
      <c r="L423" s="275" t="s">
        <v>442</v>
      </c>
      <c r="M423" s="275" t="s">
        <v>443</v>
      </c>
      <c r="N423" s="275" t="s">
        <v>444</v>
      </c>
      <c r="O423" s="275" t="s">
        <v>445</v>
      </c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</row>
    <row r="424" spans="1:27">
      <c r="A424" s="280"/>
      <c r="B424" s="274"/>
      <c r="C424" s="278"/>
      <c r="D424" s="275">
        <v>3.3450000000000001E-2</v>
      </c>
      <c r="E424" s="275">
        <v>0.14502000000000001</v>
      </c>
      <c r="F424" s="275">
        <v>0.1237</v>
      </c>
      <c r="G424" s="275">
        <v>0.12844</v>
      </c>
      <c r="H424" s="275">
        <v>0.39937</v>
      </c>
      <c r="I424" s="275">
        <v>0.39311000000000001</v>
      </c>
      <c r="J424" s="275">
        <v>0.40317999999999998</v>
      </c>
      <c r="K424" s="275">
        <v>0.38006000000000001</v>
      </c>
      <c r="L424" s="275">
        <v>0.38342999999999999</v>
      </c>
      <c r="M424" s="275">
        <v>0.97994999999999999</v>
      </c>
      <c r="N424" s="275">
        <v>1.0379</v>
      </c>
      <c r="O424" s="275">
        <v>1.05925</v>
      </c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</row>
    <row r="425" spans="1:27">
      <c r="A425" s="280"/>
      <c r="B425" s="274"/>
      <c r="C425" s="278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</row>
    <row r="426" spans="1:27">
      <c r="A426" s="280">
        <v>146</v>
      </c>
      <c r="B426" s="274">
        <v>44</v>
      </c>
      <c r="C426" s="278" t="s">
        <v>124</v>
      </c>
      <c r="D426" s="275" t="s">
        <v>434</v>
      </c>
      <c r="E426" s="275" t="s">
        <v>435</v>
      </c>
      <c r="F426" s="275" t="s">
        <v>436</v>
      </c>
      <c r="G426" s="275" t="s">
        <v>437</v>
      </c>
      <c r="H426" s="275" t="s">
        <v>438</v>
      </c>
      <c r="I426" s="275" t="s">
        <v>439</v>
      </c>
      <c r="J426" s="275" t="s">
        <v>440</v>
      </c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</row>
    <row r="427" spans="1:27">
      <c r="A427" s="280"/>
      <c r="B427" s="274"/>
      <c r="C427" s="278"/>
      <c r="D427" s="275">
        <v>3.3450000000000001E-2</v>
      </c>
      <c r="E427" s="275">
        <v>0.14501</v>
      </c>
      <c r="F427" s="275">
        <v>0.1237</v>
      </c>
      <c r="G427" s="275">
        <v>0.12842999999999999</v>
      </c>
      <c r="H427" s="275">
        <v>0.39911000000000002</v>
      </c>
      <c r="I427" s="275">
        <v>0.39278000000000002</v>
      </c>
      <c r="J427" s="275">
        <v>0.40282000000000001</v>
      </c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</row>
    <row r="428" spans="1:27">
      <c r="A428" s="280"/>
      <c r="B428" s="274"/>
      <c r="C428" s="278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</row>
    <row r="429" spans="1:27">
      <c r="A429" s="280">
        <v>147</v>
      </c>
      <c r="B429" s="274">
        <v>45</v>
      </c>
      <c r="C429" s="278" t="s">
        <v>125</v>
      </c>
      <c r="D429" s="275" t="s">
        <v>434</v>
      </c>
      <c r="E429" s="275" t="s">
        <v>435</v>
      </c>
      <c r="F429" s="275" t="s">
        <v>436</v>
      </c>
      <c r="G429" s="275" t="s">
        <v>437</v>
      </c>
      <c r="H429" s="275" t="s">
        <v>438</v>
      </c>
      <c r="I429" s="275" t="s">
        <v>439</v>
      </c>
      <c r="J429" s="275" t="s">
        <v>440</v>
      </c>
      <c r="K429" s="275" t="s">
        <v>441</v>
      </c>
      <c r="L429" s="275" t="s">
        <v>442</v>
      </c>
      <c r="M429" s="275" t="s">
        <v>443</v>
      </c>
      <c r="N429" s="275" t="s">
        <v>444</v>
      </c>
      <c r="O429" s="275" t="s">
        <v>445</v>
      </c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</row>
    <row r="430" spans="1:27">
      <c r="A430" s="280"/>
      <c r="B430" s="274"/>
      <c r="C430" s="278"/>
      <c r="D430" s="275">
        <v>3.2640000000000002E-2</v>
      </c>
      <c r="E430" s="275">
        <v>0.14130000000000001</v>
      </c>
      <c r="F430" s="275">
        <v>0.12041</v>
      </c>
      <c r="G430" s="275">
        <v>0.12523999999999999</v>
      </c>
      <c r="H430" s="275">
        <v>0.38812999999999998</v>
      </c>
      <c r="I430" s="275">
        <v>0.38146000000000002</v>
      </c>
      <c r="J430" s="275">
        <v>0.39172000000000001</v>
      </c>
      <c r="K430" s="275">
        <v>0.36718000000000001</v>
      </c>
      <c r="L430" s="275">
        <v>0.37059999999999998</v>
      </c>
      <c r="M430" s="275">
        <v>0.98992000000000002</v>
      </c>
      <c r="N430" s="275">
        <v>1.0713600000000001</v>
      </c>
      <c r="O430" s="275">
        <v>1.1001799999999999</v>
      </c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</row>
    <row r="431" spans="1:27">
      <c r="A431" s="280"/>
      <c r="B431" s="274"/>
      <c r="C431" s="278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</row>
    <row r="432" spans="1:27">
      <c r="A432" s="280">
        <v>148</v>
      </c>
      <c r="B432" s="274">
        <v>45</v>
      </c>
      <c r="C432" s="278" t="s">
        <v>126</v>
      </c>
      <c r="D432" s="275" t="s">
        <v>434</v>
      </c>
      <c r="E432" s="275" t="s">
        <v>435</v>
      </c>
      <c r="F432" s="275" t="s">
        <v>436</v>
      </c>
      <c r="G432" s="275" t="s">
        <v>437</v>
      </c>
      <c r="H432" s="275" t="s">
        <v>438</v>
      </c>
      <c r="I432" s="275" t="s">
        <v>439</v>
      </c>
      <c r="J432" s="275" t="s">
        <v>440</v>
      </c>
      <c r="K432" s="275" t="s">
        <v>441</v>
      </c>
      <c r="L432" s="275" t="s">
        <v>442</v>
      </c>
      <c r="M432" s="275" t="s">
        <v>443</v>
      </c>
      <c r="N432" s="275" t="s">
        <v>444</v>
      </c>
      <c r="O432" s="275" t="s">
        <v>445</v>
      </c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</row>
    <row r="433" spans="1:27">
      <c r="A433" s="280"/>
      <c r="B433" s="274"/>
      <c r="C433" s="278"/>
      <c r="D433" s="275">
        <v>3.2640000000000002E-2</v>
      </c>
      <c r="E433" s="275">
        <v>0.14130000000000001</v>
      </c>
      <c r="F433" s="275">
        <v>0.12041</v>
      </c>
      <c r="G433" s="275">
        <v>0.12523999999999999</v>
      </c>
      <c r="H433" s="275">
        <v>0.38811000000000001</v>
      </c>
      <c r="I433" s="275">
        <v>0.38144</v>
      </c>
      <c r="J433" s="275">
        <v>0.39168999999999998</v>
      </c>
      <c r="K433" s="275">
        <v>0.36719000000000002</v>
      </c>
      <c r="L433" s="275">
        <v>0.37059999999999998</v>
      </c>
      <c r="M433" s="275">
        <v>0.98533999999999999</v>
      </c>
      <c r="N433" s="275">
        <v>1.06237</v>
      </c>
      <c r="O433" s="275">
        <v>1.08996</v>
      </c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</row>
    <row r="434" spans="1:27">
      <c r="A434" s="280"/>
      <c r="B434" s="274"/>
      <c r="C434" s="278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</row>
    <row r="435" spans="1:27">
      <c r="A435" s="280">
        <v>149</v>
      </c>
      <c r="B435" s="274">
        <v>45</v>
      </c>
      <c r="C435" s="278" t="s">
        <v>127</v>
      </c>
      <c r="D435" s="275" t="s">
        <v>434</v>
      </c>
      <c r="E435" s="275" t="s">
        <v>435</v>
      </c>
      <c r="F435" s="275" t="s">
        <v>436</v>
      </c>
      <c r="G435" s="275" t="s">
        <v>437</v>
      </c>
      <c r="H435" s="275" t="s">
        <v>438</v>
      </c>
      <c r="I435" s="275" t="s">
        <v>439</v>
      </c>
      <c r="J435" s="275" t="s">
        <v>440</v>
      </c>
      <c r="K435" s="275" t="s">
        <v>441</v>
      </c>
      <c r="L435" s="275" t="s">
        <v>442</v>
      </c>
      <c r="M435" s="275" t="s">
        <v>443</v>
      </c>
      <c r="N435" s="275" t="s">
        <v>444</v>
      </c>
      <c r="O435" s="275" t="s">
        <v>445</v>
      </c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</row>
    <row r="436" spans="1:27">
      <c r="A436" s="280"/>
      <c r="B436" s="274"/>
      <c r="C436" s="278"/>
      <c r="D436" s="275">
        <v>3.2640000000000002E-2</v>
      </c>
      <c r="E436" s="275">
        <v>0.14130000000000001</v>
      </c>
      <c r="F436" s="275">
        <v>0.12041</v>
      </c>
      <c r="G436" s="275">
        <v>0.12523999999999999</v>
      </c>
      <c r="H436" s="275">
        <v>0.38807000000000003</v>
      </c>
      <c r="I436" s="275">
        <v>0.38138</v>
      </c>
      <c r="J436" s="275">
        <v>0.39162999999999998</v>
      </c>
      <c r="K436" s="275">
        <v>0.36714999999999998</v>
      </c>
      <c r="L436" s="275">
        <v>0.37056</v>
      </c>
      <c r="M436" s="275">
        <v>0.97921000000000002</v>
      </c>
      <c r="N436" s="275">
        <v>1.0513999999999999</v>
      </c>
      <c r="O436" s="275">
        <v>1.07769</v>
      </c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</row>
    <row r="437" spans="1:27">
      <c r="A437" s="280"/>
      <c r="B437" s="274"/>
      <c r="C437" s="278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</row>
    <row r="438" spans="1:27">
      <c r="A438" s="280">
        <v>150</v>
      </c>
      <c r="B438" s="274">
        <v>45</v>
      </c>
      <c r="C438" s="278" t="s">
        <v>128</v>
      </c>
      <c r="D438" s="275" t="s">
        <v>434</v>
      </c>
      <c r="E438" s="275" t="s">
        <v>435</v>
      </c>
      <c r="F438" s="275" t="s">
        <v>436</v>
      </c>
      <c r="G438" s="275" t="s">
        <v>437</v>
      </c>
      <c r="H438" s="275" t="s">
        <v>438</v>
      </c>
      <c r="I438" s="275" t="s">
        <v>439</v>
      </c>
      <c r="J438" s="275" t="s">
        <v>440</v>
      </c>
      <c r="K438" s="275" t="s">
        <v>441</v>
      </c>
      <c r="L438" s="275" t="s">
        <v>442</v>
      </c>
      <c r="M438" s="275" t="s">
        <v>443</v>
      </c>
      <c r="N438" s="275" t="s">
        <v>444</v>
      </c>
      <c r="O438" s="275" t="s">
        <v>445</v>
      </c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</row>
    <row r="439" spans="1:27">
      <c r="A439" s="280"/>
      <c r="B439" s="274"/>
      <c r="C439" s="278"/>
      <c r="D439" s="275">
        <v>3.2640000000000002E-2</v>
      </c>
      <c r="E439" s="275">
        <v>0.14130000000000001</v>
      </c>
      <c r="F439" s="275">
        <v>0.12039999999999999</v>
      </c>
      <c r="G439" s="275">
        <v>0.12523999999999999</v>
      </c>
      <c r="H439" s="275">
        <v>0.38799</v>
      </c>
      <c r="I439" s="275">
        <v>0.38128000000000001</v>
      </c>
      <c r="J439" s="275">
        <v>0.39151999999999998</v>
      </c>
      <c r="K439" s="275">
        <v>0.36706</v>
      </c>
      <c r="L439" s="275">
        <v>0.37046000000000001</v>
      </c>
      <c r="M439" s="275">
        <v>0.97189999999999999</v>
      </c>
      <c r="N439" s="275">
        <v>1.03918</v>
      </c>
      <c r="O439" s="275">
        <v>1.0642</v>
      </c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</row>
    <row r="440" spans="1:27">
      <c r="A440" s="280"/>
      <c r="B440" s="274"/>
      <c r="C440" s="278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</row>
    <row r="441" spans="1:27">
      <c r="A441" s="280">
        <v>151</v>
      </c>
      <c r="B441" s="274">
        <v>45</v>
      </c>
      <c r="C441" s="278" t="s">
        <v>129</v>
      </c>
      <c r="D441" s="275" t="s">
        <v>434</v>
      </c>
      <c r="E441" s="275" t="s">
        <v>435</v>
      </c>
      <c r="F441" s="275" t="s">
        <v>436</v>
      </c>
      <c r="G441" s="275" t="s">
        <v>437</v>
      </c>
      <c r="H441" s="275" t="s">
        <v>438</v>
      </c>
      <c r="I441" s="275" t="s">
        <v>439</v>
      </c>
      <c r="J441" s="275" t="s">
        <v>440</v>
      </c>
      <c r="K441" s="275" t="s">
        <v>441</v>
      </c>
      <c r="L441" s="275" t="s">
        <v>442</v>
      </c>
      <c r="M441" s="275" t="s">
        <v>443</v>
      </c>
      <c r="N441" s="275" t="s">
        <v>444</v>
      </c>
      <c r="O441" s="275" t="s">
        <v>445</v>
      </c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</row>
    <row r="442" spans="1:27">
      <c r="A442" s="280"/>
      <c r="B442" s="274"/>
      <c r="C442" s="278"/>
      <c r="D442" s="275">
        <v>3.2640000000000002E-2</v>
      </c>
      <c r="E442" s="275">
        <v>0.14130000000000001</v>
      </c>
      <c r="F442" s="275">
        <v>0.12039999999999999</v>
      </c>
      <c r="G442" s="275">
        <v>0.12523999999999999</v>
      </c>
      <c r="H442" s="275">
        <v>0.38788</v>
      </c>
      <c r="I442" s="275">
        <v>0.38113999999999998</v>
      </c>
      <c r="J442" s="275">
        <v>0.39135999999999999</v>
      </c>
      <c r="K442" s="275">
        <v>0.36692000000000002</v>
      </c>
      <c r="L442" s="275">
        <v>0.37030999999999997</v>
      </c>
      <c r="M442" s="275">
        <v>0.96370999999999996</v>
      </c>
      <c r="N442" s="275">
        <v>1.0262100000000001</v>
      </c>
      <c r="O442" s="275">
        <v>1.05003</v>
      </c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</row>
    <row r="443" spans="1:27">
      <c r="A443" s="280"/>
      <c r="B443" s="274"/>
      <c r="C443" s="278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</row>
    <row r="444" spans="1:27">
      <c r="A444" s="280">
        <v>152</v>
      </c>
      <c r="B444" s="274">
        <v>45</v>
      </c>
      <c r="C444" s="278" t="s">
        <v>130</v>
      </c>
      <c r="D444" s="275" t="s">
        <v>434</v>
      </c>
      <c r="E444" s="275" t="s">
        <v>435</v>
      </c>
      <c r="F444" s="275" t="s">
        <v>436</v>
      </c>
      <c r="G444" s="275" t="s">
        <v>437</v>
      </c>
      <c r="H444" s="275" t="s">
        <v>438</v>
      </c>
      <c r="I444" s="275" t="s">
        <v>439</v>
      </c>
      <c r="J444" s="275" t="s">
        <v>440</v>
      </c>
      <c r="K444" s="275" t="s">
        <v>441</v>
      </c>
      <c r="L444" s="275" t="s">
        <v>442</v>
      </c>
      <c r="M444" s="275" t="s">
        <v>443</v>
      </c>
      <c r="N444" s="275" t="s">
        <v>444</v>
      </c>
      <c r="O444" s="275" t="s">
        <v>445</v>
      </c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</row>
    <row r="445" spans="1:27">
      <c r="A445" s="280"/>
      <c r="B445" s="274"/>
      <c r="C445" s="278"/>
      <c r="D445" s="275">
        <v>3.2640000000000002E-2</v>
      </c>
      <c r="E445" s="275">
        <v>0.14129</v>
      </c>
      <c r="F445" s="275">
        <v>0.12039999999999999</v>
      </c>
      <c r="G445" s="275">
        <v>0.12523000000000001</v>
      </c>
      <c r="H445" s="275">
        <v>0.38773000000000002</v>
      </c>
      <c r="I445" s="275">
        <v>0.38095000000000001</v>
      </c>
      <c r="J445" s="275">
        <v>0.39115</v>
      </c>
      <c r="K445" s="275">
        <v>0.36670999999999998</v>
      </c>
      <c r="L445" s="275">
        <v>0.37009999999999998</v>
      </c>
      <c r="M445" s="275">
        <v>0.95487999999999995</v>
      </c>
      <c r="N445" s="275">
        <v>1.0128200000000001</v>
      </c>
      <c r="O445" s="275">
        <v>1.0355300000000001</v>
      </c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</row>
    <row r="446" spans="1:27">
      <c r="A446" s="280"/>
      <c r="B446" s="274"/>
      <c r="C446" s="278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</row>
    <row r="447" spans="1:27">
      <c r="A447" s="280">
        <v>153</v>
      </c>
      <c r="B447" s="274">
        <v>46</v>
      </c>
      <c r="C447" s="278" t="s">
        <v>348</v>
      </c>
      <c r="D447" s="275" t="s">
        <v>434</v>
      </c>
      <c r="E447" s="275" t="s">
        <v>435</v>
      </c>
      <c r="F447" s="275" t="s">
        <v>436</v>
      </c>
      <c r="G447" s="275" t="s">
        <v>437</v>
      </c>
      <c r="H447" s="275" t="s">
        <v>438</v>
      </c>
      <c r="I447" s="275" t="s">
        <v>439</v>
      </c>
      <c r="J447" s="275" t="s">
        <v>440</v>
      </c>
      <c r="K447" s="275" t="s">
        <v>441</v>
      </c>
      <c r="L447" s="275" t="s">
        <v>442</v>
      </c>
      <c r="M447" s="275" t="s">
        <v>443</v>
      </c>
      <c r="N447" s="275" t="s">
        <v>444</v>
      </c>
      <c r="O447" s="275" t="s">
        <v>445</v>
      </c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</row>
    <row r="448" spans="1:27">
      <c r="A448" s="280"/>
      <c r="B448" s="274"/>
      <c r="C448" s="278"/>
      <c r="D448" s="275">
        <v>3.1859999999999999E-2</v>
      </c>
      <c r="E448" s="275">
        <v>0.13774</v>
      </c>
      <c r="F448" s="275">
        <v>0.11724999999999999</v>
      </c>
      <c r="G448" s="275">
        <v>0.12218</v>
      </c>
      <c r="H448" s="275">
        <v>0.37686999999999998</v>
      </c>
      <c r="I448" s="275">
        <v>0.36968000000000001</v>
      </c>
      <c r="J448" s="275">
        <v>0.38003999999999999</v>
      </c>
      <c r="K448" s="275">
        <v>0.35444999999999999</v>
      </c>
      <c r="L448" s="275">
        <v>0.35787000000000002</v>
      </c>
      <c r="M448" s="275">
        <v>0.94991000000000003</v>
      </c>
      <c r="N448" s="275">
        <v>1.02064</v>
      </c>
      <c r="O448" s="275">
        <v>1.0483899999999999</v>
      </c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</row>
    <row r="449" spans="1:27">
      <c r="A449" s="280"/>
      <c r="B449" s="274"/>
      <c r="C449" s="278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</row>
    <row r="450" spans="1:27">
      <c r="A450" s="280">
        <v>154</v>
      </c>
      <c r="B450" s="274">
        <v>46</v>
      </c>
      <c r="C450" s="278" t="s">
        <v>349</v>
      </c>
      <c r="D450" s="275" t="s">
        <v>434</v>
      </c>
      <c r="E450" s="275" t="s">
        <v>435</v>
      </c>
      <c r="F450" s="275" t="s">
        <v>436</v>
      </c>
      <c r="G450" s="275" t="s">
        <v>437</v>
      </c>
      <c r="H450" s="275" t="s">
        <v>438</v>
      </c>
      <c r="I450" s="275" t="s">
        <v>439</v>
      </c>
      <c r="J450" s="275" t="s">
        <v>440</v>
      </c>
      <c r="K450" s="275" t="s">
        <v>441</v>
      </c>
      <c r="L450" s="275" t="s">
        <v>442</v>
      </c>
      <c r="M450" s="275" t="s">
        <v>443</v>
      </c>
      <c r="N450" s="275" t="s">
        <v>444</v>
      </c>
      <c r="O450" s="275" t="s">
        <v>445</v>
      </c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</row>
    <row r="451" spans="1:27">
      <c r="A451" s="280"/>
      <c r="B451" s="274"/>
      <c r="C451" s="278"/>
      <c r="D451" s="275">
        <v>3.1859999999999999E-2</v>
      </c>
      <c r="E451" s="275">
        <v>0.13772999999999999</v>
      </c>
      <c r="F451" s="275">
        <v>0.11724</v>
      </c>
      <c r="G451" s="275">
        <v>0.12218</v>
      </c>
      <c r="H451" s="275">
        <v>0.37675999999999998</v>
      </c>
      <c r="I451" s="275">
        <v>0.36953999999999998</v>
      </c>
      <c r="J451" s="275">
        <v>0.37988</v>
      </c>
      <c r="K451" s="275">
        <v>0.35433999999999999</v>
      </c>
      <c r="L451" s="275">
        <v>0.35776000000000002</v>
      </c>
      <c r="M451" s="275">
        <v>0.93764000000000003</v>
      </c>
      <c r="N451" s="275">
        <v>0.99966999999999995</v>
      </c>
      <c r="O451" s="275">
        <v>1.02495</v>
      </c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</row>
    <row r="452" spans="1:27">
      <c r="A452" s="280"/>
      <c r="B452" s="274"/>
      <c r="C452" s="278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</row>
    <row r="453" spans="1:27">
      <c r="A453" s="280">
        <v>155</v>
      </c>
      <c r="B453" s="274">
        <v>47</v>
      </c>
      <c r="C453" s="278" t="s">
        <v>131</v>
      </c>
      <c r="D453" s="275" t="s">
        <v>434</v>
      </c>
      <c r="E453" s="275" t="s">
        <v>435</v>
      </c>
      <c r="F453" s="275" t="s">
        <v>436</v>
      </c>
      <c r="G453" s="275" t="s">
        <v>437</v>
      </c>
      <c r="H453" s="275" t="s">
        <v>438</v>
      </c>
      <c r="I453" s="275" t="s">
        <v>439</v>
      </c>
      <c r="J453" s="275" t="s">
        <v>440</v>
      </c>
      <c r="K453" s="275" t="s">
        <v>441</v>
      </c>
      <c r="L453" s="275" t="s">
        <v>442</v>
      </c>
      <c r="M453" s="275" t="s">
        <v>443</v>
      </c>
      <c r="N453" s="275" t="s">
        <v>444</v>
      </c>
      <c r="O453" s="275" t="s">
        <v>445</v>
      </c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</row>
    <row r="454" spans="1:27">
      <c r="A454" s="280"/>
      <c r="B454" s="274"/>
      <c r="C454" s="278"/>
      <c r="D454" s="275">
        <v>3.1119999999999998E-2</v>
      </c>
      <c r="E454" s="275">
        <v>0.13431999999999999</v>
      </c>
      <c r="F454" s="275">
        <v>0.11423</v>
      </c>
      <c r="G454" s="275">
        <v>0.11926</v>
      </c>
      <c r="H454" s="275">
        <v>0.36624000000000001</v>
      </c>
      <c r="I454" s="275">
        <v>0.35861999999999999</v>
      </c>
      <c r="J454" s="275">
        <v>0.36908999999999997</v>
      </c>
      <c r="K454" s="275">
        <v>0.34260000000000002</v>
      </c>
      <c r="L454" s="275">
        <v>0.34605000000000002</v>
      </c>
      <c r="M454" s="275">
        <v>0.92113</v>
      </c>
      <c r="N454" s="275">
        <v>0.98987999999999998</v>
      </c>
      <c r="O454" s="275">
        <v>1.0189999999999999</v>
      </c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</row>
    <row r="455" spans="1:27">
      <c r="A455" s="280"/>
      <c r="B455" s="274"/>
      <c r="C455" s="278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</row>
    <row r="456" spans="1:27">
      <c r="A456" s="280">
        <v>156</v>
      </c>
      <c r="B456" s="274">
        <v>47</v>
      </c>
      <c r="C456" s="278" t="s">
        <v>132</v>
      </c>
      <c r="D456" s="275" t="s">
        <v>434</v>
      </c>
      <c r="E456" s="275" t="s">
        <v>435</v>
      </c>
      <c r="F456" s="275" t="s">
        <v>436</v>
      </c>
      <c r="G456" s="275" t="s">
        <v>437</v>
      </c>
      <c r="H456" s="275" t="s">
        <v>438</v>
      </c>
      <c r="I456" s="275" t="s">
        <v>439</v>
      </c>
      <c r="J456" s="275" t="s">
        <v>440</v>
      </c>
      <c r="K456" s="275" t="s">
        <v>441</v>
      </c>
      <c r="L456" s="275" t="s">
        <v>442</v>
      </c>
      <c r="M456" s="275" t="s">
        <v>443</v>
      </c>
      <c r="N456" s="275" t="s">
        <v>444</v>
      </c>
      <c r="O456" s="275" t="s">
        <v>445</v>
      </c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</row>
    <row r="457" spans="1:27">
      <c r="A457" s="280"/>
      <c r="B457" s="274"/>
      <c r="C457" s="278"/>
      <c r="D457" s="275">
        <v>3.1119999999999998E-2</v>
      </c>
      <c r="E457" s="275">
        <v>0.13431999999999999</v>
      </c>
      <c r="F457" s="275">
        <v>0.11423</v>
      </c>
      <c r="G457" s="275">
        <v>0.11926</v>
      </c>
      <c r="H457" s="275">
        <v>0.36621999999999999</v>
      </c>
      <c r="I457" s="275">
        <v>0.35859999999999997</v>
      </c>
      <c r="J457" s="275">
        <v>0.36907000000000001</v>
      </c>
      <c r="K457" s="275">
        <v>0.34261000000000003</v>
      </c>
      <c r="L457" s="275">
        <v>0.34605000000000002</v>
      </c>
      <c r="M457" s="275">
        <v>0.91715000000000002</v>
      </c>
      <c r="N457" s="275">
        <v>0.98231999999999997</v>
      </c>
      <c r="O457" s="275">
        <v>1.01027</v>
      </c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</row>
    <row r="458" spans="1:27">
      <c r="A458" s="280"/>
      <c r="B458" s="274"/>
      <c r="C458" s="278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</row>
    <row r="459" spans="1:27">
      <c r="A459" s="280">
        <v>157</v>
      </c>
      <c r="B459" s="274">
        <v>47</v>
      </c>
      <c r="C459" s="278" t="s">
        <v>133</v>
      </c>
      <c r="D459" s="275" t="s">
        <v>434</v>
      </c>
      <c r="E459" s="275" t="s">
        <v>435</v>
      </c>
      <c r="F459" s="275" t="s">
        <v>436</v>
      </c>
      <c r="G459" s="275" t="s">
        <v>437</v>
      </c>
      <c r="H459" s="275" t="s">
        <v>438</v>
      </c>
      <c r="I459" s="275" t="s">
        <v>439</v>
      </c>
      <c r="J459" s="275" t="s">
        <v>440</v>
      </c>
      <c r="K459" s="275" t="s">
        <v>441</v>
      </c>
      <c r="L459" s="275" t="s">
        <v>442</v>
      </c>
      <c r="M459" s="275" t="s">
        <v>443</v>
      </c>
      <c r="N459" s="275" t="s">
        <v>444</v>
      </c>
      <c r="O459" s="275" t="s">
        <v>445</v>
      </c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</row>
    <row r="460" spans="1:27">
      <c r="A460" s="280"/>
      <c r="B460" s="274"/>
      <c r="C460" s="278"/>
      <c r="D460" s="275">
        <v>3.1119999999999998E-2</v>
      </c>
      <c r="E460" s="275">
        <v>0.13431999999999999</v>
      </c>
      <c r="F460" s="275">
        <v>0.11422</v>
      </c>
      <c r="G460" s="275">
        <v>0.11926</v>
      </c>
      <c r="H460" s="275">
        <v>0.36619000000000002</v>
      </c>
      <c r="I460" s="275">
        <v>0.35854999999999998</v>
      </c>
      <c r="J460" s="275">
        <v>0.36902000000000001</v>
      </c>
      <c r="K460" s="275">
        <v>0.34258</v>
      </c>
      <c r="L460" s="275">
        <v>0.34601999999999999</v>
      </c>
      <c r="M460" s="275">
        <v>0.91198000000000001</v>
      </c>
      <c r="N460" s="275">
        <v>0.97326999999999997</v>
      </c>
      <c r="O460" s="275">
        <v>1.0000100000000001</v>
      </c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</row>
    <row r="461" spans="1:27">
      <c r="A461" s="280"/>
      <c r="B461" s="274"/>
      <c r="C461" s="278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</row>
    <row r="462" spans="1:27">
      <c r="A462" s="280">
        <v>158</v>
      </c>
      <c r="B462" s="274">
        <v>48</v>
      </c>
      <c r="C462" s="278" t="s">
        <v>350</v>
      </c>
      <c r="D462" s="275" t="s">
        <v>434</v>
      </c>
      <c r="E462" s="275" t="s">
        <v>435</v>
      </c>
      <c r="F462" s="275" t="s">
        <v>436</v>
      </c>
      <c r="G462" s="275" t="s">
        <v>437</v>
      </c>
      <c r="H462" s="275" t="s">
        <v>438</v>
      </c>
      <c r="I462" s="275" t="s">
        <v>439</v>
      </c>
      <c r="J462" s="275" t="s">
        <v>440</v>
      </c>
      <c r="K462" s="275" t="s">
        <v>441</v>
      </c>
      <c r="L462" s="275" t="s">
        <v>442</v>
      </c>
      <c r="M462" s="275" t="s">
        <v>443</v>
      </c>
      <c r="N462" s="275" t="s">
        <v>444</v>
      </c>
      <c r="O462" s="275" t="s">
        <v>445</v>
      </c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</row>
    <row r="463" spans="1:27">
      <c r="A463" s="280"/>
      <c r="B463" s="274"/>
      <c r="C463" s="278"/>
      <c r="D463" s="275">
        <v>3.041E-2</v>
      </c>
      <c r="E463" s="275">
        <v>0.13106000000000001</v>
      </c>
      <c r="F463" s="275">
        <v>0.11133999999999999</v>
      </c>
      <c r="G463" s="275">
        <v>0.11648</v>
      </c>
      <c r="H463" s="275">
        <v>0.35611999999999999</v>
      </c>
      <c r="I463" s="275">
        <v>0.34813</v>
      </c>
      <c r="J463" s="275">
        <v>0.35870999999999997</v>
      </c>
      <c r="K463" s="275">
        <v>0.33156000000000002</v>
      </c>
      <c r="L463" s="275">
        <v>0.33501999999999998</v>
      </c>
      <c r="M463" s="275">
        <v>0.88673000000000002</v>
      </c>
      <c r="N463" s="275">
        <v>0.94694</v>
      </c>
      <c r="O463" s="275">
        <v>0.97513000000000005</v>
      </c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</row>
    <row r="464" spans="1:27">
      <c r="A464" s="280"/>
      <c r="B464" s="274"/>
      <c r="C464" s="278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</row>
    <row r="465" spans="1:27">
      <c r="A465" s="280">
        <v>159</v>
      </c>
      <c r="B465" s="274">
        <v>49</v>
      </c>
      <c r="C465" s="278" t="s">
        <v>134</v>
      </c>
      <c r="D465" s="275" t="s">
        <v>434</v>
      </c>
      <c r="E465" s="275" t="s">
        <v>435</v>
      </c>
      <c r="F465" s="275" t="s">
        <v>436</v>
      </c>
      <c r="G465" s="275" t="s">
        <v>437</v>
      </c>
      <c r="H465" s="275" t="s">
        <v>438</v>
      </c>
      <c r="I465" s="275" t="s">
        <v>439</v>
      </c>
      <c r="J465" s="275" t="s">
        <v>440</v>
      </c>
      <c r="K465" s="275" t="s">
        <v>441</v>
      </c>
      <c r="L465" s="275" t="s">
        <v>442</v>
      </c>
      <c r="M465" s="275" t="s">
        <v>443</v>
      </c>
      <c r="N465" s="275" t="s">
        <v>444</v>
      </c>
      <c r="O465" s="275" t="s">
        <v>445</v>
      </c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</row>
    <row r="466" spans="1:27">
      <c r="A466" s="280"/>
      <c r="B466" s="274"/>
      <c r="C466" s="278"/>
      <c r="D466" s="275">
        <v>2.972E-2</v>
      </c>
      <c r="E466" s="275">
        <v>0.12792000000000001</v>
      </c>
      <c r="F466" s="275">
        <v>0.10857</v>
      </c>
      <c r="G466" s="275">
        <v>0.11380999999999999</v>
      </c>
      <c r="H466" s="275">
        <v>0.34644999999999998</v>
      </c>
      <c r="I466" s="275">
        <v>0.33817000000000003</v>
      </c>
      <c r="J466" s="275">
        <v>0.34888000000000002</v>
      </c>
      <c r="K466" s="275">
        <v>0.32122000000000001</v>
      </c>
      <c r="L466" s="275">
        <v>0.32471</v>
      </c>
      <c r="M466" s="275">
        <v>0.85260999999999998</v>
      </c>
      <c r="N466" s="275">
        <v>0.90837999999999997</v>
      </c>
      <c r="O466" s="275">
        <v>0.93645999999999996</v>
      </c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</row>
    <row r="467" spans="1:27">
      <c r="A467" s="280"/>
      <c r="B467" s="274"/>
      <c r="C467" s="278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</row>
    <row r="468" spans="1:27">
      <c r="A468" s="280">
        <v>160</v>
      </c>
      <c r="B468" s="274">
        <v>49</v>
      </c>
      <c r="C468" s="278" t="s">
        <v>135</v>
      </c>
      <c r="D468" s="275" t="s">
        <v>434</v>
      </c>
      <c r="E468" s="275" t="s">
        <v>435</v>
      </c>
      <c r="F468" s="275" t="s">
        <v>436</v>
      </c>
      <c r="G468" s="275" t="s">
        <v>437</v>
      </c>
      <c r="H468" s="275" t="s">
        <v>438</v>
      </c>
      <c r="I468" s="275" t="s">
        <v>439</v>
      </c>
      <c r="J468" s="275" t="s">
        <v>440</v>
      </c>
      <c r="K468" s="275" t="s">
        <v>441</v>
      </c>
      <c r="L468" s="275" t="s">
        <v>442</v>
      </c>
      <c r="M468" s="275" t="s">
        <v>443</v>
      </c>
      <c r="N468" s="275" t="s">
        <v>444</v>
      </c>
      <c r="O468" s="275" t="s">
        <v>445</v>
      </c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</row>
    <row r="469" spans="1:27">
      <c r="A469" s="280"/>
      <c r="B469" s="274"/>
      <c r="C469" s="278"/>
      <c r="D469" s="275">
        <v>2.972E-2</v>
      </c>
      <c r="E469" s="275">
        <v>0.12792999999999999</v>
      </c>
      <c r="F469" s="275">
        <v>0.10857</v>
      </c>
      <c r="G469" s="275">
        <v>0.11380999999999999</v>
      </c>
      <c r="H469" s="275">
        <v>0.34647</v>
      </c>
      <c r="I469" s="275">
        <v>0.33817000000000003</v>
      </c>
      <c r="J469" s="275">
        <v>0.34888000000000002</v>
      </c>
      <c r="K469" s="275">
        <v>0.32121</v>
      </c>
      <c r="L469" s="275">
        <v>0.32469999999999999</v>
      </c>
      <c r="M469" s="275">
        <v>0.85321000000000002</v>
      </c>
      <c r="N469" s="275">
        <v>0.90764</v>
      </c>
      <c r="O469" s="275">
        <v>0.93537999999999999</v>
      </c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</row>
    <row r="470" spans="1:27">
      <c r="A470" s="280"/>
      <c r="B470" s="274"/>
      <c r="C470" s="278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</row>
    <row r="471" spans="1:27">
      <c r="A471" s="280">
        <v>161</v>
      </c>
      <c r="B471" s="274">
        <v>49</v>
      </c>
      <c r="C471" s="278" t="s">
        <v>136</v>
      </c>
      <c r="D471" s="275" t="s">
        <v>434</v>
      </c>
      <c r="E471" s="275" t="s">
        <v>435</v>
      </c>
      <c r="F471" s="275" t="s">
        <v>436</v>
      </c>
      <c r="G471" s="275" t="s">
        <v>437</v>
      </c>
      <c r="H471" s="275" t="s">
        <v>438</v>
      </c>
      <c r="I471" s="275" t="s">
        <v>439</v>
      </c>
      <c r="J471" s="275" t="s">
        <v>440</v>
      </c>
      <c r="K471" s="275" t="s">
        <v>441</v>
      </c>
      <c r="L471" s="275" t="s">
        <v>442</v>
      </c>
      <c r="M471" s="275" t="s">
        <v>443</v>
      </c>
      <c r="N471" s="275" t="s">
        <v>444</v>
      </c>
      <c r="O471" s="275" t="s">
        <v>445</v>
      </c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</row>
    <row r="472" spans="1:27">
      <c r="A472" s="280"/>
      <c r="B472" s="274"/>
      <c r="C472" s="278"/>
      <c r="D472" s="275">
        <v>2.972E-2</v>
      </c>
      <c r="E472" s="275">
        <v>0.12792999999999999</v>
      </c>
      <c r="F472" s="275">
        <v>0.10857</v>
      </c>
      <c r="G472" s="275">
        <v>0.11380999999999999</v>
      </c>
      <c r="H472" s="275">
        <v>0.34649999999999997</v>
      </c>
      <c r="I472" s="275">
        <v>0.33817000000000003</v>
      </c>
      <c r="J472" s="275">
        <v>0.34888000000000002</v>
      </c>
      <c r="K472" s="275">
        <v>0.32119999999999999</v>
      </c>
      <c r="L472" s="275">
        <v>0.32468000000000002</v>
      </c>
      <c r="M472" s="275">
        <v>0.85392000000000001</v>
      </c>
      <c r="N472" s="275">
        <v>0.90652999999999995</v>
      </c>
      <c r="O472" s="275">
        <v>0.93384</v>
      </c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</row>
    <row r="473" spans="1:27">
      <c r="A473" s="280"/>
      <c r="B473" s="274"/>
      <c r="C473" s="278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</row>
    <row r="474" spans="1:27">
      <c r="A474" s="280">
        <v>162</v>
      </c>
      <c r="B474" s="274">
        <v>50</v>
      </c>
      <c r="C474" s="278" t="s">
        <v>351</v>
      </c>
      <c r="D474" s="275" t="s">
        <v>434</v>
      </c>
      <c r="E474" s="275" t="s">
        <v>435</v>
      </c>
      <c r="F474" s="275" t="s">
        <v>436</v>
      </c>
      <c r="G474" s="275" t="s">
        <v>437</v>
      </c>
      <c r="H474" s="275" t="s">
        <v>438</v>
      </c>
      <c r="I474" s="275" t="s">
        <v>439</v>
      </c>
      <c r="J474" s="275" t="s">
        <v>440</v>
      </c>
      <c r="K474" s="275" t="s">
        <v>441</v>
      </c>
      <c r="L474" s="275" t="s">
        <v>442</v>
      </c>
      <c r="M474" s="275" t="s">
        <v>443</v>
      </c>
      <c r="N474" s="275" t="s">
        <v>444</v>
      </c>
      <c r="O474" s="275" t="s">
        <v>445</v>
      </c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</row>
    <row r="475" spans="1:27">
      <c r="A475" s="280"/>
      <c r="B475" s="274"/>
      <c r="C475" s="278"/>
      <c r="D475" s="275">
        <v>2.9069999999999999E-2</v>
      </c>
      <c r="E475" s="275">
        <v>0.12492</v>
      </c>
      <c r="F475" s="275">
        <v>0.10592</v>
      </c>
      <c r="G475" s="275">
        <v>0.11126</v>
      </c>
      <c r="H475" s="275">
        <v>0.33728000000000002</v>
      </c>
      <c r="I475" s="275">
        <v>0.32873000000000002</v>
      </c>
      <c r="J475" s="275">
        <v>0.33955000000000002</v>
      </c>
      <c r="K475" s="275">
        <v>0.3115</v>
      </c>
      <c r="L475" s="275">
        <v>0.315</v>
      </c>
      <c r="M475" s="275">
        <v>0.82181999999999999</v>
      </c>
      <c r="N475" s="275">
        <v>0.87126000000000003</v>
      </c>
      <c r="O475" s="275">
        <v>0.89863999999999999</v>
      </c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</row>
    <row r="476" spans="1:27">
      <c r="A476" s="280"/>
      <c r="B476" s="274"/>
      <c r="C476" s="278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</row>
    <row r="477" spans="1:27">
      <c r="A477" s="280">
        <v>163</v>
      </c>
      <c r="B477" s="274">
        <v>50</v>
      </c>
      <c r="C477" s="278" t="s">
        <v>352</v>
      </c>
      <c r="D477" s="275" t="s">
        <v>434</v>
      </c>
      <c r="E477" s="275" t="s">
        <v>435</v>
      </c>
      <c r="F477" s="275" t="s">
        <v>436</v>
      </c>
      <c r="G477" s="275" t="s">
        <v>437</v>
      </c>
      <c r="H477" s="275" t="s">
        <v>438</v>
      </c>
      <c r="I477" s="275" t="s">
        <v>439</v>
      </c>
      <c r="J477" s="275" t="s">
        <v>440</v>
      </c>
      <c r="K477" s="275" t="s">
        <v>441</v>
      </c>
      <c r="L477" s="275" t="s">
        <v>442</v>
      </c>
      <c r="M477" s="275" t="s">
        <v>443</v>
      </c>
      <c r="N477" s="275" t="s">
        <v>444</v>
      </c>
      <c r="O477" s="275" t="s">
        <v>445</v>
      </c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</row>
    <row r="478" spans="1:27">
      <c r="A478" s="280"/>
      <c r="B478" s="274"/>
      <c r="C478" s="278"/>
      <c r="D478" s="275">
        <v>2.9069999999999999E-2</v>
      </c>
      <c r="E478" s="275">
        <v>0.12492</v>
      </c>
      <c r="F478" s="275">
        <v>0.10592</v>
      </c>
      <c r="G478" s="275">
        <v>0.11126</v>
      </c>
      <c r="H478" s="275">
        <v>0.33733000000000002</v>
      </c>
      <c r="I478" s="275">
        <v>0.32871</v>
      </c>
      <c r="J478" s="275">
        <v>0.33954000000000001</v>
      </c>
      <c r="K478" s="275">
        <v>0.31146000000000001</v>
      </c>
      <c r="L478" s="275">
        <v>0.31496000000000002</v>
      </c>
      <c r="M478" s="275">
        <v>0.82287999999999994</v>
      </c>
      <c r="N478" s="275">
        <v>0.86885000000000001</v>
      </c>
      <c r="O478" s="275">
        <v>0.89537999999999995</v>
      </c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</row>
    <row r="479" spans="1:27">
      <c r="A479" s="280"/>
      <c r="B479" s="274"/>
      <c r="C479" s="278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</row>
    <row r="480" spans="1:27">
      <c r="A480" s="280">
        <v>164</v>
      </c>
      <c r="B480" s="274">
        <v>51</v>
      </c>
      <c r="C480" s="278" t="s">
        <v>353</v>
      </c>
      <c r="D480" s="275" t="s">
        <v>434</v>
      </c>
      <c r="E480" s="275" t="s">
        <v>435</v>
      </c>
      <c r="F480" s="275" t="s">
        <v>436</v>
      </c>
      <c r="G480" s="275" t="s">
        <v>437</v>
      </c>
      <c r="H480" s="275" t="s">
        <v>438</v>
      </c>
      <c r="I480" s="275" t="s">
        <v>439</v>
      </c>
      <c r="J480" s="275" t="s">
        <v>440</v>
      </c>
      <c r="K480" s="275" t="s">
        <v>441</v>
      </c>
      <c r="L480" s="275" t="s">
        <v>442</v>
      </c>
      <c r="M480" s="275" t="s">
        <v>443</v>
      </c>
      <c r="N480" s="275" t="s">
        <v>444</v>
      </c>
      <c r="O480" s="275" t="s">
        <v>445</v>
      </c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</row>
    <row r="481" spans="1:27">
      <c r="A481" s="280"/>
      <c r="B481" s="274"/>
      <c r="C481" s="278"/>
      <c r="D481" s="275">
        <v>2.843E-2</v>
      </c>
      <c r="E481" s="275">
        <v>0.12204</v>
      </c>
      <c r="F481" s="275">
        <v>0.10337</v>
      </c>
      <c r="G481" s="275">
        <v>0.10882</v>
      </c>
      <c r="H481" s="275">
        <v>0.32852999999999999</v>
      </c>
      <c r="I481" s="275">
        <v>0.31974000000000002</v>
      </c>
      <c r="J481" s="275">
        <v>0.33068999999999998</v>
      </c>
      <c r="K481" s="275">
        <v>0.30234</v>
      </c>
      <c r="L481" s="275">
        <v>0.30586999999999998</v>
      </c>
      <c r="M481" s="275">
        <v>0.79281999999999997</v>
      </c>
      <c r="N481" s="275">
        <v>0.83660000000000001</v>
      </c>
      <c r="O481" s="275">
        <v>0.86333000000000004</v>
      </c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</row>
    <row r="482" spans="1:27">
      <c r="A482" s="280"/>
      <c r="B482" s="274"/>
      <c r="C482" s="278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</row>
    <row r="483" spans="1:27">
      <c r="A483" s="280">
        <v>165</v>
      </c>
      <c r="B483" s="274">
        <v>51</v>
      </c>
      <c r="C483" s="278" t="s">
        <v>354</v>
      </c>
      <c r="D483" s="275" t="s">
        <v>434</v>
      </c>
      <c r="E483" s="275" t="s">
        <v>435</v>
      </c>
      <c r="F483" s="275" t="s">
        <v>436</v>
      </c>
      <c r="G483" s="275" t="s">
        <v>437</v>
      </c>
      <c r="H483" s="275" t="s">
        <v>438</v>
      </c>
      <c r="I483" s="275" t="s">
        <v>439</v>
      </c>
      <c r="J483" s="275" t="s">
        <v>440</v>
      </c>
      <c r="K483" s="275" t="s">
        <v>441</v>
      </c>
      <c r="L483" s="275" t="s">
        <v>442</v>
      </c>
      <c r="M483" s="275" t="s">
        <v>443</v>
      </c>
      <c r="N483" s="275" t="s">
        <v>444</v>
      </c>
      <c r="O483" s="275" t="s">
        <v>445</v>
      </c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</row>
    <row r="484" spans="1:27">
      <c r="A484" s="280"/>
      <c r="B484" s="274"/>
      <c r="C484" s="278"/>
      <c r="D484" s="275">
        <v>2.843E-2</v>
      </c>
      <c r="E484" s="275">
        <v>0.12204</v>
      </c>
      <c r="F484" s="275">
        <v>0.10337</v>
      </c>
      <c r="G484" s="275">
        <v>0.10882</v>
      </c>
      <c r="H484" s="275">
        <v>0.32857999999999998</v>
      </c>
      <c r="I484" s="275">
        <v>0.31970999999999999</v>
      </c>
      <c r="J484" s="275">
        <v>0.33066000000000001</v>
      </c>
      <c r="K484" s="275">
        <v>0.30227999999999999</v>
      </c>
      <c r="L484" s="275">
        <v>0.30581000000000003</v>
      </c>
      <c r="M484" s="275">
        <v>0.79361999999999999</v>
      </c>
      <c r="N484" s="275">
        <v>0.83386000000000005</v>
      </c>
      <c r="O484" s="275">
        <v>0.85970999999999997</v>
      </c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</row>
    <row r="485" spans="1:27">
      <c r="A485" s="280"/>
      <c r="B485" s="274"/>
      <c r="C485" s="278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</row>
    <row r="486" spans="1:27">
      <c r="A486" s="280">
        <v>166</v>
      </c>
      <c r="B486" s="274">
        <v>52</v>
      </c>
      <c r="C486" s="278" t="s">
        <v>355</v>
      </c>
      <c r="D486" s="275" t="s">
        <v>434</v>
      </c>
      <c r="E486" s="275" t="s">
        <v>435</v>
      </c>
      <c r="F486" s="275" t="s">
        <v>436</v>
      </c>
      <c r="G486" s="275" t="s">
        <v>437</v>
      </c>
      <c r="H486" s="275" t="s">
        <v>438</v>
      </c>
      <c r="I486" s="275" t="s">
        <v>439</v>
      </c>
      <c r="J486" s="275" t="s">
        <v>440</v>
      </c>
      <c r="K486" s="275" t="s">
        <v>441</v>
      </c>
      <c r="L486" s="275" t="s">
        <v>442</v>
      </c>
      <c r="M486" s="275" t="s">
        <v>443</v>
      </c>
      <c r="N486" s="275" t="s">
        <v>444</v>
      </c>
      <c r="O486" s="275" t="s">
        <v>445</v>
      </c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</row>
    <row r="487" spans="1:27">
      <c r="A487" s="280"/>
      <c r="B487" s="274"/>
      <c r="C487" s="278"/>
      <c r="D487" s="275">
        <v>2.7820000000000001E-2</v>
      </c>
      <c r="E487" s="275">
        <v>0.11926</v>
      </c>
      <c r="F487" s="275">
        <v>0.10093000000000001</v>
      </c>
      <c r="G487" s="275">
        <v>0.10648000000000001</v>
      </c>
      <c r="H487" s="275">
        <v>0.32019999999999998</v>
      </c>
      <c r="I487" s="275">
        <v>0.31118000000000001</v>
      </c>
      <c r="J487" s="275">
        <v>0.32224999999999998</v>
      </c>
      <c r="K487" s="275">
        <v>0.29372999999999999</v>
      </c>
      <c r="L487" s="275">
        <v>0.29727999999999999</v>
      </c>
      <c r="M487" s="275">
        <v>0.76604000000000005</v>
      </c>
      <c r="N487" s="275">
        <v>0.80464000000000002</v>
      </c>
      <c r="O487" s="275">
        <v>0.83099999999999996</v>
      </c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</row>
    <row r="488" spans="1:27">
      <c r="A488" s="280"/>
      <c r="B488" s="274"/>
      <c r="C488" s="278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</row>
    <row r="489" spans="1:27">
      <c r="A489" s="280">
        <v>167</v>
      </c>
      <c r="B489" s="274">
        <v>52</v>
      </c>
      <c r="C489" s="278" t="s">
        <v>356</v>
      </c>
      <c r="D489" s="275" t="s">
        <v>434</v>
      </c>
      <c r="E489" s="275" t="s">
        <v>435</v>
      </c>
      <c r="F489" s="275" t="s">
        <v>436</v>
      </c>
      <c r="G489" s="275" t="s">
        <v>437</v>
      </c>
      <c r="H489" s="275" t="s">
        <v>438</v>
      </c>
      <c r="I489" s="275" t="s">
        <v>439</v>
      </c>
      <c r="J489" s="275" t="s">
        <v>440</v>
      </c>
      <c r="K489" s="275" t="s">
        <v>441</v>
      </c>
      <c r="L489" s="275" t="s">
        <v>442</v>
      </c>
      <c r="M489" s="275" t="s">
        <v>443</v>
      </c>
      <c r="N489" s="275" t="s">
        <v>444</v>
      </c>
      <c r="O489" s="275" t="s">
        <v>445</v>
      </c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</row>
    <row r="490" spans="1:27">
      <c r="A490" s="280"/>
      <c r="B490" s="274"/>
      <c r="C490" s="278"/>
      <c r="D490" s="275">
        <v>2.7820000000000001E-2</v>
      </c>
      <c r="E490" s="275">
        <v>0.11926</v>
      </c>
      <c r="F490" s="275">
        <v>0.10093000000000001</v>
      </c>
      <c r="G490" s="275">
        <v>0.10648000000000001</v>
      </c>
      <c r="H490" s="275">
        <v>0.32017000000000001</v>
      </c>
      <c r="I490" s="275">
        <v>0.31118000000000001</v>
      </c>
      <c r="J490" s="275">
        <v>0.32224999999999998</v>
      </c>
      <c r="K490" s="275">
        <v>0.29369000000000001</v>
      </c>
      <c r="L490" s="275">
        <v>0.29724</v>
      </c>
      <c r="M490" s="275">
        <v>0.76551000000000002</v>
      </c>
      <c r="N490" s="275">
        <v>0.80430000000000001</v>
      </c>
      <c r="O490" s="275">
        <v>0.83045999999999998</v>
      </c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</row>
    <row r="491" spans="1:27">
      <c r="A491" s="280"/>
      <c r="B491" s="274"/>
      <c r="C491" s="278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</row>
    <row r="492" spans="1:27">
      <c r="A492" s="280">
        <v>168</v>
      </c>
      <c r="B492" s="274">
        <v>52</v>
      </c>
      <c r="C492" s="278" t="s">
        <v>137</v>
      </c>
      <c r="D492" s="275" t="s">
        <v>434</v>
      </c>
      <c r="E492" s="275" t="s">
        <v>435</v>
      </c>
      <c r="F492" s="275" t="s">
        <v>436</v>
      </c>
      <c r="G492" s="275" t="s">
        <v>437</v>
      </c>
      <c r="H492" s="275" t="s">
        <v>438</v>
      </c>
      <c r="I492" s="275" t="s">
        <v>439</v>
      </c>
      <c r="J492" s="275" t="s">
        <v>440</v>
      </c>
      <c r="K492" s="275" t="s">
        <v>441</v>
      </c>
      <c r="L492" s="275" t="s">
        <v>442</v>
      </c>
      <c r="M492" s="275" t="s">
        <v>443</v>
      </c>
      <c r="N492" s="275" t="s">
        <v>444</v>
      </c>
      <c r="O492" s="275" t="s">
        <v>445</v>
      </c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</row>
    <row r="493" spans="1:27">
      <c r="A493" s="280"/>
      <c r="B493" s="274"/>
      <c r="C493" s="278"/>
      <c r="D493" s="275">
        <v>2.7820000000000001E-2</v>
      </c>
      <c r="E493" s="275">
        <v>0.11926</v>
      </c>
      <c r="F493" s="275">
        <v>0.10093000000000001</v>
      </c>
      <c r="G493" s="275">
        <v>0.10648000000000001</v>
      </c>
      <c r="H493" s="275">
        <v>0.32018999999999997</v>
      </c>
      <c r="I493" s="275">
        <v>0.31115999999999999</v>
      </c>
      <c r="J493" s="275">
        <v>0.32223000000000002</v>
      </c>
      <c r="K493" s="275">
        <v>0.29365999999999998</v>
      </c>
      <c r="L493" s="275">
        <v>0.29720999999999997</v>
      </c>
      <c r="M493" s="275">
        <v>0.76581999999999995</v>
      </c>
      <c r="N493" s="275">
        <v>0.80295000000000005</v>
      </c>
      <c r="O493" s="275">
        <v>0.82867999999999997</v>
      </c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</row>
    <row r="494" spans="1:27">
      <c r="A494" s="280"/>
      <c r="B494" s="274"/>
      <c r="C494" s="278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</row>
    <row r="495" spans="1:27">
      <c r="A495" s="280">
        <v>169</v>
      </c>
      <c r="B495" s="274">
        <v>52</v>
      </c>
      <c r="C495" s="278" t="s">
        <v>138</v>
      </c>
      <c r="D495" s="275" t="s">
        <v>434</v>
      </c>
      <c r="E495" s="275" t="s">
        <v>435</v>
      </c>
      <c r="F495" s="275" t="s">
        <v>436</v>
      </c>
      <c r="G495" s="275" t="s">
        <v>437</v>
      </c>
      <c r="H495" s="275" t="s">
        <v>438</v>
      </c>
      <c r="I495" s="275" t="s">
        <v>439</v>
      </c>
      <c r="J495" s="275" t="s">
        <v>440</v>
      </c>
      <c r="K495" s="275" t="s">
        <v>441</v>
      </c>
      <c r="L495" s="275" t="s">
        <v>442</v>
      </c>
      <c r="M495" s="275" t="s">
        <v>443</v>
      </c>
      <c r="N495" s="275" t="s">
        <v>444</v>
      </c>
      <c r="O495" s="275" t="s">
        <v>445</v>
      </c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</row>
    <row r="496" spans="1:27">
      <c r="A496" s="280"/>
      <c r="B496" s="274"/>
      <c r="C496" s="278"/>
      <c r="D496" s="275">
        <v>2.7820000000000001E-2</v>
      </c>
      <c r="E496" s="275">
        <v>0.11926</v>
      </c>
      <c r="F496" s="275">
        <v>0.10093000000000001</v>
      </c>
      <c r="G496" s="275">
        <v>0.10648000000000001</v>
      </c>
      <c r="H496" s="275">
        <v>0.32022</v>
      </c>
      <c r="I496" s="275">
        <v>0.31114000000000003</v>
      </c>
      <c r="J496" s="275">
        <v>0.32221</v>
      </c>
      <c r="K496" s="275">
        <v>0.29361999999999999</v>
      </c>
      <c r="L496" s="275">
        <v>0.29716999999999999</v>
      </c>
      <c r="M496" s="275">
        <v>0.76610999999999996</v>
      </c>
      <c r="N496" s="275">
        <v>0.80137999999999998</v>
      </c>
      <c r="O496" s="275">
        <v>0.82665999999999995</v>
      </c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</row>
    <row r="497" spans="1:27">
      <c r="A497" s="280"/>
      <c r="B497" s="274"/>
      <c r="C497" s="278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</row>
    <row r="498" spans="1:27">
      <c r="A498" s="280">
        <v>170</v>
      </c>
      <c r="B498" s="274">
        <v>53</v>
      </c>
      <c r="C498" s="278" t="s">
        <v>139</v>
      </c>
      <c r="D498" s="275" t="s">
        <v>434</v>
      </c>
      <c r="E498" s="275" t="s">
        <v>435</v>
      </c>
      <c r="F498" s="275" t="s">
        <v>436</v>
      </c>
      <c r="G498" s="275" t="s">
        <v>437</v>
      </c>
      <c r="H498" s="275" t="s">
        <v>438</v>
      </c>
      <c r="I498" s="275" t="s">
        <v>439</v>
      </c>
      <c r="J498" s="275" t="s">
        <v>440</v>
      </c>
      <c r="K498" s="275" t="s">
        <v>441</v>
      </c>
      <c r="L498" s="275" t="s">
        <v>442</v>
      </c>
      <c r="M498" s="275" t="s">
        <v>443</v>
      </c>
      <c r="N498" s="275" t="s">
        <v>444</v>
      </c>
      <c r="O498" s="275" t="s">
        <v>445</v>
      </c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</row>
    <row r="499" spans="1:27">
      <c r="A499" s="280"/>
      <c r="B499" s="274"/>
      <c r="C499" s="278"/>
      <c r="D499" s="275">
        <v>2.724E-2</v>
      </c>
      <c r="E499" s="275">
        <v>0.1166</v>
      </c>
      <c r="F499" s="275">
        <v>9.8580000000000001E-2</v>
      </c>
      <c r="G499" s="275">
        <v>0.10423</v>
      </c>
      <c r="H499" s="275">
        <v>0.31223000000000001</v>
      </c>
      <c r="I499" s="275">
        <v>0.30302000000000001</v>
      </c>
      <c r="J499" s="275">
        <v>0.31422</v>
      </c>
      <c r="K499" s="275">
        <v>0.28558</v>
      </c>
      <c r="L499" s="275">
        <v>0.28916999999999998</v>
      </c>
      <c r="M499" s="275">
        <v>0.74087999999999998</v>
      </c>
      <c r="N499" s="275">
        <v>0.77493999999999996</v>
      </c>
      <c r="O499" s="275">
        <v>0.80100000000000005</v>
      </c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</row>
    <row r="500" spans="1:27">
      <c r="A500" s="280"/>
      <c r="B500" s="274"/>
      <c r="C500" s="278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</row>
    <row r="501" spans="1:27">
      <c r="A501" s="280">
        <v>171</v>
      </c>
      <c r="B501" s="274">
        <v>53</v>
      </c>
      <c r="C501" s="278" t="s">
        <v>357</v>
      </c>
      <c r="D501" s="275" t="s">
        <v>434</v>
      </c>
      <c r="E501" s="275" t="s">
        <v>435</v>
      </c>
      <c r="F501" s="275" t="s">
        <v>436</v>
      </c>
      <c r="G501" s="275" t="s">
        <v>437</v>
      </c>
      <c r="H501" s="275" t="s">
        <v>438</v>
      </c>
      <c r="I501" s="275" t="s">
        <v>439</v>
      </c>
      <c r="J501" s="275" t="s">
        <v>440</v>
      </c>
      <c r="K501" s="275" t="s">
        <v>441</v>
      </c>
      <c r="L501" s="275" t="s">
        <v>442</v>
      </c>
      <c r="M501" s="275" t="s">
        <v>443</v>
      </c>
      <c r="N501" s="275" t="s">
        <v>444</v>
      </c>
      <c r="O501" s="275" t="s">
        <v>445</v>
      </c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</row>
    <row r="502" spans="1:27">
      <c r="A502" s="280"/>
      <c r="B502" s="274"/>
      <c r="C502" s="278"/>
      <c r="D502" s="275">
        <v>2.724E-2</v>
      </c>
      <c r="E502" s="275">
        <v>0.1166</v>
      </c>
      <c r="F502" s="275">
        <v>9.8580000000000001E-2</v>
      </c>
      <c r="G502" s="275">
        <v>0.10423</v>
      </c>
      <c r="H502" s="275">
        <v>0.31220999999999999</v>
      </c>
      <c r="I502" s="275">
        <v>0.30302000000000001</v>
      </c>
      <c r="J502" s="275">
        <v>0.31422</v>
      </c>
      <c r="K502" s="275">
        <v>0.28555999999999998</v>
      </c>
      <c r="L502" s="275">
        <v>0.28914000000000001</v>
      </c>
      <c r="M502" s="275">
        <v>0.74051</v>
      </c>
      <c r="N502" s="275">
        <v>0.77478000000000002</v>
      </c>
      <c r="O502" s="275">
        <v>0.80069000000000001</v>
      </c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</row>
    <row r="503" spans="1:27">
      <c r="A503" s="280"/>
      <c r="B503" s="274"/>
      <c r="C503" s="278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</row>
    <row r="504" spans="1:27">
      <c r="A504" s="280">
        <v>172</v>
      </c>
      <c r="B504" s="274">
        <v>53</v>
      </c>
      <c r="C504" s="278" t="s">
        <v>358</v>
      </c>
      <c r="D504" s="275" t="s">
        <v>434</v>
      </c>
      <c r="E504" s="275" t="s">
        <v>435</v>
      </c>
      <c r="F504" s="275" t="s">
        <v>436</v>
      </c>
      <c r="G504" s="275" t="s">
        <v>437</v>
      </c>
      <c r="H504" s="275" t="s">
        <v>438</v>
      </c>
      <c r="I504" s="275" t="s">
        <v>439</v>
      </c>
      <c r="J504" s="275" t="s">
        <v>440</v>
      </c>
      <c r="K504" s="275" t="s">
        <v>441</v>
      </c>
      <c r="L504" s="275" t="s">
        <v>442</v>
      </c>
      <c r="M504" s="275" t="s">
        <v>443</v>
      </c>
      <c r="N504" s="275" t="s">
        <v>444</v>
      </c>
      <c r="O504" s="275" t="s">
        <v>445</v>
      </c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</row>
    <row r="505" spans="1:27">
      <c r="A505" s="280"/>
      <c r="B505" s="274"/>
      <c r="C505" s="278"/>
      <c r="D505" s="275">
        <v>2.724E-2</v>
      </c>
      <c r="E505" s="275">
        <v>0.11659</v>
      </c>
      <c r="F505" s="275">
        <v>9.8580000000000001E-2</v>
      </c>
      <c r="G505" s="275">
        <v>0.10423</v>
      </c>
      <c r="H505" s="275">
        <v>0.31218000000000001</v>
      </c>
      <c r="I505" s="275">
        <v>0.30301</v>
      </c>
      <c r="J505" s="275">
        <v>0.31420999999999999</v>
      </c>
      <c r="K505" s="275">
        <v>0.28550999999999999</v>
      </c>
      <c r="L505" s="275">
        <v>0.28909000000000001</v>
      </c>
      <c r="M505" s="275">
        <v>0.73982000000000003</v>
      </c>
      <c r="N505" s="275">
        <v>0.7742</v>
      </c>
      <c r="O505" s="275">
        <v>0.79986000000000002</v>
      </c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</row>
    <row r="506" spans="1:27">
      <c r="A506" s="280"/>
      <c r="B506" s="274"/>
      <c r="C506" s="278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</row>
    <row r="507" spans="1:27">
      <c r="A507" s="280">
        <v>173</v>
      </c>
      <c r="B507" s="274">
        <v>53</v>
      </c>
      <c r="C507" s="278" t="s">
        <v>359</v>
      </c>
      <c r="D507" s="275" t="s">
        <v>434</v>
      </c>
      <c r="E507" s="275" t="s">
        <v>435</v>
      </c>
      <c r="F507" s="275" t="s">
        <v>436</v>
      </c>
      <c r="G507" s="275" t="s">
        <v>437</v>
      </c>
      <c r="H507" s="275" t="s">
        <v>438</v>
      </c>
      <c r="I507" s="275" t="s">
        <v>439</v>
      </c>
      <c r="J507" s="275" t="s">
        <v>440</v>
      </c>
      <c r="K507" s="275" t="s">
        <v>441</v>
      </c>
      <c r="L507" s="275" t="s">
        <v>442</v>
      </c>
      <c r="M507" s="275" t="s">
        <v>443</v>
      </c>
      <c r="N507" s="275" t="s">
        <v>444</v>
      </c>
      <c r="O507" s="275" t="s">
        <v>445</v>
      </c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</row>
    <row r="508" spans="1:27">
      <c r="A508" s="280"/>
      <c r="B508" s="274"/>
      <c r="C508" s="278"/>
      <c r="D508" s="275">
        <v>2.724E-2</v>
      </c>
      <c r="E508" s="275">
        <v>0.11659</v>
      </c>
      <c r="F508" s="275">
        <v>9.8580000000000001E-2</v>
      </c>
      <c r="G508" s="275">
        <v>0.10423</v>
      </c>
      <c r="H508" s="275">
        <v>0.31222</v>
      </c>
      <c r="I508" s="275">
        <v>0.30297000000000002</v>
      </c>
      <c r="J508" s="275">
        <v>0.31414999999999998</v>
      </c>
      <c r="K508" s="275">
        <v>0.28542000000000001</v>
      </c>
      <c r="L508" s="275">
        <v>0.28899999999999998</v>
      </c>
      <c r="M508" s="275">
        <v>0.74024000000000001</v>
      </c>
      <c r="N508" s="275">
        <v>0.77120999999999995</v>
      </c>
      <c r="O508" s="275">
        <v>0.79600000000000004</v>
      </c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</row>
    <row r="509" spans="1:27">
      <c r="A509" s="280"/>
      <c r="B509" s="274"/>
      <c r="C509" s="278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</row>
    <row r="510" spans="1:27">
      <c r="A510" s="280">
        <v>174</v>
      </c>
      <c r="B510" s="274">
        <v>53</v>
      </c>
      <c r="C510" s="278" t="s">
        <v>360</v>
      </c>
      <c r="D510" s="275" t="s">
        <v>434</v>
      </c>
      <c r="E510" s="275" t="s">
        <v>435</v>
      </c>
      <c r="F510" s="275" t="s">
        <v>436</v>
      </c>
      <c r="G510" s="275" t="s">
        <v>437</v>
      </c>
      <c r="H510" s="275" t="s">
        <v>438</v>
      </c>
      <c r="I510" s="275" t="s">
        <v>439</v>
      </c>
      <c r="J510" s="275" t="s">
        <v>440</v>
      </c>
      <c r="K510" s="275" t="s">
        <v>441</v>
      </c>
      <c r="L510" s="275" t="s">
        <v>442</v>
      </c>
      <c r="M510" s="275" t="s">
        <v>443</v>
      </c>
      <c r="N510" s="275" t="s">
        <v>444</v>
      </c>
      <c r="O510" s="275" t="s">
        <v>445</v>
      </c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</row>
    <row r="511" spans="1:27">
      <c r="A511" s="280"/>
      <c r="B511" s="274"/>
      <c r="C511" s="278"/>
      <c r="D511" s="275">
        <v>2.724E-2</v>
      </c>
      <c r="E511" s="275">
        <v>0.1166</v>
      </c>
      <c r="F511" s="275">
        <v>9.8580000000000001E-2</v>
      </c>
      <c r="G511" s="275">
        <v>0.10423</v>
      </c>
      <c r="H511" s="275">
        <v>0.31224000000000002</v>
      </c>
      <c r="I511" s="275">
        <v>0.30301</v>
      </c>
      <c r="J511" s="275">
        <v>0.31422</v>
      </c>
      <c r="K511" s="275">
        <v>0.28559000000000001</v>
      </c>
      <c r="L511" s="275">
        <v>0.28917999999999999</v>
      </c>
      <c r="M511" s="275">
        <v>0.74102000000000001</v>
      </c>
      <c r="N511" s="275">
        <v>0.77480000000000004</v>
      </c>
      <c r="O511" s="275">
        <v>0.80095000000000005</v>
      </c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</row>
    <row r="512" spans="1:27">
      <c r="A512" s="280"/>
      <c r="B512" s="274"/>
      <c r="C512" s="278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</row>
    <row r="513" spans="1:27">
      <c r="A513" s="280">
        <v>175</v>
      </c>
      <c r="B513" s="274">
        <v>54</v>
      </c>
      <c r="C513" s="278" t="s">
        <v>361</v>
      </c>
      <c r="D513" s="275" t="s">
        <v>434</v>
      </c>
      <c r="E513" s="275" t="s">
        <v>435</v>
      </c>
      <c r="F513" s="275" t="s">
        <v>436</v>
      </c>
      <c r="G513" s="275" t="s">
        <v>437</v>
      </c>
      <c r="H513" s="275" t="s">
        <v>438</v>
      </c>
      <c r="I513" s="275" t="s">
        <v>439</v>
      </c>
      <c r="J513" s="275" t="s">
        <v>440</v>
      </c>
      <c r="K513" s="275" t="s">
        <v>441</v>
      </c>
      <c r="L513" s="275" t="s">
        <v>442</v>
      </c>
      <c r="M513" s="275" t="s">
        <v>443</v>
      </c>
      <c r="N513" s="275" t="s">
        <v>444</v>
      </c>
      <c r="O513" s="275" t="s">
        <v>445</v>
      </c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</row>
    <row r="514" spans="1:27">
      <c r="A514" s="280"/>
      <c r="B514" s="274"/>
      <c r="C514" s="278"/>
      <c r="D514" s="275">
        <v>2.6669999999999999E-2</v>
      </c>
      <c r="E514" s="275">
        <v>0.11403000000000001</v>
      </c>
      <c r="F514" s="275">
        <v>9.6320000000000003E-2</v>
      </c>
      <c r="G514" s="275">
        <v>0.10208</v>
      </c>
      <c r="H514" s="275">
        <v>0.30459999999999998</v>
      </c>
      <c r="I514" s="275">
        <v>0.29522999999999999</v>
      </c>
      <c r="J514" s="275">
        <v>0.30656</v>
      </c>
      <c r="K514" s="275">
        <v>0.27786</v>
      </c>
      <c r="L514" s="275">
        <v>0.28147</v>
      </c>
      <c r="M514" s="275">
        <v>0.71696000000000004</v>
      </c>
      <c r="N514" s="275">
        <v>0.74726000000000004</v>
      </c>
      <c r="O514" s="275">
        <v>0.77297000000000005</v>
      </c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</row>
    <row r="515" spans="1:27">
      <c r="A515" s="280"/>
      <c r="B515" s="274"/>
      <c r="C515" s="278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</row>
    <row r="516" spans="1:27">
      <c r="A516" s="280">
        <v>176</v>
      </c>
      <c r="B516" s="274">
        <v>54</v>
      </c>
      <c r="C516" s="278" t="s">
        <v>362</v>
      </c>
      <c r="D516" s="275" t="s">
        <v>434</v>
      </c>
      <c r="E516" s="275" t="s">
        <v>435</v>
      </c>
      <c r="F516" s="275" t="s">
        <v>436</v>
      </c>
      <c r="G516" s="275" t="s">
        <v>437</v>
      </c>
      <c r="H516" s="275" t="s">
        <v>438</v>
      </c>
      <c r="I516" s="275" t="s">
        <v>439</v>
      </c>
      <c r="J516" s="275" t="s">
        <v>440</v>
      </c>
      <c r="K516" s="275" t="s">
        <v>441</v>
      </c>
      <c r="L516" s="275" t="s">
        <v>442</v>
      </c>
      <c r="M516" s="275" t="s">
        <v>443</v>
      </c>
      <c r="N516" s="275" t="s">
        <v>444</v>
      </c>
      <c r="O516" s="275" t="s">
        <v>445</v>
      </c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</row>
    <row r="517" spans="1:27">
      <c r="A517" s="280"/>
      <c r="B517" s="274"/>
      <c r="C517" s="278"/>
      <c r="D517" s="275">
        <v>2.6669999999999999E-2</v>
      </c>
      <c r="E517" s="275">
        <v>0.11403000000000001</v>
      </c>
      <c r="F517" s="275">
        <v>9.6320000000000003E-2</v>
      </c>
      <c r="G517" s="275">
        <v>0.10206999999999999</v>
      </c>
      <c r="H517" s="275">
        <v>0.30457000000000001</v>
      </c>
      <c r="I517" s="275">
        <v>0.29521999999999998</v>
      </c>
      <c r="J517" s="275">
        <v>0.30654999999999999</v>
      </c>
      <c r="K517" s="275">
        <v>0.27782000000000001</v>
      </c>
      <c r="L517" s="275">
        <v>0.28144000000000002</v>
      </c>
      <c r="M517" s="275">
        <v>0.71645000000000003</v>
      </c>
      <c r="N517" s="275">
        <v>0.74690999999999996</v>
      </c>
      <c r="O517" s="275">
        <v>0.77242</v>
      </c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</row>
    <row r="518" spans="1:27">
      <c r="A518" s="280"/>
      <c r="B518" s="274"/>
      <c r="C518" s="278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</row>
    <row r="519" spans="1:27">
      <c r="A519" s="280">
        <v>177</v>
      </c>
      <c r="B519" s="274">
        <v>54</v>
      </c>
      <c r="C519" s="278" t="s">
        <v>363</v>
      </c>
      <c r="D519" s="275" t="s">
        <v>434</v>
      </c>
      <c r="E519" s="275" t="s">
        <v>435</v>
      </c>
      <c r="F519" s="275" t="s">
        <v>436</v>
      </c>
      <c r="G519" s="275" t="s">
        <v>437</v>
      </c>
      <c r="H519" s="275" t="s">
        <v>438</v>
      </c>
      <c r="I519" s="275" t="s">
        <v>439</v>
      </c>
      <c r="J519" s="275" t="s">
        <v>440</v>
      </c>
      <c r="K519" s="275" t="s">
        <v>441</v>
      </c>
      <c r="L519" s="275" t="s">
        <v>442</v>
      </c>
      <c r="M519" s="275" t="s">
        <v>443</v>
      </c>
      <c r="N519" s="275" t="s">
        <v>444</v>
      </c>
      <c r="O519" s="275" t="s">
        <v>445</v>
      </c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</row>
    <row r="520" spans="1:27">
      <c r="A520" s="280"/>
      <c r="B520" s="274"/>
      <c r="C520" s="278"/>
      <c r="D520" s="275">
        <v>2.6669999999999999E-2</v>
      </c>
      <c r="E520" s="275">
        <v>0.11402</v>
      </c>
      <c r="F520" s="275">
        <v>9.6320000000000003E-2</v>
      </c>
      <c r="G520" s="275">
        <v>0.10206999999999999</v>
      </c>
      <c r="H520" s="275">
        <v>0.30453000000000002</v>
      </c>
      <c r="I520" s="275">
        <v>0.29520999999999997</v>
      </c>
      <c r="J520" s="275">
        <v>0.30653000000000002</v>
      </c>
      <c r="K520" s="275">
        <v>0.27776000000000001</v>
      </c>
      <c r="L520" s="275">
        <v>0.28137000000000001</v>
      </c>
      <c r="M520" s="275">
        <v>0.71564000000000005</v>
      </c>
      <c r="N520" s="275">
        <v>0.74614000000000003</v>
      </c>
      <c r="O520" s="275">
        <v>0.77137</v>
      </c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</row>
    <row r="521" spans="1:27">
      <c r="A521" s="280"/>
      <c r="B521" s="274"/>
      <c r="C521" s="278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</row>
    <row r="522" spans="1:27">
      <c r="A522" s="280">
        <v>178</v>
      </c>
      <c r="B522" s="274">
        <v>54</v>
      </c>
      <c r="C522" s="278" t="s">
        <v>364</v>
      </c>
      <c r="D522" s="275" t="s">
        <v>434</v>
      </c>
      <c r="E522" s="275" t="s">
        <v>435</v>
      </c>
      <c r="F522" s="275" t="s">
        <v>436</v>
      </c>
      <c r="G522" s="275" t="s">
        <v>437</v>
      </c>
      <c r="H522" s="275" t="s">
        <v>438</v>
      </c>
      <c r="I522" s="275" t="s">
        <v>439</v>
      </c>
      <c r="J522" s="275" t="s">
        <v>440</v>
      </c>
      <c r="K522" s="275" t="s">
        <v>441</v>
      </c>
      <c r="L522" s="275" t="s">
        <v>442</v>
      </c>
      <c r="M522" s="275" t="s">
        <v>443</v>
      </c>
      <c r="N522" s="275" t="s">
        <v>444</v>
      </c>
      <c r="O522" s="275" t="s">
        <v>445</v>
      </c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</row>
    <row r="523" spans="1:27">
      <c r="A523" s="280"/>
      <c r="B523" s="274"/>
      <c r="C523" s="278"/>
      <c r="D523" s="275">
        <v>2.6669999999999999E-2</v>
      </c>
      <c r="E523" s="275">
        <v>0.11402</v>
      </c>
      <c r="F523" s="275">
        <v>9.6320000000000003E-2</v>
      </c>
      <c r="G523" s="275">
        <v>0.10206999999999999</v>
      </c>
      <c r="H523" s="275">
        <v>0.30457000000000001</v>
      </c>
      <c r="I523" s="275">
        <v>0.29515999999999998</v>
      </c>
      <c r="J523" s="275">
        <v>0.30647000000000002</v>
      </c>
      <c r="K523" s="275">
        <v>0.27766000000000002</v>
      </c>
      <c r="L523" s="275">
        <v>0.28127000000000002</v>
      </c>
      <c r="M523" s="275">
        <v>0.71591000000000005</v>
      </c>
      <c r="N523" s="275">
        <v>0.74314000000000002</v>
      </c>
      <c r="O523" s="275">
        <v>0.76751999999999998</v>
      </c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</row>
    <row r="524" spans="1:27">
      <c r="A524" s="280"/>
      <c r="B524" s="274"/>
      <c r="C524" s="278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</row>
    <row r="525" spans="1:27">
      <c r="A525" s="280">
        <v>179</v>
      </c>
      <c r="B525" s="274">
        <v>55</v>
      </c>
      <c r="C525" s="278" t="s">
        <v>140</v>
      </c>
      <c r="D525" s="275" t="s">
        <v>434</v>
      </c>
      <c r="E525" s="275" t="s">
        <v>435</v>
      </c>
      <c r="F525" s="275" t="s">
        <v>436</v>
      </c>
      <c r="G525" s="275" t="s">
        <v>437</v>
      </c>
      <c r="H525" s="275" t="s">
        <v>438</v>
      </c>
      <c r="I525" s="275" t="s">
        <v>439</v>
      </c>
      <c r="J525" s="275" t="s">
        <v>440</v>
      </c>
      <c r="K525" s="275" t="s">
        <v>441</v>
      </c>
      <c r="L525" s="275" t="s">
        <v>442</v>
      </c>
      <c r="M525" s="275" t="s">
        <v>443</v>
      </c>
      <c r="N525" s="275" t="s">
        <v>444</v>
      </c>
      <c r="O525" s="275" t="s">
        <v>445</v>
      </c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</row>
    <row r="526" spans="1:27">
      <c r="A526" s="280"/>
      <c r="B526" s="274"/>
      <c r="C526" s="278"/>
      <c r="D526" s="275">
        <v>2.6120000000000001E-2</v>
      </c>
      <c r="E526" s="275">
        <v>0.11155</v>
      </c>
      <c r="F526" s="275">
        <v>9.4140000000000001E-2</v>
      </c>
      <c r="G526" s="275">
        <v>0.1</v>
      </c>
      <c r="H526" s="275">
        <v>0.29730000000000001</v>
      </c>
      <c r="I526" s="275">
        <v>0.28778999999999999</v>
      </c>
      <c r="J526" s="275">
        <v>0.29925000000000002</v>
      </c>
      <c r="K526" s="275">
        <v>0.27055000000000001</v>
      </c>
      <c r="L526" s="275">
        <v>0.2742</v>
      </c>
      <c r="M526" s="275">
        <v>0.69476000000000004</v>
      </c>
      <c r="N526" s="275">
        <v>0.72155000000000002</v>
      </c>
      <c r="O526" s="275">
        <v>0.74709000000000003</v>
      </c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</row>
    <row r="527" spans="1:27">
      <c r="A527" s="280"/>
      <c r="B527" s="274"/>
      <c r="C527" s="278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</row>
    <row r="528" spans="1:27">
      <c r="A528" s="280">
        <v>180</v>
      </c>
      <c r="B528" s="274">
        <v>56</v>
      </c>
      <c r="C528" s="278" t="s">
        <v>365</v>
      </c>
      <c r="D528" s="275" t="s">
        <v>434</v>
      </c>
      <c r="E528" s="275" t="s">
        <v>435</v>
      </c>
      <c r="F528" s="275" t="s">
        <v>436</v>
      </c>
      <c r="G528" s="275" t="s">
        <v>437</v>
      </c>
      <c r="H528" s="275" t="s">
        <v>438</v>
      </c>
      <c r="I528" s="275" t="s">
        <v>439</v>
      </c>
      <c r="J528" s="275" t="s">
        <v>440</v>
      </c>
      <c r="K528" s="275" t="s">
        <v>441</v>
      </c>
      <c r="L528" s="275" t="s">
        <v>442</v>
      </c>
      <c r="M528" s="275" t="s">
        <v>443</v>
      </c>
      <c r="N528" s="275" t="s">
        <v>444</v>
      </c>
      <c r="O528" s="275" t="s">
        <v>445</v>
      </c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</row>
    <row r="529" spans="1:27">
      <c r="A529" s="280"/>
      <c r="B529" s="274"/>
      <c r="C529" s="278"/>
      <c r="D529" s="275">
        <v>2.5590000000000002E-2</v>
      </c>
      <c r="E529" s="275">
        <v>0.10917</v>
      </c>
      <c r="F529" s="275">
        <v>9.2039999999999997E-2</v>
      </c>
      <c r="G529" s="275">
        <v>9.801E-2</v>
      </c>
      <c r="H529" s="275">
        <v>0.29028999999999999</v>
      </c>
      <c r="I529" s="275">
        <v>0.28066999999999998</v>
      </c>
      <c r="J529" s="275">
        <v>0.29226000000000002</v>
      </c>
      <c r="K529" s="275">
        <v>0.26358999999999999</v>
      </c>
      <c r="L529" s="275">
        <v>0.26727000000000001</v>
      </c>
      <c r="M529" s="275">
        <v>0.67354999999999998</v>
      </c>
      <c r="N529" s="275">
        <v>0.69742000000000004</v>
      </c>
      <c r="O529" s="275">
        <v>0.72272000000000003</v>
      </c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</row>
    <row r="530" spans="1:27">
      <c r="A530" s="280"/>
      <c r="B530" s="274"/>
      <c r="C530" s="278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</row>
    <row r="531" spans="1:27">
      <c r="A531" s="280">
        <v>181</v>
      </c>
      <c r="B531" s="274">
        <v>57</v>
      </c>
      <c r="C531" s="278" t="s">
        <v>366</v>
      </c>
      <c r="D531" s="275" t="s">
        <v>434</v>
      </c>
      <c r="E531" s="275" t="s">
        <v>435</v>
      </c>
      <c r="F531" s="275" t="s">
        <v>436</v>
      </c>
      <c r="G531" s="275" t="s">
        <v>437</v>
      </c>
      <c r="H531" s="275" t="s">
        <v>438</v>
      </c>
      <c r="I531" s="275" t="s">
        <v>439</v>
      </c>
      <c r="J531" s="275" t="s">
        <v>440</v>
      </c>
      <c r="K531" s="275" t="s">
        <v>441</v>
      </c>
      <c r="L531" s="275" t="s">
        <v>442</v>
      </c>
      <c r="M531" s="275" t="s">
        <v>443</v>
      </c>
      <c r="N531" s="275" t="s">
        <v>444</v>
      </c>
      <c r="O531" s="275" t="s">
        <v>445</v>
      </c>
      <c r="P531" s="275" t="s">
        <v>446</v>
      </c>
      <c r="Q531" s="275" t="s">
        <v>447</v>
      </c>
      <c r="R531" s="275" t="s">
        <v>448</v>
      </c>
      <c r="S531" s="275" t="s">
        <v>449</v>
      </c>
      <c r="T531" s="275" t="s">
        <v>450</v>
      </c>
      <c r="U531" s="275"/>
      <c r="V531" s="275"/>
      <c r="W531" s="275"/>
      <c r="X531" s="275"/>
      <c r="Y531" s="275"/>
      <c r="Z531" s="275"/>
      <c r="AA531" s="275"/>
    </row>
    <row r="532" spans="1:27">
      <c r="A532" s="280"/>
      <c r="B532" s="274"/>
      <c r="C532" s="278"/>
      <c r="D532" s="275">
        <v>2.5080000000000002E-2</v>
      </c>
      <c r="E532" s="275">
        <v>0.10686</v>
      </c>
      <c r="F532" s="275">
        <v>9.0020000000000003E-2</v>
      </c>
      <c r="G532" s="275">
        <v>9.6089999999999995E-2</v>
      </c>
      <c r="H532" s="275">
        <v>0.28356999999999999</v>
      </c>
      <c r="I532" s="275">
        <v>0.27385999999999999</v>
      </c>
      <c r="J532" s="275">
        <v>0.28559000000000001</v>
      </c>
      <c r="K532" s="275">
        <v>0.25697999999999999</v>
      </c>
      <c r="L532" s="275">
        <v>0.26068999999999998</v>
      </c>
      <c r="M532" s="275">
        <v>0.65361999999999998</v>
      </c>
      <c r="N532" s="275">
        <v>0.67488000000000004</v>
      </c>
      <c r="O532" s="275">
        <v>0.69998000000000005</v>
      </c>
      <c r="P532" s="275">
        <v>0.76222999999999996</v>
      </c>
      <c r="Q532" s="275">
        <v>0.77173999999999998</v>
      </c>
      <c r="R532" s="275">
        <v>1.57484</v>
      </c>
      <c r="S532" s="275">
        <v>1.7483500000000001</v>
      </c>
      <c r="T532" s="275">
        <v>1.8189500000000001</v>
      </c>
      <c r="U532" s="275"/>
      <c r="V532" s="275"/>
      <c r="W532" s="275"/>
      <c r="X532" s="275"/>
      <c r="Y532" s="275"/>
      <c r="Z532" s="275"/>
      <c r="AA532" s="275"/>
    </row>
    <row r="533" spans="1:27">
      <c r="A533" s="280"/>
      <c r="B533" s="274"/>
      <c r="C533" s="278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</row>
    <row r="534" spans="1:27">
      <c r="A534" s="280">
        <v>182</v>
      </c>
      <c r="B534" s="274">
        <v>57</v>
      </c>
      <c r="C534" s="278" t="s">
        <v>141</v>
      </c>
      <c r="D534" s="275" t="s">
        <v>434</v>
      </c>
      <c r="E534" s="275" t="s">
        <v>435</v>
      </c>
      <c r="F534" s="275" t="s">
        <v>436</v>
      </c>
      <c r="G534" s="275" t="s">
        <v>437</v>
      </c>
      <c r="H534" s="275" t="s">
        <v>438</v>
      </c>
      <c r="I534" s="275" t="s">
        <v>439</v>
      </c>
      <c r="J534" s="275" t="s">
        <v>440</v>
      </c>
      <c r="K534" s="275" t="s">
        <v>441</v>
      </c>
      <c r="L534" s="275" t="s">
        <v>442</v>
      </c>
      <c r="M534" s="275" t="s">
        <v>443</v>
      </c>
      <c r="N534" s="275" t="s">
        <v>444</v>
      </c>
      <c r="O534" s="275" t="s">
        <v>445</v>
      </c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</row>
    <row r="535" spans="1:27">
      <c r="A535" s="280"/>
      <c r="B535" s="274"/>
      <c r="C535" s="278"/>
      <c r="D535" s="275">
        <v>2.5080000000000002E-2</v>
      </c>
      <c r="E535" s="275">
        <v>0.10686</v>
      </c>
      <c r="F535" s="275">
        <v>9.0020000000000003E-2</v>
      </c>
      <c r="G535" s="275">
        <v>9.6089999999999995E-2</v>
      </c>
      <c r="H535" s="275">
        <v>0.28355999999999998</v>
      </c>
      <c r="I535" s="275">
        <v>0.27384999999999998</v>
      </c>
      <c r="J535" s="275">
        <v>0.28558</v>
      </c>
      <c r="K535" s="275">
        <v>0.25696999999999998</v>
      </c>
      <c r="L535" s="275">
        <v>0.26068999999999998</v>
      </c>
      <c r="M535" s="275">
        <v>0.65349999999999997</v>
      </c>
      <c r="N535" s="275">
        <v>0.67476000000000003</v>
      </c>
      <c r="O535" s="275">
        <v>0.69984000000000002</v>
      </c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</row>
    <row r="536" spans="1:27">
      <c r="A536" s="280"/>
      <c r="B536" s="274"/>
      <c r="C536" s="278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</row>
    <row r="537" spans="1:27">
      <c r="A537" s="280">
        <v>183</v>
      </c>
      <c r="B537" s="274">
        <v>58</v>
      </c>
      <c r="C537" s="278" t="s">
        <v>367</v>
      </c>
      <c r="D537" s="275" t="s">
        <v>434</v>
      </c>
      <c r="E537" s="275" t="s">
        <v>435</v>
      </c>
      <c r="F537" s="275" t="s">
        <v>436</v>
      </c>
      <c r="G537" s="275" t="s">
        <v>437</v>
      </c>
      <c r="H537" s="275" t="s">
        <v>438</v>
      </c>
      <c r="I537" s="275" t="s">
        <v>439</v>
      </c>
      <c r="J537" s="275" t="s">
        <v>440</v>
      </c>
      <c r="K537" s="275" t="s">
        <v>441</v>
      </c>
      <c r="L537" s="275" t="s">
        <v>442</v>
      </c>
      <c r="M537" s="275" t="s">
        <v>443</v>
      </c>
      <c r="N537" s="275" t="s">
        <v>444</v>
      </c>
      <c r="O537" s="275" t="s">
        <v>445</v>
      </c>
      <c r="P537" s="275" t="s">
        <v>446</v>
      </c>
      <c r="Q537" s="275" t="s">
        <v>447</v>
      </c>
      <c r="R537" s="275" t="s">
        <v>448</v>
      </c>
      <c r="S537" s="275" t="s">
        <v>449</v>
      </c>
      <c r="T537" s="275" t="s">
        <v>450</v>
      </c>
      <c r="U537" s="275"/>
      <c r="V537" s="275"/>
      <c r="W537" s="275"/>
      <c r="X537" s="275"/>
      <c r="Y537" s="275"/>
      <c r="Z537" s="275"/>
      <c r="AA537" s="275"/>
    </row>
    <row r="538" spans="1:27">
      <c r="A538" s="280"/>
      <c r="B538" s="274"/>
      <c r="C538" s="278"/>
      <c r="D538" s="275">
        <v>2.4590000000000001E-2</v>
      </c>
      <c r="E538" s="275">
        <v>0.10462</v>
      </c>
      <c r="F538" s="275">
        <v>8.8050000000000003E-2</v>
      </c>
      <c r="G538" s="275">
        <v>9.4219999999999998E-2</v>
      </c>
      <c r="H538" s="275">
        <v>0.27705999999999997</v>
      </c>
      <c r="I538" s="275">
        <v>0.26728000000000002</v>
      </c>
      <c r="J538" s="275">
        <v>0.27915000000000001</v>
      </c>
      <c r="K538" s="275">
        <v>0.25063999999999997</v>
      </c>
      <c r="L538" s="275">
        <v>0.25440000000000002</v>
      </c>
      <c r="M538" s="275">
        <v>0.63846000000000003</v>
      </c>
      <c r="N538" s="275">
        <v>0.65873999999999999</v>
      </c>
      <c r="O538" s="275">
        <v>0.68450999999999995</v>
      </c>
      <c r="P538" s="275">
        <v>0.74505999999999994</v>
      </c>
      <c r="Q538" s="275">
        <v>0.75495000000000001</v>
      </c>
      <c r="R538" s="275">
        <v>1.5697000000000001</v>
      </c>
      <c r="S538" s="275">
        <v>1.7537100000000001</v>
      </c>
      <c r="T538" s="275">
        <v>1.83127</v>
      </c>
      <c r="U538" s="275"/>
      <c r="V538" s="275"/>
      <c r="W538" s="275"/>
      <c r="X538" s="275"/>
      <c r="Y538" s="275"/>
      <c r="Z538" s="275"/>
      <c r="AA538" s="275"/>
    </row>
    <row r="539" spans="1:27">
      <c r="A539" s="280"/>
      <c r="B539" s="274"/>
      <c r="C539" s="278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</row>
    <row r="540" spans="1:27">
      <c r="A540" s="280">
        <v>184</v>
      </c>
      <c r="B540" s="274">
        <v>58</v>
      </c>
      <c r="C540" s="278" t="s">
        <v>142</v>
      </c>
      <c r="D540" s="275" t="s">
        <v>434</v>
      </c>
      <c r="E540" s="275" t="s">
        <v>435</v>
      </c>
      <c r="F540" s="275" t="s">
        <v>436</v>
      </c>
      <c r="G540" s="275" t="s">
        <v>437</v>
      </c>
      <c r="H540" s="275" t="s">
        <v>438</v>
      </c>
      <c r="I540" s="275" t="s">
        <v>439</v>
      </c>
      <c r="J540" s="275" t="s">
        <v>440</v>
      </c>
      <c r="K540" s="275" t="s">
        <v>441</v>
      </c>
      <c r="L540" s="275" t="s">
        <v>442</v>
      </c>
      <c r="M540" s="275" t="s">
        <v>443</v>
      </c>
      <c r="N540" s="275" t="s">
        <v>444</v>
      </c>
      <c r="O540" s="275" t="s">
        <v>445</v>
      </c>
      <c r="P540" s="275" t="s">
        <v>446</v>
      </c>
      <c r="Q540" s="275" t="s">
        <v>447</v>
      </c>
      <c r="R540" s="275" t="s">
        <v>448</v>
      </c>
      <c r="S540" s="275" t="s">
        <v>449</v>
      </c>
      <c r="T540" s="275" t="s">
        <v>450</v>
      </c>
      <c r="U540" s="275"/>
      <c r="V540" s="275"/>
      <c r="W540" s="275"/>
      <c r="X540" s="275"/>
      <c r="Y540" s="275"/>
      <c r="Z540" s="275"/>
      <c r="AA540" s="275"/>
    </row>
    <row r="541" spans="1:27">
      <c r="A541" s="280"/>
      <c r="B541" s="274"/>
      <c r="C541" s="278"/>
      <c r="D541" s="275">
        <v>2.4590000000000001E-2</v>
      </c>
      <c r="E541" s="275">
        <v>0.10463</v>
      </c>
      <c r="F541" s="275">
        <v>8.8059999999999999E-2</v>
      </c>
      <c r="G541" s="275">
        <v>9.4229999999999994E-2</v>
      </c>
      <c r="H541" s="275">
        <v>0.27707999999999999</v>
      </c>
      <c r="I541" s="275">
        <v>0.26729999999999998</v>
      </c>
      <c r="J541" s="275">
        <v>0.27916999999999997</v>
      </c>
      <c r="K541" s="275">
        <v>0.25065999999999999</v>
      </c>
      <c r="L541" s="275">
        <v>0.25441000000000003</v>
      </c>
      <c r="M541" s="275">
        <v>0.63678999999999997</v>
      </c>
      <c r="N541" s="275">
        <v>0.65647999999999995</v>
      </c>
      <c r="O541" s="275">
        <v>0.68186999999999998</v>
      </c>
      <c r="P541" s="275">
        <v>0.73943999999999999</v>
      </c>
      <c r="Q541" s="275">
        <v>0.74900999999999995</v>
      </c>
      <c r="R541" s="275">
        <v>1.5234000000000001</v>
      </c>
      <c r="S541" s="275">
        <v>1.6798599999999999</v>
      </c>
      <c r="T541" s="275">
        <v>1.7475799999999999</v>
      </c>
      <c r="U541" s="275"/>
      <c r="V541" s="275"/>
      <c r="W541" s="275"/>
      <c r="X541" s="275"/>
      <c r="Y541" s="275"/>
      <c r="Z541" s="275"/>
      <c r="AA541" s="275"/>
    </row>
    <row r="542" spans="1:27">
      <c r="A542" s="280"/>
      <c r="B542" s="274"/>
      <c r="C542" s="278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</row>
    <row r="543" spans="1:27">
      <c r="A543" s="280">
        <v>185</v>
      </c>
      <c r="B543" s="274">
        <v>58</v>
      </c>
      <c r="C543" s="278" t="s">
        <v>143</v>
      </c>
      <c r="D543" s="275" t="s">
        <v>434</v>
      </c>
      <c r="E543" s="275" t="s">
        <v>435</v>
      </c>
      <c r="F543" s="275" t="s">
        <v>436</v>
      </c>
      <c r="G543" s="275" t="s">
        <v>437</v>
      </c>
      <c r="H543" s="275" t="s">
        <v>438</v>
      </c>
      <c r="I543" s="275" t="s">
        <v>439</v>
      </c>
      <c r="J543" s="275" t="s">
        <v>440</v>
      </c>
      <c r="K543" s="275" t="s">
        <v>441</v>
      </c>
      <c r="L543" s="275" t="s">
        <v>442</v>
      </c>
      <c r="M543" s="275" t="s">
        <v>443</v>
      </c>
      <c r="N543" s="275" t="s">
        <v>444</v>
      </c>
      <c r="O543" s="275" t="s">
        <v>445</v>
      </c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</row>
    <row r="544" spans="1:27">
      <c r="A544" s="280"/>
      <c r="B544" s="274"/>
      <c r="C544" s="278"/>
      <c r="D544" s="275">
        <v>2.4590000000000001E-2</v>
      </c>
      <c r="E544" s="275">
        <v>0.10463</v>
      </c>
      <c r="F544" s="275">
        <v>8.8059999999999999E-2</v>
      </c>
      <c r="G544" s="275">
        <v>9.4240000000000004E-2</v>
      </c>
      <c r="H544" s="275">
        <v>0.27709</v>
      </c>
      <c r="I544" s="275">
        <v>0.26730999999999999</v>
      </c>
      <c r="J544" s="275">
        <v>0.27916999999999997</v>
      </c>
      <c r="K544" s="275">
        <v>0.25065999999999999</v>
      </c>
      <c r="L544" s="275">
        <v>0.25441000000000003</v>
      </c>
      <c r="M544" s="275">
        <v>0.63451000000000002</v>
      </c>
      <c r="N544" s="275">
        <v>0.65342999999999996</v>
      </c>
      <c r="O544" s="275">
        <v>0.67834000000000005</v>
      </c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</row>
    <row r="545" spans="1:27">
      <c r="A545" s="280"/>
      <c r="B545" s="274"/>
      <c r="C545" s="278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</row>
    <row r="546" spans="1:27">
      <c r="A546" s="280">
        <v>186</v>
      </c>
      <c r="B546" s="274">
        <v>59</v>
      </c>
      <c r="C546" s="278" t="s">
        <v>368</v>
      </c>
      <c r="D546" s="275" t="s">
        <v>434</v>
      </c>
      <c r="E546" s="275" t="s">
        <v>435</v>
      </c>
      <c r="F546" s="275" t="s">
        <v>436</v>
      </c>
      <c r="G546" s="275" t="s">
        <v>437</v>
      </c>
      <c r="H546" s="275" t="s">
        <v>438</v>
      </c>
      <c r="I546" s="275" t="s">
        <v>439</v>
      </c>
      <c r="J546" s="275" t="s">
        <v>440</v>
      </c>
      <c r="K546" s="275" t="s">
        <v>441</v>
      </c>
      <c r="L546" s="275" t="s">
        <v>442</v>
      </c>
      <c r="M546" s="275" t="s">
        <v>443</v>
      </c>
      <c r="N546" s="275" t="s">
        <v>444</v>
      </c>
      <c r="O546" s="275" t="s">
        <v>445</v>
      </c>
      <c r="P546" s="275" t="s">
        <v>446</v>
      </c>
      <c r="Q546" s="275" t="s">
        <v>447</v>
      </c>
      <c r="R546" s="275" t="s">
        <v>448</v>
      </c>
      <c r="S546" s="275" t="s">
        <v>449</v>
      </c>
      <c r="T546" s="275" t="s">
        <v>450</v>
      </c>
      <c r="U546" s="275"/>
      <c r="V546" s="275"/>
      <c r="W546" s="275"/>
      <c r="X546" s="275"/>
      <c r="Y546" s="275"/>
      <c r="Z546" s="275"/>
      <c r="AA546" s="275"/>
    </row>
    <row r="547" spans="1:27">
      <c r="A547" s="280"/>
      <c r="B547" s="274"/>
      <c r="C547" s="278"/>
      <c r="D547" s="275">
        <v>2.4109999999999999E-2</v>
      </c>
      <c r="E547" s="275">
        <v>0.10246</v>
      </c>
      <c r="F547" s="275">
        <v>8.616E-2</v>
      </c>
      <c r="G547" s="275">
        <v>9.2429999999999998E-2</v>
      </c>
      <c r="H547" s="275">
        <v>0.27084999999999998</v>
      </c>
      <c r="I547" s="275">
        <v>0.26100000000000001</v>
      </c>
      <c r="J547" s="275">
        <v>0.27301999999999998</v>
      </c>
      <c r="K547" s="275">
        <v>0.24462999999999999</v>
      </c>
      <c r="L547" s="275">
        <v>0.24843000000000001</v>
      </c>
      <c r="M547" s="275">
        <v>0.62250000000000005</v>
      </c>
      <c r="N547" s="275">
        <v>0.64131000000000005</v>
      </c>
      <c r="O547" s="275">
        <v>0.66739000000000004</v>
      </c>
      <c r="P547" s="275">
        <v>0.72341</v>
      </c>
      <c r="Q547" s="275">
        <v>0.73338000000000003</v>
      </c>
      <c r="R547" s="275">
        <v>1.53277</v>
      </c>
      <c r="S547" s="275">
        <v>1.7121900000000001</v>
      </c>
      <c r="T547" s="275">
        <v>1.79196</v>
      </c>
      <c r="U547" s="275"/>
      <c r="V547" s="275"/>
      <c r="W547" s="275"/>
      <c r="X547" s="275"/>
      <c r="Y547" s="275"/>
      <c r="Z547" s="275"/>
      <c r="AA547" s="275"/>
    </row>
    <row r="548" spans="1:27">
      <c r="A548" s="280"/>
      <c r="B548" s="274"/>
      <c r="C548" s="278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</row>
    <row r="549" spans="1:27">
      <c r="A549" s="280">
        <v>187</v>
      </c>
      <c r="B549" s="274">
        <v>59</v>
      </c>
      <c r="C549" s="278" t="s">
        <v>144</v>
      </c>
      <c r="D549" s="275" t="s">
        <v>434</v>
      </c>
      <c r="E549" s="275" t="s">
        <v>435</v>
      </c>
      <c r="F549" s="275" t="s">
        <v>436</v>
      </c>
      <c r="G549" s="275" t="s">
        <v>437</v>
      </c>
      <c r="H549" s="275" t="s">
        <v>438</v>
      </c>
      <c r="I549" s="275" t="s">
        <v>439</v>
      </c>
      <c r="J549" s="275" t="s">
        <v>440</v>
      </c>
      <c r="K549" s="275" t="s">
        <v>441</v>
      </c>
      <c r="L549" s="275" t="s">
        <v>442</v>
      </c>
      <c r="M549" s="275" t="s">
        <v>443</v>
      </c>
      <c r="N549" s="275" t="s">
        <v>444</v>
      </c>
      <c r="O549" s="275" t="s">
        <v>445</v>
      </c>
      <c r="P549" s="275" t="s">
        <v>446</v>
      </c>
      <c r="Q549" s="275" t="s">
        <v>447</v>
      </c>
      <c r="R549" s="275" t="s">
        <v>448</v>
      </c>
      <c r="S549" s="275" t="s">
        <v>449</v>
      </c>
      <c r="T549" s="275" t="s">
        <v>450</v>
      </c>
      <c r="U549" s="275"/>
      <c r="V549" s="275"/>
      <c r="W549" s="275"/>
      <c r="X549" s="275"/>
      <c r="Y549" s="275"/>
      <c r="Z549" s="275"/>
      <c r="AA549" s="275"/>
    </row>
    <row r="550" spans="1:27">
      <c r="A550" s="280"/>
      <c r="B550" s="274"/>
      <c r="C550" s="278"/>
      <c r="D550" s="275">
        <v>2.4109999999999999E-2</v>
      </c>
      <c r="E550" s="275">
        <v>0.10247000000000001</v>
      </c>
      <c r="F550" s="275">
        <v>8.616E-2</v>
      </c>
      <c r="G550" s="275">
        <v>9.2439999999999994E-2</v>
      </c>
      <c r="H550" s="275">
        <v>0.27085999999999999</v>
      </c>
      <c r="I550" s="275">
        <v>0.26101999999999997</v>
      </c>
      <c r="J550" s="275">
        <v>0.27304</v>
      </c>
      <c r="K550" s="275">
        <v>0.24465000000000001</v>
      </c>
      <c r="L550" s="275">
        <v>0.24843999999999999</v>
      </c>
      <c r="M550" s="275">
        <v>0.62102000000000002</v>
      </c>
      <c r="N550" s="275">
        <v>0.63931000000000004</v>
      </c>
      <c r="O550" s="275">
        <v>0.66503999999999996</v>
      </c>
      <c r="P550" s="275">
        <v>0.71843999999999997</v>
      </c>
      <c r="Q550" s="275">
        <v>0.72811000000000003</v>
      </c>
      <c r="R550" s="275">
        <v>1.48936</v>
      </c>
      <c r="S550" s="275">
        <v>1.64242</v>
      </c>
      <c r="T550" s="275">
        <v>1.7121599999999999</v>
      </c>
      <c r="U550" s="275"/>
      <c r="V550" s="275"/>
      <c r="W550" s="275"/>
      <c r="X550" s="275"/>
      <c r="Y550" s="275"/>
      <c r="Z550" s="275"/>
      <c r="AA550" s="275"/>
    </row>
    <row r="551" spans="1:27">
      <c r="A551" s="280"/>
      <c r="B551" s="274"/>
      <c r="C551" s="278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</row>
    <row r="552" spans="1:27">
      <c r="A552" s="280">
        <v>188</v>
      </c>
      <c r="B552" s="274">
        <v>59</v>
      </c>
      <c r="C552" s="278" t="s">
        <v>145</v>
      </c>
      <c r="D552" s="275" t="s">
        <v>434</v>
      </c>
      <c r="E552" s="275" t="s">
        <v>435</v>
      </c>
      <c r="F552" s="275" t="s">
        <v>436</v>
      </c>
      <c r="G552" s="275" t="s">
        <v>437</v>
      </c>
      <c r="H552" s="275" t="s">
        <v>438</v>
      </c>
      <c r="I552" s="275" t="s">
        <v>439</v>
      </c>
      <c r="J552" s="275" t="s">
        <v>440</v>
      </c>
      <c r="K552" s="275" t="s">
        <v>441</v>
      </c>
      <c r="L552" s="275" t="s">
        <v>442</v>
      </c>
      <c r="M552" s="275" t="s">
        <v>443</v>
      </c>
      <c r="N552" s="275" t="s">
        <v>444</v>
      </c>
      <c r="O552" s="275" t="s">
        <v>445</v>
      </c>
      <c r="P552" s="275" t="s">
        <v>446</v>
      </c>
      <c r="Q552" s="275" t="s">
        <v>447</v>
      </c>
      <c r="R552" s="275" t="s">
        <v>448</v>
      </c>
      <c r="S552" s="275" t="s">
        <v>449</v>
      </c>
      <c r="T552" s="275" t="s">
        <v>450</v>
      </c>
      <c r="U552" s="275"/>
      <c r="V552" s="275"/>
      <c r="W552" s="275"/>
      <c r="X552" s="275"/>
      <c r="Y552" s="275"/>
      <c r="Z552" s="275"/>
      <c r="AA552" s="275"/>
    </row>
    <row r="553" spans="1:27">
      <c r="A553" s="280"/>
      <c r="B553" s="274"/>
      <c r="C553" s="278"/>
      <c r="D553" s="275">
        <v>2.4109999999999999E-2</v>
      </c>
      <c r="E553" s="275">
        <v>0.10247000000000001</v>
      </c>
      <c r="F553" s="275">
        <v>8.6169999999999997E-2</v>
      </c>
      <c r="G553" s="275">
        <v>9.2450000000000004E-2</v>
      </c>
      <c r="H553" s="275">
        <v>0.27087</v>
      </c>
      <c r="I553" s="275">
        <v>0.26102999999999998</v>
      </c>
      <c r="J553" s="275">
        <v>0.27304</v>
      </c>
      <c r="K553" s="275">
        <v>0.24465999999999999</v>
      </c>
      <c r="L553" s="275">
        <v>0.24845</v>
      </c>
      <c r="M553" s="275">
        <v>0.61899000000000004</v>
      </c>
      <c r="N553" s="275">
        <v>0.63660000000000005</v>
      </c>
      <c r="O553" s="275">
        <v>0.66186999999999996</v>
      </c>
      <c r="P553" s="275">
        <v>0.71206000000000003</v>
      </c>
      <c r="Q553" s="275">
        <v>0.72138000000000002</v>
      </c>
      <c r="R553" s="275">
        <v>1.4450799999999999</v>
      </c>
      <c r="S553" s="275">
        <v>1.57653</v>
      </c>
      <c r="T553" s="275">
        <v>1.6385799999999999</v>
      </c>
      <c r="U553" s="275"/>
      <c r="V553" s="275"/>
      <c r="W553" s="275"/>
      <c r="X553" s="275"/>
      <c r="Y553" s="275"/>
      <c r="Z553" s="275"/>
      <c r="AA553" s="275"/>
    </row>
    <row r="554" spans="1:27">
      <c r="A554" s="280"/>
      <c r="B554" s="274"/>
      <c r="C554" s="278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</row>
    <row r="555" spans="1:27">
      <c r="A555" s="280">
        <v>189</v>
      </c>
      <c r="B555" s="274">
        <v>60</v>
      </c>
      <c r="C555" s="278" t="s">
        <v>369</v>
      </c>
      <c r="D555" s="275" t="s">
        <v>434</v>
      </c>
      <c r="E555" s="275" t="s">
        <v>435</v>
      </c>
      <c r="F555" s="275" t="s">
        <v>436</v>
      </c>
      <c r="G555" s="275" t="s">
        <v>437</v>
      </c>
      <c r="H555" s="275" t="s">
        <v>438</v>
      </c>
      <c r="I555" s="275" t="s">
        <v>439</v>
      </c>
      <c r="J555" s="275" t="s">
        <v>440</v>
      </c>
      <c r="K555" s="275" t="s">
        <v>441</v>
      </c>
      <c r="L555" s="275" t="s">
        <v>442</v>
      </c>
      <c r="M555" s="275" t="s">
        <v>443</v>
      </c>
      <c r="N555" s="275" t="s">
        <v>444</v>
      </c>
      <c r="O555" s="275" t="s">
        <v>445</v>
      </c>
      <c r="P555" s="275" t="s">
        <v>446</v>
      </c>
      <c r="Q555" s="275" t="s">
        <v>447</v>
      </c>
      <c r="R555" s="275" t="s">
        <v>448</v>
      </c>
      <c r="S555" s="275" t="s">
        <v>449</v>
      </c>
      <c r="T555" s="275" t="s">
        <v>450</v>
      </c>
      <c r="U555" s="275"/>
      <c r="V555" s="275"/>
      <c r="W555" s="275"/>
      <c r="X555" s="275"/>
      <c r="Y555" s="275"/>
      <c r="Z555" s="275"/>
      <c r="AA555" s="275"/>
    </row>
    <row r="556" spans="1:27">
      <c r="A556" s="280"/>
      <c r="B556" s="274"/>
      <c r="C556" s="278"/>
      <c r="D556" s="275">
        <v>2.3640000000000001E-2</v>
      </c>
      <c r="E556" s="275">
        <v>0.10038</v>
      </c>
      <c r="F556" s="275">
        <v>8.4320000000000006E-2</v>
      </c>
      <c r="G556" s="275">
        <v>9.0709999999999999E-2</v>
      </c>
      <c r="H556" s="275">
        <v>0.26486999999999999</v>
      </c>
      <c r="I556" s="275">
        <v>0.25497999999999998</v>
      </c>
      <c r="J556" s="275">
        <v>0.26715</v>
      </c>
      <c r="K556" s="275">
        <v>0.23891000000000001</v>
      </c>
      <c r="L556" s="275">
        <v>0.24274999999999999</v>
      </c>
      <c r="M556" s="275">
        <v>0.60741000000000001</v>
      </c>
      <c r="N556" s="275">
        <v>0.62488999999999995</v>
      </c>
      <c r="O556" s="275">
        <v>0.65129999999999999</v>
      </c>
      <c r="P556" s="275">
        <v>0.70333999999999997</v>
      </c>
      <c r="Q556" s="275">
        <v>0.71340999999999999</v>
      </c>
      <c r="R556" s="275">
        <v>1.49854</v>
      </c>
      <c r="S556" s="275">
        <v>1.67397</v>
      </c>
      <c r="T556" s="275">
        <v>1.7560500000000001</v>
      </c>
      <c r="U556" s="275"/>
      <c r="V556" s="275"/>
      <c r="W556" s="275"/>
      <c r="X556" s="275"/>
      <c r="Y556" s="275"/>
      <c r="Z556" s="275"/>
      <c r="AA556" s="275"/>
    </row>
    <row r="557" spans="1:27">
      <c r="A557" s="280"/>
      <c r="B557" s="274"/>
      <c r="C557" s="278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</row>
    <row r="558" spans="1:27">
      <c r="A558" s="280">
        <v>190</v>
      </c>
      <c r="B558" s="274">
        <v>60</v>
      </c>
      <c r="C558" s="278" t="s">
        <v>146</v>
      </c>
      <c r="D558" s="275" t="s">
        <v>434</v>
      </c>
      <c r="E558" s="275" t="s">
        <v>435</v>
      </c>
      <c r="F558" s="275" t="s">
        <v>436</v>
      </c>
      <c r="G558" s="275" t="s">
        <v>437</v>
      </c>
      <c r="H558" s="275" t="s">
        <v>438</v>
      </c>
      <c r="I558" s="275" t="s">
        <v>439</v>
      </c>
      <c r="J558" s="275" t="s">
        <v>440</v>
      </c>
      <c r="K558" s="275" t="s">
        <v>441</v>
      </c>
      <c r="L558" s="275" t="s">
        <v>442</v>
      </c>
      <c r="M558" s="275" t="s">
        <v>443</v>
      </c>
      <c r="N558" s="275" t="s">
        <v>444</v>
      </c>
      <c r="O558" s="275" t="s">
        <v>445</v>
      </c>
      <c r="P558" s="275" t="s">
        <v>446</v>
      </c>
      <c r="Q558" s="275" t="s">
        <v>447</v>
      </c>
      <c r="R558" s="275" t="s">
        <v>448</v>
      </c>
      <c r="S558" s="275" t="s">
        <v>449</v>
      </c>
      <c r="T558" s="275" t="s">
        <v>450</v>
      </c>
      <c r="U558" s="275"/>
      <c r="V558" s="275"/>
      <c r="W558" s="275"/>
      <c r="X558" s="275"/>
      <c r="Y558" s="275"/>
      <c r="Z558" s="275"/>
      <c r="AA558" s="275"/>
    </row>
    <row r="559" spans="1:27">
      <c r="A559" s="280"/>
      <c r="B559" s="274"/>
      <c r="C559" s="278"/>
      <c r="D559" s="275">
        <v>2.3640000000000001E-2</v>
      </c>
      <c r="E559" s="275">
        <v>0.10038</v>
      </c>
      <c r="F559" s="275">
        <v>8.4330000000000002E-2</v>
      </c>
      <c r="G559" s="275">
        <v>9.0709999999999999E-2</v>
      </c>
      <c r="H559" s="275">
        <v>0.26488</v>
      </c>
      <c r="I559" s="275">
        <v>0.255</v>
      </c>
      <c r="J559" s="275">
        <v>0.26716000000000001</v>
      </c>
      <c r="K559" s="275">
        <v>0.23891999999999999</v>
      </c>
      <c r="L559" s="275">
        <v>0.24276</v>
      </c>
      <c r="M559" s="275">
        <v>0.60607999999999995</v>
      </c>
      <c r="N559" s="275">
        <v>0.62309999999999999</v>
      </c>
      <c r="O559" s="275">
        <v>0.64917999999999998</v>
      </c>
      <c r="P559" s="275">
        <v>0.69889000000000001</v>
      </c>
      <c r="Q559" s="275">
        <v>0.70867000000000002</v>
      </c>
      <c r="R559" s="275">
        <v>1.4575</v>
      </c>
      <c r="S559" s="275">
        <v>1.60751</v>
      </c>
      <c r="T559" s="275">
        <v>1.67936</v>
      </c>
      <c r="U559" s="275"/>
      <c r="V559" s="275"/>
      <c r="W559" s="275"/>
      <c r="X559" s="275"/>
      <c r="Y559" s="275"/>
      <c r="Z559" s="275"/>
      <c r="AA559" s="275"/>
    </row>
    <row r="560" spans="1:27">
      <c r="A560" s="280"/>
      <c r="B560" s="274"/>
      <c r="C560" s="278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</row>
    <row r="561" spans="1:27">
      <c r="A561" s="280">
        <v>191</v>
      </c>
      <c r="B561" s="274">
        <v>61</v>
      </c>
      <c r="C561" s="278" t="s">
        <v>370</v>
      </c>
      <c r="D561" s="275" t="s">
        <v>434</v>
      </c>
      <c r="E561" s="275" t="s">
        <v>435</v>
      </c>
      <c r="F561" s="275" t="s">
        <v>436</v>
      </c>
      <c r="G561" s="275" t="s">
        <v>437</v>
      </c>
      <c r="H561" s="275" t="s">
        <v>438</v>
      </c>
      <c r="I561" s="275" t="s">
        <v>439</v>
      </c>
      <c r="J561" s="275" t="s">
        <v>440</v>
      </c>
      <c r="K561" s="275" t="s">
        <v>441</v>
      </c>
      <c r="L561" s="275" t="s">
        <v>442</v>
      </c>
      <c r="M561" s="275" t="s">
        <v>443</v>
      </c>
      <c r="N561" s="275" t="s">
        <v>444</v>
      </c>
      <c r="O561" s="275" t="s">
        <v>445</v>
      </c>
      <c r="P561" s="275" t="s">
        <v>446</v>
      </c>
      <c r="Q561" s="275" t="s">
        <v>447</v>
      </c>
      <c r="R561" s="275" t="s">
        <v>448</v>
      </c>
      <c r="S561" s="275" t="s">
        <v>449</v>
      </c>
      <c r="T561" s="275" t="s">
        <v>450</v>
      </c>
      <c r="U561" s="275"/>
      <c r="V561" s="275"/>
      <c r="W561" s="275"/>
      <c r="X561" s="275"/>
      <c r="Y561" s="275"/>
      <c r="Z561" s="275"/>
      <c r="AA561" s="275"/>
    </row>
    <row r="562" spans="1:27">
      <c r="A562" s="280"/>
      <c r="B562" s="274"/>
      <c r="C562" s="278"/>
      <c r="D562" s="275">
        <v>2.3189999999999999E-2</v>
      </c>
      <c r="E562" s="275">
        <v>9.8360000000000003E-2</v>
      </c>
      <c r="F562" s="275">
        <v>8.2549999999999998E-2</v>
      </c>
      <c r="G562" s="275">
        <v>8.9039999999999994E-2</v>
      </c>
      <c r="H562" s="275">
        <v>0.25913000000000003</v>
      </c>
      <c r="I562" s="275">
        <v>0.24922</v>
      </c>
      <c r="J562" s="275">
        <v>0.26153999999999999</v>
      </c>
      <c r="K562" s="275">
        <v>0.23346</v>
      </c>
      <c r="L562" s="275">
        <v>0.23734</v>
      </c>
      <c r="M562" s="275">
        <v>0.59187000000000001</v>
      </c>
      <c r="N562" s="275">
        <v>0.60772999999999999</v>
      </c>
      <c r="O562" s="275">
        <v>0.63419000000000003</v>
      </c>
      <c r="P562" s="275">
        <v>0.68057999999999996</v>
      </c>
      <c r="Q562" s="275">
        <v>0.69049000000000005</v>
      </c>
      <c r="R562" s="275">
        <v>1.4274500000000001</v>
      </c>
      <c r="S562" s="275">
        <v>1.5746800000000001</v>
      </c>
      <c r="T562" s="275">
        <v>1.64869</v>
      </c>
      <c r="U562" s="275"/>
      <c r="V562" s="275"/>
      <c r="W562" s="275"/>
      <c r="X562" s="275"/>
      <c r="Y562" s="275"/>
      <c r="Z562" s="275"/>
      <c r="AA562" s="275"/>
    </row>
    <row r="563" spans="1:27">
      <c r="A563" s="280"/>
      <c r="B563" s="274"/>
      <c r="C563" s="278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</row>
    <row r="564" spans="1:27">
      <c r="A564" s="280">
        <v>192</v>
      </c>
      <c r="B564" s="274">
        <v>62</v>
      </c>
      <c r="C564" s="278" t="s">
        <v>371</v>
      </c>
      <c r="D564" s="275" t="s">
        <v>434</v>
      </c>
      <c r="E564" s="275" t="s">
        <v>435</v>
      </c>
      <c r="F564" s="275" t="s">
        <v>436</v>
      </c>
      <c r="G564" s="275" t="s">
        <v>437</v>
      </c>
      <c r="H564" s="275" t="s">
        <v>438</v>
      </c>
      <c r="I564" s="275" t="s">
        <v>439</v>
      </c>
      <c r="J564" s="275" t="s">
        <v>440</v>
      </c>
      <c r="K564" s="275" t="s">
        <v>441</v>
      </c>
      <c r="L564" s="275" t="s">
        <v>442</v>
      </c>
      <c r="M564" s="275" t="s">
        <v>443</v>
      </c>
      <c r="N564" s="275" t="s">
        <v>444</v>
      </c>
      <c r="O564" s="275" t="s">
        <v>445</v>
      </c>
      <c r="P564" s="275" t="s">
        <v>446</v>
      </c>
      <c r="Q564" s="275" t="s">
        <v>447</v>
      </c>
      <c r="R564" s="275" t="s">
        <v>448</v>
      </c>
      <c r="S564" s="275" t="s">
        <v>449</v>
      </c>
      <c r="T564" s="275" t="s">
        <v>450</v>
      </c>
      <c r="U564" s="275"/>
      <c r="V564" s="275"/>
      <c r="W564" s="275"/>
      <c r="X564" s="275"/>
      <c r="Y564" s="275"/>
      <c r="Z564" s="275"/>
      <c r="AA564" s="275"/>
    </row>
    <row r="565" spans="1:27">
      <c r="A565" s="280"/>
      <c r="B565" s="274"/>
      <c r="C565" s="278"/>
      <c r="D565" s="275">
        <v>2.2759999999999999E-2</v>
      </c>
      <c r="E565" s="275">
        <v>9.64E-2</v>
      </c>
      <c r="F565" s="275">
        <v>8.0829999999999999E-2</v>
      </c>
      <c r="G565" s="275">
        <v>8.7429999999999994E-2</v>
      </c>
      <c r="H565" s="275">
        <v>0.25358000000000003</v>
      </c>
      <c r="I565" s="275">
        <v>0.24365000000000001</v>
      </c>
      <c r="J565" s="275">
        <v>0.25612000000000001</v>
      </c>
      <c r="K565" s="275">
        <v>0.22822999999999999</v>
      </c>
      <c r="L565" s="275">
        <v>0.23215</v>
      </c>
      <c r="M565" s="275">
        <v>0.57940999999999998</v>
      </c>
      <c r="N565" s="275">
        <v>0.59458</v>
      </c>
      <c r="O565" s="275">
        <v>0.62173999999999996</v>
      </c>
      <c r="P565" s="275">
        <v>0.66701999999999995</v>
      </c>
      <c r="Q565" s="275">
        <v>0.67732000000000003</v>
      </c>
      <c r="R565" s="275">
        <v>1.43615</v>
      </c>
      <c r="S565" s="275">
        <v>1.6047100000000001</v>
      </c>
      <c r="T565" s="275">
        <v>1.6916800000000001</v>
      </c>
      <c r="U565" s="275"/>
      <c r="V565" s="275"/>
      <c r="W565" s="275"/>
      <c r="X565" s="275"/>
      <c r="Y565" s="275"/>
      <c r="Z565" s="275"/>
      <c r="AA565" s="275"/>
    </row>
    <row r="566" spans="1:27">
      <c r="A566" s="280"/>
      <c r="B566" s="274"/>
      <c r="C566" s="278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</row>
    <row r="567" spans="1:27">
      <c r="A567" s="280">
        <v>193</v>
      </c>
      <c r="B567" s="274">
        <v>62</v>
      </c>
      <c r="C567" s="278" t="s">
        <v>147</v>
      </c>
      <c r="D567" s="275" t="s">
        <v>434</v>
      </c>
      <c r="E567" s="275" t="s">
        <v>435</v>
      </c>
      <c r="F567" s="275" t="s">
        <v>436</v>
      </c>
      <c r="G567" s="275" t="s">
        <v>437</v>
      </c>
      <c r="H567" s="275" t="s">
        <v>438</v>
      </c>
      <c r="I567" s="275" t="s">
        <v>439</v>
      </c>
      <c r="J567" s="275" t="s">
        <v>440</v>
      </c>
      <c r="K567" s="275" t="s">
        <v>441</v>
      </c>
      <c r="L567" s="275" t="s">
        <v>442</v>
      </c>
      <c r="M567" s="275" t="s">
        <v>443</v>
      </c>
      <c r="N567" s="275" t="s">
        <v>444</v>
      </c>
      <c r="O567" s="275" t="s">
        <v>445</v>
      </c>
      <c r="P567" s="275" t="s">
        <v>446</v>
      </c>
      <c r="Q567" s="275" t="s">
        <v>447</v>
      </c>
      <c r="R567" s="275" t="s">
        <v>448</v>
      </c>
      <c r="S567" s="275" t="s">
        <v>449</v>
      </c>
      <c r="T567" s="275" t="s">
        <v>450</v>
      </c>
      <c r="U567" s="275"/>
      <c r="V567" s="275"/>
      <c r="W567" s="275"/>
      <c r="X567" s="275"/>
      <c r="Y567" s="275"/>
      <c r="Z567" s="275"/>
      <c r="AA567" s="275"/>
    </row>
    <row r="568" spans="1:27">
      <c r="A568" s="280"/>
      <c r="B568" s="274"/>
      <c r="C568" s="278"/>
      <c r="D568" s="275">
        <v>2.2759999999999999E-2</v>
      </c>
      <c r="E568" s="275">
        <v>9.64E-2</v>
      </c>
      <c r="F568" s="275">
        <v>8.0839999999999995E-2</v>
      </c>
      <c r="G568" s="275">
        <v>8.7429999999999994E-2</v>
      </c>
      <c r="H568" s="275">
        <v>0.25359999999999999</v>
      </c>
      <c r="I568" s="275">
        <v>0.24365999999999999</v>
      </c>
      <c r="J568" s="275">
        <v>0.25613000000000002</v>
      </c>
      <c r="K568" s="275">
        <v>0.22824</v>
      </c>
      <c r="L568" s="275">
        <v>0.23216000000000001</v>
      </c>
      <c r="M568" s="275">
        <v>0.57831999999999995</v>
      </c>
      <c r="N568" s="275">
        <v>0.59311999999999998</v>
      </c>
      <c r="O568" s="275">
        <v>0.61997000000000002</v>
      </c>
      <c r="P568" s="275">
        <v>0.66337000000000002</v>
      </c>
      <c r="Q568" s="275">
        <v>0.67340999999999995</v>
      </c>
      <c r="R568" s="275">
        <v>1.39893</v>
      </c>
      <c r="S568" s="275">
        <v>1.5436099999999999</v>
      </c>
      <c r="T568" s="275">
        <v>1.6198300000000001</v>
      </c>
      <c r="U568" s="275"/>
      <c r="V568" s="275"/>
      <c r="W568" s="275"/>
      <c r="X568" s="275"/>
      <c r="Y568" s="275"/>
      <c r="Z568" s="275"/>
      <c r="AA568" s="275"/>
    </row>
    <row r="569" spans="1:27">
      <c r="A569" s="280"/>
      <c r="B569" s="274"/>
      <c r="C569" s="278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</row>
    <row r="570" spans="1:27">
      <c r="A570" s="280">
        <v>194</v>
      </c>
      <c r="B570" s="274">
        <v>63</v>
      </c>
      <c r="C570" s="278" t="s">
        <v>372</v>
      </c>
      <c r="D570" s="275" t="s">
        <v>434</v>
      </c>
      <c r="E570" s="275" t="s">
        <v>435</v>
      </c>
      <c r="F570" s="275" t="s">
        <v>436</v>
      </c>
      <c r="G570" s="275" t="s">
        <v>437</v>
      </c>
      <c r="H570" s="275" t="s">
        <v>438</v>
      </c>
      <c r="I570" s="275" t="s">
        <v>439</v>
      </c>
      <c r="J570" s="275" t="s">
        <v>440</v>
      </c>
      <c r="K570" s="275" t="s">
        <v>441</v>
      </c>
      <c r="L570" s="275" t="s">
        <v>442</v>
      </c>
      <c r="M570" s="275" t="s">
        <v>443</v>
      </c>
      <c r="N570" s="275" t="s">
        <v>444</v>
      </c>
      <c r="O570" s="275" t="s">
        <v>445</v>
      </c>
      <c r="P570" s="275" t="s">
        <v>446</v>
      </c>
      <c r="Q570" s="275" t="s">
        <v>447</v>
      </c>
      <c r="R570" s="275" t="s">
        <v>448</v>
      </c>
      <c r="S570" s="275" t="s">
        <v>449</v>
      </c>
      <c r="T570" s="275" t="s">
        <v>450</v>
      </c>
      <c r="U570" s="275"/>
      <c r="V570" s="275"/>
      <c r="W570" s="275"/>
      <c r="X570" s="275"/>
      <c r="Y570" s="275"/>
      <c r="Z570" s="275"/>
      <c r="AA570" s="275"/>
    </row>
    <row r="571" spans="1:27">
      <c r="A571" s="280"/>
      <c r="B571" s="274"/>
      <c r="C571" s="278"/>
      <c r="D571" s="275">
        <v>2.2329999999999999E-2</v>
      </c>
      <c r="E571" s="275">
        <v>9.4500000000000001E-2</v>
      </c>
      <c r="F571" s="275">
        <v>7.9170000000000004E-2</v>
      </c>
      <c r="G571" s="275">
        <v>8.5870000000000002E-2</v>
      </c>
      <c r="H571" s="275">
        <v>0.24825</v>
      </c>
      <c r="I571" s="275">
        <v>0.23830000000000001</v>
      </c>
      <c r="J571" s="275">
        <v>0.25094</v>
      </c>
      <c r="K571" s="275">
        <v>0.22323000000000001</v>
      </c>
      <c r="L571" s="275">
        <v>0.22720000000000001</v>
      </c>
      <c r="M571" s="275">
        <v>0.56637000000000004</v>
      </c>
      <c r="N571" s="275">
        <v>0.58052999999999999</v>
      </c>
      <c r="O571" s="275">
        <v>0.60807999999999995</v>
      </c>
      <c r="P571" s="275">
        <v>0.65044999999999997</v>
      </c>
      <c r="Q571" s="275">
        <v>0.66088000000000002</v>
      </c>
      <c r="R571" s="275">
        <v>1.40734</v>
      </c>
      <c r="S571" s="275">
        <v>1.5728500000000001</v>
      </c>
      <c r="T571" s="275">
        <v>1.6623600000000001</v>
      </c>
      <c r="U571" s="275"/>
      <c r="V571" s="275"/>
      <c r="W571" s="275"/>
      <c r="X571" s="275"/>
      <c r="Y571" s="275"/>
      <c r="Z571" s="275"/>
      <c r="AA571" s="275"/>
    </row>
    <row r="572" spans="1:27">
      <c r="A572" s="280"/>
      <c r="B572" s="274"/>
      <c r="C572" s="278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</row>
    <row r="573" spans="1:27">
      <c r="A573" s="280">
        <v>195</v>
      </c>
      <c r="B573" s="274">
        <v>63</v>
      </c>
      <c r="C573" s="278" t="s">
        <v>148</v>
      </c>
      <c r="D573" s="275" t="s">
        <v>434</v>
      </c>
      <c r="E573" s="275" t="s">
        <v>435</v>
      </c>
      <c r="F573" s="275" t="s">
        <v>436</v>
      </c>
      <c r="G573" s="275" t="s">
        <v>437</v>
      </c>
      <c r="H573" s="275" t="s">
        <v>438</v>
      </c>
      <c r="I573" s="275" t="s">
        <v>439</v>
      </c>
      <c r="J573" s="275" t="s">
        <v>440</v>
      </c>
      <c r="K573" s="275" t="s">
        <v>441</v>
      </c>
      <c r="L573" s="275" t="s">
        <v>442</v>
      </c>
      <c r="M573" s="275" t="s">
        <v>443</v>
      </c>
      <c r="N573" s="275" t="s">
        <v>444</v>
      </c>
      <c r="O573" s="275" t="s">
        <v>445</v>
      </c>
      <c r="P573" s="275" t="s">
        <v>446</v>
      </c>
      <c r="Q573" s="275" t="s">
        <v>447</v>
      </c>
      <c r="R573" s="275" t="s">
        <v>448</v>
      </c>
      <c r="S573" s="275" t="s">
        <v>449</v>
      </c>
      <c r="T573" s="275" t="s">
        <v>450</v>
      </c>
      <c r="U573" s="275"/>
      <c r="V573" s="275"/>
      <c r="W573" s="275"/>
      <c r="X573" s="275"/>
      <c r="Y573" s="275"/>
      <c r="Z573" s="275"/>
      <c r="AA573" s="275"/>
    </row>
    <row r="574" spans="1:27">
      <c r="A574" s="280"/>
      <c r="B574" s="274"/>
      <c r="C574" s="278"/>
      <c r="D574" s="275">
        <v>2.2329999999999999E-2</v>
      </c>
      <c r="E574" s="275">
        <v>9.4500000000000001E-2</v>
      </c>
      <c r="F574" s="275">
        <v>7.9170000000000004E-2</v>
      </c>
      <c r="G574" s="275">
        <v>8.5879999999999998E-2</v>
      </c>
      <c r="H574" s="275">
        <v>0.24826000000000001</v>
      </c>
      <c r="I574" s="275">
        <v>0.23832</v>
      </c>
      <c r="J574" s="275">
        <v>0.25095000000000001</v>
      </c>
      <c r="K574" s="275">
        <v>0.22325</v>
      </c>
      <c r="L574" s="275">
        <v>0.22722000000000001</v>
      </c>
      <c r="M574" s="275">
        <v>0.56537999999999999</v>
      </c>
      <c r="N574" s="275">
        <v>0.57920000000000005</v>
      </c>
      <c r="O574" s="275">
        <v>0.60646</v>
      </c>
      <c r="P574" s="275">
        <v>0.64712000000000003</v>
      </c>
      <c r="Q574" s="275">
        <v>0.6573</v>
      </c>
      <c r="R574" s="275">
        <v>1.37175</v>
      </c>
      <c r="S574" s="275">
        <v>1.51403</v>
      </c>
      <c r="T574" s="275">
        <v>1.59253</v>
      </c>
      <c r="U574" s="275"/>
      <c r="V574" s="275"/>
      <c r="W574" s="275"/>
      <c r="X574" s="275"/>
      <c r="Y574" s="275"/>
      <c r="Z574" s="275"/>
      <c r="AA574" s="275"/>
    </row>
    <row r="575" spans="1:27">
      <c r="A575" s="280"/>
      <c r="B575" s="274"/>
      <c r="C575" s="278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</row>
    <row r="576" spans="1:27">
      <c r="A576" s="280">
        <v>196</v>
      </c>
      <c r="B576" s="274">
        <v>64</v>
      </c>
      <c r="C576" s="278" t="s">
        <v>149</v>
      </c>
      <c r="D576" s="275" t="s">
        <v>434</v>
      </c>
      <c r="E576" s="275" t="s">
        <v>435</v>
      </c>
      <c r="F576" s="275" t="s">
        <v>436</v>
      </c>
      <c r="G576" s="275" t="s">
        <v>437</v>
      </c>
      <c r="H576" s="275" t="s">
        <v>438</v>
      </c>
      <c r="I576" s="275" t="s">
        <v>439</v>
      </c>
      <c r="J576" s="275" t="s">
        <v>440</v>
      </c>
      <c r="K576" s="275" t="s">
        <v>441</v>
      </c>
      <c r="L576" s="275" t="s">
        <v>442</v>
      </c>
      <c r="M576" s="275" t="s">
        <v>443</v>
      </c>
      <c r="N576" s="275" t="s">
        <v>444</v>
      </c>
      <c r="O576" s="275" t="s">
        <v>445</v>
      </c>
      <c r="P576" s="275" t="s">
        <v>446</v>
      </c>
      <c r="Q576" s="275" t="s">
        <v>447</v>
      </c>
      <c r="R576" s="275" t="s">
        <v>448</v>
      </c>
      <c r="S576" s="275" t="s">
        <v>449</v>
      </c>
      <c r="T576" s="275" t="s">
        <v>450</v>
      </c>
      <c r="U576" s="275"/>
      <c r="V576" s="275"/>
      <c r="W576" s="275"/>
      <c r="X576" s="275"/>
      <c r="Y576" s="275"/>
      <c r="Z576" s="275"/>
      <c r="AA576" s="275"/>
    </row>
    <row r="577" spans="1:27">
      <c r="A577" s="280"/>
      <c r="B577" s="274"/>
      <c r="C577" s="278"/>
      <c r="D577" s="275">
        <v>2.1919999999999999E-2</v>
      </c>
      <c r="E577" s="275">
        <v>9.2670000000000002E-2</v>
      </c>
      <c r="F577" s="275">
        <v>7.7560000000000004E-2</v>
      </c>
      <c r="G577" s="275">
        <v>8.4370000000000001E-2</v>
      </c>
      <c r="H577" s="275">
        <v>0.24312</v>
      </c>
      <c r="I577" s="275">
        <v>0.23316999999999999</v>
      </c>
      <c r="J577" s="275">
        <v>0.24596999999999999</v>
      </c>
      <c r="K577" s="275">
        <v>0.21847</v>
      </c>
      <c r="L577" s="275">
        <v>0.22248000000000001</v>
      </c>
      <c r="M577" s="275">
        <v>0.55293999999999999</v>
      </c>
      <c r="N577" s="275">
        <v>0.56588000000000005</v>
      </c>
      <c r="O577" s="275">
        <v>0.59357000000000004</v>
      </c>
      <c r="P577" s="275">
        <v>0.63160000000000005</v>
      </c>
      <c r="Q577" s="275">
        <v>0.64192000000000005</v>
      </c>
      <c r="R577" s="275">
        <v>1.35426</v>
      </c>
      <c r="S577" s="275">
        <v>1.5101</v>
      </c>
      <c r="T577" s="275">
        <v>1.5994600000000001</v>
      </c>
      <c r="U577" s="275"/>
      <c r="V577" s="275"/>
      <c r="W577" s="275"/>
      <c r="X577" s="275"/>
      <c r="Y577" s="275"/>
      <c r="Z577" s="275"/>
      <c r="AA577" s="275"/>
    </row>
    <row r="578" spans="1:27">
      <c r="A578" s="280"/>
      <c r="B578" s="274"/>
      <c r="C578" s="278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</row>
    <row r="579" spans="1:27">
      <c r="A579" s="280">
        <v>197</v>
      </c>
      <c r="B579" s="274">
        <v>64</v>
      </c>
      <c r="C579" s="278" t="s">
        <v>150</v>
      </c>
      <c r="D579" s="275" t="s">
        <v>434</v>
      </c>
      <c r="E579" s="275" t="s">
        <v>435</v>
      </c>
      <c r="F579" s="275" t="s">
        <v>436</v>
      </c>
      <c r="G579" s="275" t="s">
        <v>437</v>
      </c>
      <c r="H579" s="275" t="s">
        <v>438</v>
      </c>
      <c r="I579" s="275" t="s">
        <v>439</v>
      </c>
      <c r="J579" s="275" t="s">
        <v>440</v>
      </c>
      <c r="K579" s="275" t="s">
        <v>441</v>
      </c>
      <c r="L579" s="275" t="s">
        <v>442</v>
      </c>
      <c r="M579" s="275" t="s">
        <v>443</v>
      </c>
      <c r="N579" s="275" t="s">
        <v>444</v>
      </c>
      <c r="O579" s="275" t="s">
        <v>445</v>
      </c>
      <c r="P579" s="275" t="s">
        <v>446</v>
      </c>
      <c r="Q579" s="275" t="s">
        <v>447</v>
      </c>
      <c r="R579" s="275" t="s">
        <v>448</v>
      </c>
      <c r="S579" s="275" t="s">
        <v>449</v>
      </c>
      <c r="T579" s="275" t="s">
        <v>450</v>
      </c>
      <c r="U579" s="275"/>
      <c r="V579" s="275"/>
      <c r="W579" s="275"/>
      <c r="X579" s="275"/>
      <c r="Y579" s="275"/>
      <c r="Z579" s="275"/>
      <c r="AA579" s="275"/>
    </row>
    <row r="580" spans="1:27">
      <c r="A580" s="280"/>
      <c r="B580" s="274"/>
      <c r="C580" s="278"/>
      <c r="D580" s="275">
        <v>2.1919999999999999E-2</v>
      </c>
      <c r="E580" s="275">
        <v>9.2670000000000002E-2</v>
      </c>
      <c r="F580" s="275">
        <v>7.7560000000000004E-2</v>
      </c>
      <c r="G580" s="275">
        <v>8.4370000000000001E-2</v>
      </c>
      <c r="H580" s="275">
        <v>0.24312</v>
      </c>
      <c r="I580" s="275">
        <v>0.23316999999999999</v>
      </c>
      <c r="J580" s="275">
        <v>0.24596999999999999</v>
      </c>
      <c r="K580" s="275">
        <v>0.21847</v>
      </c>
      <c r="L580" s="275">
        <v>0.22248000000000001</v>
      </c>
      <c r="M580" s="275">
        <v>0.55296999999999996</v>
      </c>
      <c r="N580" s="275">
        <v>0.56586000000000003</v>
      </c>
      <c r="O580" s="275">
        <v>0.59353</v>
      </c>
      <c r="P580" s="275">
        <v>0.63154999999999994</v>
      </c>
      <c r="Q580" s="275">
        <v>0.64187000000000005</v>
      </c>
      <c r="R580" s="275">
        <v>1.3553299999999999</v>
      </c>
      <c r="S580" s="275">
        <v>1.5053799999999999</v>
      </c>
      <c r="T580" s="275">
        <v>1.5916699999999999</v>
      </c>
      <c r="U580" s="275"/>
      <c r="V580" s="275"/>
      <c r="W580" s="275"/>
      <c r="X580" s="275"/>
      <c r="Y580" s="275"/>
      <c r="Z580" s="275"/>
      <c r="AA580" s="275"/>
    </row>
    <row r="581" spans="1:27">
      <c r="A581" s="280"/>
      <c r="B581" s="274"/>
      <c r="C581" s="278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</row>
    <row r="582" spans="1:27">
      <c r="A582" s="280">
        <v>198</v>
      </c>
      <c r="B582" s="274">
        <v>64</v>
      </c>
      <c r="C582" s="278" t="s">
        <v>151</v>
      </c>
      <c r="D582" s="275" t="s">
        <v>434</v>
      </c>
      <c r="E582" s="275" t="s">
        <v>435</v>
      </c>
      <c r="F582" s="275" t="s">
        <v>436</v>
      </c>
      <c r="G582" s="275" t="s">
        <v>437</v>
      </c>
      <c r="H582" s="275" t="s">
        <v>438</v>
      </c>
      <c r="I582" s="275" t="s">
        <v>439</v>
      </c>
      <c r="J582" s="275" t="s">
        <v>440</v>
      </c>
      <c r="K582" s="275" t="s">
        <v>441</v>
      </c>
      <c r="L582" s="275" t="s">
        <v>442</v>
      </c>
      <c r="M582" s="275" t="s">
        <v>443</v>
      </c>
      <c r="N582" s="275" t="s">
        <v>444</v>
      </c>
      <c r="O582" s="275" t="s">
        <v>445</v>
      </c>
      <c r="P582" s="275" t="s">
        <v>446</v>
      </c>
      <c r="Q582" s="275" t="s">
        <v>447</v>
      </c>
      <c r="R582" s="275" t="s">
        <v>448</v>
      </c>
      <c r="S582" s="275" t="s">
        <v>449</v>
      </c>
      <c r="T582" s="275" t="s">
        <v>450</v>
      </c>
      <c r="U582" s="275"/>
      <c r="V582" s="275"/>
      <c r="W582" s="275"/>
      <c r="X582" s="275"/>
      <c r="Y582" s="275"/>
      <c r="Z582" s="275"/>
      <c r="AA582" s="275"/>
    </row>
    <row r="583" spans="1:27">
      <c r="A583" s="280"/>
      <c r="B583" s="274"/>
      <c r="C583" s="278"/>
      <c r="D583" s="275">
        <v>2.1919999999999999E-2</v>
      </c>
      <c r="E583" s="275">
        <v>9.2670000000000002E-2</v>
      </c>
      <c r="F583" s="275">
        <v>7.7560000000000004E-2</v>
      </c>
      <c r="G583" s="275">
        <v>8.4370000000000001E-2</v>
      </c>
      <c r="H583" s="275">
        <v>0.24312</v>
      </c>
      <c r="I583" s="275">
        <v>0.23316999999999999</v>
      </c>
      <c r="J583" s="275">
        <v>0.24596000000000001</v>
      </c>
      <c r="K583" s="275">
        <v>0.21847</v>
      </c>
      <c r="L583" s="275">
        <v>0.22248000000000001</v>
      </c>
      <c r="M583" s="275">
        <v>0.55298999999999998</v>
      </c>
      <c r="N583" s="275">
        <v>0.56589999999999996</v>
      </c>
      <c r="O583" s="275">
        <v>0.59358</v>
      </c>
      <c r="P583" s="275">
        <v>0.63175000000000003</v>
      </c>
      <c r="Q583" s="275">
        <v>0.64207000000000003</v>
      </c>
      <c r="R583" s="275">
        <v>1.3457300000000001</v>
      </c>
      <c r="S583" s="275">
        <v>1.48576</v>
      </c>
      <c r="T583" s="275">
        <v>1.5665800000000001</v>
      </c>
      <c r="U583" s="275"/>
      <c r="V583" s="275"/>
      <c r="W583" s="275"/>
      <c r="X583" s="275"/>
      <c r="Y583" s="275"/>
      <c r="Z583" s="275"/>
      <c r="AA583" s="275"/>
    </row>
    <row r="584" spans="1:27">
      <c r="A584" s="280"/>
      <c r="B584" s="274"/>
      <c r="C584" s="278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</row>
    <row r="585" spans="1:27">
      <c r="A585" s="280">
        <v>199</v>
      </c>
      <c r="B585" s="274">
        <v>65</v>
      </c>
      <c r="C585" s="278" t="s">
        <v>152</v>
      </c>
      <c r="D585" s="275" t="s">
        <v>434</v>
      </c>
      <c r="E585" s="275" t="s">
        <v>435</v>
      </c>
      <c r="F585" s="275" t="s">
        <v>436</v>
      </c>
      <c r="G585" s="275" t="s">
        <v>437</v>
      </c>
      <c r="H585" s="275" t="s">
        <v>438</v>
      </c>
      <c r="I585" s="275" t="s">
        <v>439</v>
      </c>
      <c r="J585" s="275" t="s">
        <v>440</v>
      </c>
      <c r="K585" s="275" t="s">
        <v>441</v>
      </c>
      <c r="L585" s="275" t="s">
        <v>442</v>
      </c>
      <c r="M585" s="275" t="s">
        <v>443</v>
      </c>
      <c r="N585" s="275" t="s">
        <v>444</v>
      </c>
      <c r="O585" s="275" t="s">
        <v>445</v>
      </c>
      <c r="P585" s="275" t="s">
        <v>446</v>
      </c>
      <c r="Q585" s="275" t="s">
        <v>447</v>
      </c>
      <c r="R585" s="275" t="s">
        <v>448</v>
      </c>
      <c r="S585" s="275" t="s">
        <v>449</v>
      </c>
      <c r="T585" s="275" t="s">
        <v>450</v>
      </c>
      <c r="U585" s="275"/>
      <c r="V585" s="275"/>
      <c r="W585" s="275"/>
      <c r="X585" s="275"/>
      <c r="Y585" s="275"/>
      <c r="Z585" s="275"/>
      <c r="AA585" s="275"/>
    </row>
    <row r="586" spans="1:27">
      <c r="A586" s="280"/>
      <c r="B586" s="274"/>
      <c r="C586" s="278"/>
      <c r="D586" s="275">
        <v>2.1520000000000001E-2</v>
      </c>
      <c r="E586" s="275">
        <v>9.0880000000000002E-2</v>
      </c>
      <c r="F586" s="275">
        <v>7.5990000000000002E-2</v>
      </c>
      <c r="G586" s="275">
        <v>8.2909999999999998E-2</v>
      </c>
      <c r="H586" s="275">
        <v>0.23813999999999999</v>
      </c>
      <c r="I586" s="275">
        <v>0.22819</v>
      </c>
      <c r="J586" s="275">
        <v>0.24115</v>
      </c>
      <c r="K586" s="275">
        <v>0.21387</v>
      </c>
      <c r="L586" s="275">
        <v>0.21793000000000001</v>
      </c>
      <c r="M586" s="275">
        <v>0.54188999999999998</v>
      </c>
      <c r="N586" s="275">
        <v>0.55427999999999999</v>
      </c>
      <c r="O586" s="275">
        <v>0.58265999999999996</v>
      </c>
      <c r="P586" s="275">
        <v>0.61995</v>
      </c>
      <c r="Q586" s="275">
        <v>0.63066</v>
      </c>
      <c r="R586" s="275">
        <v>1.3528899999999999</v>
      </c>
      <c r="S586" s="275">
        <v>1.51932</v>
      </c>
      <c r="T586" s="275">
        <v>1.6179699999999999</v>
      </c>
      <c r="U586" s="275"/>
      <c r="V586" s="275"/>
      <c r="W586" s="275"/>
      <c r="X586" s="275"/>
      <c r="Y586" s="275"/>
      <c r="Z586" s="275"/>
      <c r="AA586" s="275"/>
    </row>
    <row r="587" spans="1:27">
      <c r="A587" s="280"/>
      <c r="B587" s="274"/>
      <c r="C587" s="278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</row>
    <row r="588" spans="1:27">
      <c r="A588" s="280">
        <v>200</v>
      </c>
      <c r="B588" s="274">
        <v>65</v>
      </c>
      <c r="C588" s="278" t="s">
        <v>373</v>
      </c>
      <c r="D588" s="275" t="s">
        <v>434</v>
      </c>
      <c r="E588" s="275" t="s">
        <v>435</v>
      </c>
      <c r="F588" s="275" t="s">
        <v>436</v>
      </c>
      <c r="G588" s="275" t="s">
        <v>437</v>
      </c>
      <c r="H588" s="275" t="s">
        <v>438</v>
      </c>
      <c r="I588" s="275" t="s">
        <v>439</v>
      </c>
      <c r="J588" s="275" t="s">
        <v>440</v>
      </c>
      <c r="K588" s="275" t="s">
        <v>441</v>
      </c>
      <c r="L588" s="275" t="s">
        <v>442</v>
      </c>
      <c r="M588" s="275" t="s">
        <v>443</v>
      </c>
      <c r="N588" s="275" t="s">
        <v>444</v>
      </c>
      <c r="O588" s="275" t="s">
        <v>445</v>
      </c>
      <c r="P588" s="275" t="s">
        <v>446</v>
      </c>
      <c r="Q588" s="275" t="s">
        <v>447</v>
      </c>
      <c r="R588" s="275" t="s">
        <v>448</v>
      </c>
      <c r="S588" s="275" t="s">
        <v>449</v>
      </c>
      <c r="T588" s="275" t="s">
        <v>450</v>
      </c>
      <c r="U588" s="275"/>
      <c r="V588" s="275"/>
      <c r="W588" s="275"/>
      <c r="X588" s="275"/>
      <c r="Y588" s="275"/>
      <c r="Z588" s="275"/>
      <c r="AA588" s="275"/>
    </row>
    <row r="589" spans="1:27">
      <c r="A589" s="280"/>
      <c r="B589" s="274"/>
      <c r="C589" s="278"/>
      <c r="D589" s="275">
        <v>2.1520000000000001E-2</v>
      </c>
      <c r="E589" s="275">
        <v>9.0880000000000002E-2</v>
      </c>
      <c r="F589" s="275">
        <v>7.5999999999999998E-2</v>
      </c>
      <c r="G589" s="275">
        <v>8.2909999999999998E-2</v>
      </c>
      <c r="H589" s="275">
        <v>0.23815</v>
      </c>
      <c r="I589" s="275">
        <v>0.22821</v>
      </c>
      <c r="J589" s="275">
        <v>0.24116000000000001</v>
      </c>
      <c r="K589" s="275">
        <v>0.21387999999999999</v>
      </c>
      <c r="L589" s="275">
        <v>0.21793999999999999</v>
      </c>
      <c r="M589" s="275">
        <v>0.54110000000000003</v>
      </c>
      <c r="N589" s="275">
        <v>0.55317000000000005</v>
      </c>
      <c r="O589" s="275">
        <v>0.58128000000000002</v>
      </c>
      <c r="P589" s="275">
        <v>0.61714999999999998</v>
      </c>
      <c r="Q589" s="275">
        <v>0.62763000000000002</v>
      </c>
      <c r="R589" s="275">
        <v>1.3207500000000001</v>
      </c>
      <c r="S589" s="275">
        <v>1.4586399999999999</v>
      </c>
      <c r="T589" s="275">
        <v>1.54183</v>
      </c>
      <c r="U589" s="275"/>
      <c r="V589" s="275"/>
      <c r="W589" s="275"/>
      <c r="X589" s="275"/>
      <c r="Y589" s="275"/>
      <c r="Z589" s="275"/>
      <c r="AA589" s="275"/>
    </row>
    <row r="590" spans="1:27">
      <c r="A590" s="280"/>
      <c r="B590" s="274"/>
      <c r="C590" s="278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</row>
    <row r="591" spans="1:27">
      <c r="A591" s="280">
        <v>201</v>
      </c>
      <c r="B591" s="274">
        <v>65</v>
      </c>
      <c r="C591" s="278" t="s">
        <v>153</v>
      </c>
      <c r="D591" s="275" t="s">
        <v>434</v>
      </c>
      <c r="E591" s="275" t="s">
        <v>435</v>
      </c>
      <c r="F591" s="275" t="s">
        <v>436</v>
      </c>
      <c r="G591" s="275" t="s">
        <v>437</v>
      </c>
      <c r="H591" s="275" t="s">
        <v>438</v>
      </c>
      <c r="I591" s="275" t="s">
        <v>439</v>
      </c>
      <c r="J591" s="275" t="s">
        <v>440</v>
      </c>
      <c r="K591" s="275" t="s">
        <v>441</v>
      </c>
      <c r="L591" s="275" t="s">
        <v>442</v>
      </c>
      <c r="M591" s="275" t="s">
        <v>443</v>
      </c>
      <c r="N591" s="275" t="s">
        <v>444</v>
      </c>
      <c r="O591" s="275" t="s">
        <v>445</v>
      </c>
      <c r="P591" s="275" t="s">
        <v>446</v>
      </c>
      <c r="Q591" s="275" t="s">
        <v>447</v>
      </c>
      <c r="R591" s="275" t="s">
        <v>448</v>
      </c>
      <c r="S591" s="275" t="s">
        <v>449</v>
      </c>
      <c r="T591" s="275" t="s">
        <v>450</v>
      </c>
      <c r="U591" s="275"/>
      <c r="V591" s="275"/>
      <c r="W591" s="275"/>
      <c r="X591" s="275"/>
      <c r="Y591" s="275"/>
      <c r="Z591" s="275"/>
      <c r="AA591" s="275"/>
    </row>
    <row r="592" spans="1:27">
      <c r="A592" s="280"/>
      <c r="B592" s="274"/>
      <c r="C592" s="278"/>
      <c r="D592" s="275">
        <v>2.1520000000000001E-2</v>
      </c>
      <c r="E592" s="275">
        <v>9.0880000000000002E-2</v>
      </c>
      <c r="F592" s="275">
        <v>7.5999999999999998E-2</v>
      </c>
      <c r="G592" s="275">
        <v>8.2919999999999994E-2</v>
      </c>
      <c r="H592" s="275">
        <v>0.23816000000000001</v>
      </c>
      <c r="I592" s="275">
        <v>0.22821</v>
      </c>
      <c r="J592" s="275">
        <v>0.24117</v>
      </c>
      <c r="K592" s="275">
        <v>0.21389</v>
      </c>
      <c r="L592" s="275">
        <v>0.21795</v>
      </c>
      <c r="M592" s="275">
        <v>0.53996</v>
      </c>
      <c r="N592" s="275">
        <v>0.55166999999999999</v>
      </c>
      <c r="O592" s="275">
        <v>0.57943</v>
      </c>
      <c r="P592" s="275">
        <v>0.61353000000000002</v>
      </c>
      <c r="Q592" s="275">
        <v>0.62373000000000001</v>
      </c>
      <c r="R592" s="275">
        <v>1.28725</v>
      </c>
      <c r="S592" s="275">
        <v>1.4068700000000001</v>
      </c>
      <c r="T592" s="275">
        <v>1.48115</v>
      </c>
      <c r="U592" s="275"/>
      <c r="V592" s="275"/>
      <c r="W592" s="275"/>
      <c r="X592" s="275"/>
      <c r="Y592" s="275"/>
      <c r="Z592" s="275"/>
      <c r="AA592" s="275"/>
    </row>
    <row r="593" spans="1:27">
      <c r="A593" s="280"/>
      <c r="B593" s="274"/>
      <c r="C593" s="278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</row>
    <row r="594" spans="1:27">
      <c r="A594" s="280">
        <v>202</v>
      </c>
      <c r="B594" s="274">
        <v>66</v>
      </c>
      <c r="C594" s="278" t="s">
        <v>374</v>
      </c>
      <c r="D594" s="275" t="s">
        <v>434</v>
      </c>
      <c r="E594" s="275" t="s">
        <v>435</v>
      </c>
      <c r="F594" s="275" t="s">
        <v>436</v>
      </c>
      <c r="G594" s="275" t="s">
        <v>437</v>
      </c>
      <c r="H594" s="275" t="s">
        <v>438</v>
      </c>
      <c r="I594" s="275" t="s">
        <v>439</v>
      </c>
      <c r="J594" s="275" t="s">
        <v>440</v>
      </c>
      <c r="K594" s="275" t="s">
        <v>441</v>
      </c>
      <c r="L594" s="275" t="s">
        <v>442</v>
      </c>
      <c r="M594" s="275" t="s">
        <v>443</v>
      </c>
      <c r="N594" s="275" t="s">
        <v>444</v>
      </c>
      <c r="O594" s="275" t="s">
        <v>445</v>
      </c>
      <c r="P594" s="275" t="s">
        <v>446</v>
      </c>
      <c r="Q594" s="275" t="s">
        <v>447</v>
      </c>
      <c r="R594" s="275" t="s">
        <v>448</v>
      </c>
      <c r="S594" s="275" t="s">
        <v>449</v>
      </c>
      <c r="T594" s="275" t="s">
        <v>450</v>
      </c>
      <c r="U594" s="275"/>
      <c r="V594" s="275"/>
      <c r="W594" s="275"/>
      <c r="X594" s="275"/>
      <c r="Y594" s="275"/>
      <c r="Z594" s="275"/>
      <c r="AA594" s="275"/>
    </row>
    <row r="595" spans="1:27">
      <c r="A595" s="280"/>
      <c r="B595" s="274"/>
      <c r="C595" s="278"/>
      <c r="D595" s="275">
        <v>2.1129999999999999E-2</v>
      </c>
      <c r="E595" s="275">
        <v>8.9139999999999997E-2</v>
      </c>
      <c r="F595" s="275">
        <v>7.4480000000000005E-2</v>
      </c>
      <c r="G595" s="275">
        <v>8.1500000000000003E-2</v>
      </c>
      <c r="H595" s="275">
        <v>0.23333999999999999</v>
      </c>
      <c r="I595" s="275">
        <v>0.22341</v>
      </c>
      <c r="J595" s="275">
        <v>0.23652999999999999</v>
      </c>
      <c r="K595" s="275">
        <v>0.20946999999999999</v>
      </c>
      <c r="L595" s="275">
        <v>0.21357999999999999</v>
      </c>
      <c r="M595" s="275">
        <v>0.53044000000000002</v>
      </c>
      <c r="N595" s="275">
        <v>0.54198000000000002</v>
      </c>
      <c r="O595" s="275">
        <v>0.57077999999999995</v>
      </c>
      <c r="P595" s="275">
        <v>0.60585</v>
      </c>
      <c r="Q595" s="275">
        <v>0.61670999999999998</v>
      </c>
      <c r="R595" s="275">
        <v>1.3281000000000001</v>
      </c>
      <c r="S595" s="275">
        <v>1.48543</v>
      </c>
      <c r="T595" s="275">
        <v>1.58291</v>
      </c>
      <c r="U595" s="275"/>
      <c r="V595" s="275"/>
      <c r="W595" s="275"/>
      <c r="X595" s="275"/>
      <c r="Y595" s="275"/>
      <c r="Z595" s="275"/>
      <c r="AA595" s="275"/>
    </row>
    <row r="596" spans="1:27">
      <c r="A596" s="280"/>
      <c r="B596" s="274"/>
      <c r="C596" s="278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</row>
    <row r="597" spans="1:27">
      <c r="A597" s="280">
        <v>203</v>
      </c>
      <c r="B597" s="274">
        <v>66</v>
      </c>
      <c r="C597" s="278" t="s">
        <v>154</v>
      </c>
      <c r="D597" s="275" t="s">
        <v>434</v>
      </c>
      <c r="E597" s="275" t="s">
        <v>435</v>
      </c>
      <c r="F597" s="275" t="s">
        <v>436</v>
      </c>
      <c r="G597" s="275" t="s">
        <v>437</v>
      </c>
      <c r="H597" s="275" t="s">
        <v>438</v>
      </c>
      <c r="I597" s="275" t="s">
        <v>439</v>
      </c>
      <c r="J597" s="275" t="s">
        <v>440</v>
      </c>
      <c r="K597" s="275" t="s">
        <v>441</v>
      </c>
      <c r="L597" s="275" t="s">
        <v>442</v>
      </c>
      <c r="M597" s="275" t="s">
        <v>443</v>
      </c>
      <c r="N597" s="275" t="s">
        <v>444</v>
      </c>
      <c r="O597" s="275" t="s">
        <v>445</v>
      </c>
      <c r="P597" s="275" t="s">
        <v>446</v>
      </c>
      <c r="Q597" s="275" t="s">
        <v>447</v>
      </c>
      <c r="R597" s="275" t="s">
        <v>448</v>
      </c>
      <c r="S597" s="275" t="s">
        <v>449</v>
      </c>
      <c r="T597" s="275" t="s">
        <v>450</v>
      </c>
      <c r="U597" s="275"/>
      <c r="V597" s="275"/>
      <c r="W597" s="275"/>
      <c r="X597" s="275"/>
      <c r="Y597" s="275"/>
      <c r="Z597" s="275"/>
      <c r="AA597" s="275"/>
    </row>
    <row r="598" spans="1:27">
      <c r="A598" s="280"/>
      <c r="B598" s="274"/>
      <c r="C598" s="278"/>
      <c r="D598" s="275">
        <v>2.1129999999999999E-2</v>
      </c>
      <c r="E598" s="275">
        <v>8.9149999999999993E-2</v>
      </c>
      <c r="F598" s="275">
        <v>7.4480000000000005E-2</v>
      </c>
      <c r="G598" s="275">
        <v>8.1509999999999999E-2</v>
      </c>
      <c r="H598" s="275">
        <v>0.23335</v>
      </c>
      <c r="I598" s="275">
        <v>0.22342000000000001</v>
      </c>
      <c r="J598" s="275">
        <v>0.23655000000000001</v>
      </c>
      <c r="K598" s="275">
        <v>0.20948</v>
      </c>
      <c r="L598" s="275">
        <v>0.21359</v>
      </c>
      <c r="M598" s="275">
        <v>0.52968999999999999</v>
      </c>
      <c r="N598" s="275">
        <v>0.54096999999999995</v>
      </c>
      <c r="O598" s="275">
        <v>0.56950999999999996</v>
      </c>
      <c r="P598" s="275">
        <v>0.60328000000000004</v>
      </c>
      <c r="Q598" s="275">
        <v>0.6139</v>
      </c>
      <c r="R598" s="275">
        <v>1.29671</v>
      </c>
      <c r="S598" s="275">
        <v>1.4325600000000001</v>
      </c>
      <c r="T598" s="275">
        <v>1.51816</v>
      </c>
      <c r="U598" s="275"/>
      <c r="V598" s="275"/>
      <c r="W598" s="275"/>
      <c r="X598" s="275"/>
      <c r="Y598" s="275"/>
      <c r="Z598" s="275"/>
      <c r="AA598" s="275"/>
    </row>
    <row r="599" spans="1:27">
      <c r="A599" s="280"/>
      <c r="B599" s="274"/>
      <c r="C599" s="278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</row>
    <row r="600" spans="1:27">
      <c r="A600" s="280">
        <v>204</v>
      </c>
      <c r="B600" s="274">
        <v>67</v>
      </c>
      <c r="C600" s="278" t="s">
        <v>375</v>
      </c>
      <c r="D600" s="275" t="s">
        <v>434</v>
      </c>
      <c r="E600" s="275" t="s">
        <v>435</v>
      </c>
      <c r="F600" s="275" t="s">
        <v>436</v>
      </c>
      <c r="G600" s="275" t="s">
        <v>437</v>
      </c>
      <c r="H600" s="275" t="s">
        <v>438</v>
      </c>
      <c r="I600" s="275" t="s">
        <v>439</v>
      </c>
      <c r="J600" s="275" t="s">
        <v>440</v>
      </c>
      <c r="K600" s="275" t="s">
        <v>441</v>
      </c>
      <c r="L600" s="275" t="s">
        <v>442</v>
      </c>
      <c r="M600" s="275" t="s">
        <v>443</v>
      </c>
      <c r="N600" s="275" t="s">
        <v>444</v>
      </c>
      <c r="O600" s="275" t="s">
        <v>445</v>
      </c>
      <c r="P600" s="275" t="s">
        <v>446</v>
      </c>
      <c r="Q600" s="275" t="s">
        <v>447</v>
      </c>
      <c r="R600" s="275" t="s">
        <v>448</v>
      </c>
      <c r="S600" s="275" t="s">
        <v>449</v>
      </c>
      <c r="T600" s="275" t="s">
        <v>450</v>
      </c>
      <c r="U600" s="275"/>
      <c r="V600" s="275"/>
      <c r="W600" s="275"/>
      <c r="X600" s="275"/>
      <c r="Y600" s="275"/>
      <c r="Z600" s="275"/>
      <c r="AA600" s="275"/>
    </row>
    <row r="601" spans="1:27">
      <c r="A601" s="280"/>
      <c r="B601" s="274"/>
      <c r="C601" s="278"/>
      <c r="D601" s="275">
        <v>2.0750000000000001E-2</v>
      </c>
      <c r="E601" s="275">
        <v>8.7459999999999996E-2</v>
      </c>
      <c r="F601" s="275">
        <v>7.2999999999999995E-2</v>
      </c>
      <c r="G601" s="275">
        <v>8.0140000000000003E-2</v>
      </c>
      <c r="H601" s="275">
        <v>0.22871</v>
      </c>
      <c r="I601" s="275">
        <v>0.21879999999999999</v>
      </c>
      <c r="J601" s="275">
        <v>0.23208999999999999</v>
      </c>
      <c r="K601" s="275">
        <v>0.20526</v>
      </c>
      <c r="L601" s="275">
        <v>0.20941000000000001</v>
      </c>
      <c r="M601" s="275">
        <v>0.51871</v>
      </c>
      <c r="N601" s="275">
        <v>0.52925999999999995</v>
      </c>
      <c r="O601" s="275">
        <v>0.55823999999999996</v>
      </c>
      <c r="P601" s="275">
        <v>0.59004999999999996</v>
      </c>
      <c r="Q601" s="275">
        <v>0.60082999999999998</v>
      </c>
      <c r="R601" s="275">
        <v>1.27352</v>
      </c>
      <c r="S601" s="275">
        <v>1.4074</v>
      </c>
      <c r="T601" s="275">
        <v>1.49546</v>
      </c>
      <c r="U601" s="275"/>
      <c r="V601" s="275"/>
      <c r="W601" s="275"/>
      <c r="X601" s="275"/>
      <c r="Y601" s="275"/>
      <c r="Z601" s="275"/>
      <c r="AA601" s="275"/>
    </row>
    <row r="602" spans="1:27">
      <c r="A602" s="280"/>
      <c r="B602" s="274"/>
      <c r="C602" s="278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</row>
    <row r="603" spans="1:27">
      <c r="A603" s="280">
        <v>205</v>
      </c>
      <c r="B603" s="274">
        <v>68</v>
      </c>
      <c r="C603" s="278" t="s">
        <v>376</v>
      </c>
      <c r="D603" s="275" t="s">
        <v>434</v>
      </c>
      <c r="E603" s="275" t="s">
        <v>435</v>
      </c>
      <c r="F603" s="275" t="s">
        <v>436</v>
      </c>
      <c r="G603" s="275" t="s">
        <v>437</v>
      </c>
      <c r="H603" s="275" t="s">
        <v>438</v>
      </c>
      <c r="I603" s="275" t="s">
        <v>439</v>
      </c>
      <c r="J603" s="275" t="s">
        <v>440</v>
      </c>
      <c r="K603" s="275" t="s">
        <v>441</v>
      </c>
      <c r="L603" s="275" t="s">
        <v>442</v>
      </c>
      <c r="M603" s="275" t="s">
        <v>443</v>
      </c>
      <c r="N603" s="275" t="s">
        <v>444</v>
      </c>
      <c r="O603" s="275" t="s">
        <v>445</v>
      </c>
      <c r="P603" s="275" t="s">
        <v>446</v>
      </c>
      <c r="Q603" s="275" t="s">
        <v>447</v>
      </c>
      <c r="R603" s="275" t="s">
        <v>448</v>
      </c>
      <c r="S603" s="275" t="s">
        <v>449</v>
      </c>
      <c r="T603" s="275" t="s">
        <v>450</v>
      </c>
      <c r="U603" s="275"/>
      <c r="V603" s="275"/>
      <c r="W603" s="275"/>
      <c r="X603" s="275"/>
      <c r="Y603" s="275"/>
      <c r="Z603" s="275"/>
      <c r="AA603" s="275"/>
    </row>
    <row r="604" spans="1:27">
      <c r="A604" s="280"/>
      <c r="B604" s="274"/>
      <c r="C604" s="278"/>
      <c r="D604" s="275">
        <v>2.0389999999999998E-2</v>
      </c>
      <c r="E604" s="275">
        <v>8.5830000000000004E-2</v>
      </c>
      <c r="F604" s="275">
        <v>7.1569999999999995E-2</v>
      </c>
      <c r="G604" s="275">
        <v>7.8820000000000001E-2</v>
      </c>
      <c r="H604" s="275">
        <v>0.22423000000000001</v>
      </c>
      <c r="I604" s="275">
        <v>0.21432999999999999</v>
      </c>
      <c r="J604" s="275">
        <v>0.2278</v>
      </c>
      <c r="K604" s="275">
        <v>0.20119000000000001</v>
      </c>
      <c r="L604" s="275">
        <v>0.2054</v>
      </c>
      <c r="M604" s="275">
        <v>0.50812999999999997</v>
      </c>
      <c r="N604" s="275">
        <v>0.51798999999999995</v>
      </c>
      <c r="O604" s="275">
        <v>0.54742999999999997</v>
      </c>
      <c r="P604" s="275">
        <v>0.57742000000000004</v>
      </c>
      <c r="Q604" s="275">
        <v>0.58835999999999999</v>
      </c>
      <c r="R604" s="275">
        <v>1.25109</v>
      </c>
      <c r="S604" s="275">
        <v>1.3830800000000001</v>
      </c>
      <c r="T604" s="275">
        <v>1.4736400000000001</v>
      </c>
      <c r="U604" s="275"/>
      <c r="V604" s="275"/>
      <c r="W604" s="275"/>
      <c r="X604" s="275"/>
      <c r="Y604" s="275"/>
      <c r="Z604" s="275"/>
      <c r="AA604" s="275"/>
    </row>
    <row r="605" spans="1:27">
      <c r="A605" s="280"/>
      <c r="B605" s="274"/>
      <c r="C605" s="278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</row>
    <row r="606" spans="1:27">
      <c r="A606" s="280">
        <v>206</v>
      </c>
      <c r="B606" s="274">
        <v>69</v>
      </c>
      <c r="C606" s="278" t="s">
        <v>377</v>
      </c>
      <c r="D606" s="275" t="s">
        <v>434</v>
      </c>
      <c r="E606" s="275" t="s">
        <v>435</v>
      </c>
      <c r="F606" s="275" t="s">
        <v>436</v>
      </c>
      <c r="G606" s="275" t="s">
        <v>437</v>
      </c>
      <c r="H606" s="275" t="s">
        <v>438</v>
      </c>
      <c r="I606" s="275" t="s">
        <v>439</v>
      </c>
      <c r="J606" s="275" t="s">
        <v>440</v>
      </c>
      <c r="K606" s="275" t="s">
        <v>441</v>
      </c>
      <c r="L606" s="275" t="s">
        <v>442</v>
      </c>
      <c r="M606" s="275" t="s">
        <v>443</v>
      </c>
      <c r="N606" s="275" t="s">
        <v>444</v>
      </c>
      <c r="O606" s="275" t="s">
        <v>445</v>
      </c>
      <c r="P606" s="275" t="s">
        <v>446</v>
      </c>
      <c r="Q606" s="275" t="s">
        <v>447</v>
      </c>
      <c r="R606" s="275" t="s">
        <v>448</v>
      </c>
      <c r="S606" s="275" t="s">
        <v>449</v>
      </c>
      <c r="T606" s="275" t="s">
        <v>450</v>
      </c>
      <c r="U606" s="275"/>
      <c r="V606" s="275"/>
      <c r="W606" s="275"/>
      <c r="X606" s="275"/>
      <c r="Y606" s="275"/>
      <c r="Z606" s="275"/>
      <c r="AA606" s="275"/>
    </row>
    <row r="607" spans="1:27">
      <c r="A607" s="280"/>
      <c r="B607" s="274"/>
      <c r="C607" s="278"/>
      <c r="D607" s="275">
        <v>2.0029999999999999E-2</v>
      </c>
      <c r="E607" s="275">
        <v>8.4229999999999999E-2</v>
      </c>
      <c r="F607" s="275">
        <v>7.0169999999999996E-2</v>
      </c>
      <c r="G607" s="275">
        <v>7.7530000000000002E-2</v>
      </c>
      <c r="H607" s="275">
        <v>0.21987000000000001</v>
      </c>
      <c r="I607" s="275">
        <v>0.21001</v>
      </c>
      <c r="J607" s="275">
        <v>0.22364999999999999</v>
      </c>
      <c r="K607" s="275">
        <v>0.19727</v>
      </c>
      <c r="L607" s="275">
        <v>0.20152</v>
      </c>
      <c r="M607" s="275">
        <v>0.49852000000000002</v>
      </c>
      <c r="N607" s="275">
        <v>0.50792000000000004</v>
      </c>
      <c r="O607" s="275">
        <v>0.53805000000000003</v>
      </c>
      <c r="P607" s="275">
        <v>0.56738</v>
      </c>
      <c r="Q607" s="275">
        <v>0.57870999999999995</v>
      </c>
      <c r="R607" s="275">
        <v>1.25722</v>
      </c>
      <c r="S607" s="275">
        <v>1.4072899999999999</v>
      </c>
      <c r="T607" s="275">
        <v>1.5131699999999999</v>
      </c>
      <c r="U607" s="275"/>
      <c r="V607" s="275"/>
      <c r="W607" s="275"/>
      <c r="X607" s="275"/>
      <c r="Y607" s="275"/>
      <c r="Z607" s="275"/>
      <c r="AA607" s="275"/>
    </row>
    <row r="608" spans="1:27">
      <c r="A608" s="280"/>
      <c r="B608" s="274"/>
      <c r="C608" s="278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</row>
    <row r="609" spans="1:27">
      <c r="A609" s="280">
        <v>207</v>
      </c>
      <c r="B609" s="274">
        <v>69</v>
      </c>
      <c r="C609" s="278" t="s">
        <v>155</v>
      </c>
      <c r="D609" s="275" t="s">
        <v>434</v>
      </c>
      <c r="E609" s="275" t="s">
        <v>435</v>
      </c>
      <c r="F609" s="275" t="s">
        <v>436</v>
      </c>
      <c r="G609" s="275" t="s">
        <v>437</v>
      </c>
      <c r="H609" s="275" t="s">
        <v>438</v>
      </c>
      <c r="I609" s="275" t="s">
        <v>439</v>
      </c>
      <c r="J609" s="275" t="s">
        <v>440</v>
      </c>
      <c r="K609" s="275" t="s">
        <v>441</v>
      </c>
      <c r="L609" s="275" t="s">
        <v>442</v>
      </c>
      <c r="M609" s="275" t="s">
        <v>443</v>
      </c>
      <c r="N609" s="275" t="s">
        <v>444</v>
      </c>
      <c r="O609" s="275" t="s">
        <v>445</v>
      </c>
      <c r="P609" s="275" t="s">
        <v>446</v>
      </c>
      <c r="Q609" s="275" t="s">
        <v>447</v>
      </c>
      <c r="R609" s="275" t="s">
        <v>448</v>
      </c>
      <c r="S609" s="275" t="s">
        <v>449</v>
      </c>
      <c r="T609" s="275" t="s">
        <v>450</v>
      </c>
      <c r="U609" s="275"/>
      <c r="V609" s="275"/>
      <c r="W609" s="275"/>
      <c r="X609" s="275"/>
      <c r="Y609" s="275"/>
      <c r="Z609" s="275"/>
      <c r="AA609" s="275"/>
    </row>
    <row r="610" spans="1:27">
      <c r="A610" s="280"/>
      <c r="B610" s="274"/>
      <c r="C610" s="278"/>
      <c r="D610" s="275">
        <v>2.0029999999999999E-2</v>
      </c>
      <c r="E610" s="275">
        <v>8.4239999999999995E-2</v>
      </c>
      <c r="F610" s="275">
        <v>7.0180000000000006E-2</v>
      </c>
      <c r="G610" s="275">
        <v>7.7530000000000002E-2</v>
      </c>
      <c r="H610" s="275">
        <v>0.21987999999999999</v>
      </c>
      <c r="I610" s="275">
        <v>0.21002000000000001</v>
      </c>
      <c r="J610" s="275">
        <v>0.22366</v>
      </c>
      <c r="K610" s="275">
        <v>0.19728000000000001</v>
      </c>
      <c r="L610" s="275">
        <v>0.20154</v>
      </c>
      <c r="M610" s="275">
        <v>0.49792999999999998</v>
      </c>
      <c r="N610" s="275">
        <v>0.50714999999999999</v>
      </c>
      <c r="O610" s="275">
        <v>0.53703999999999996</v>
      </c>
      <c r="P610" s="275">
        <v>0.56533999999999995</v>
      </c>
      <c r="Q610" s="275">
        <v>0.57645000000000002</v>
      </c>
      <c r="R610" s="275">
        <v>1.2293700000000001</v>
      </c>
      <c r="S610" s="275">
        <v>1.3595200000000001</v>
      </c>
      <c r="T610" s="275">
        <v>1.4526399999999999</v>
      </c>
      <c r="U610" s="275"/>
      <c r="V610" s="275"/>
      <c r="W610" s="275"/>
      <c r="X610" s="275"/>
      <c r="Y610" s="275"/>
      <c r="Z610" s="275"/>
      <c r="AA610" s="275"/>
    </row>
    <row r="611" spans="1:27">
      <c r="A611" s="280"/>
      <c r="B611" s="274"/>
      <c r="C611" s="278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</row>
    <row r="612" spans="1:27">
      <c r="A612" s="280">
        <v>208</v>
      </c>
      <c r="B612" s="274">
        <v>70</v>
      </c>
      <c r="C612" s="278" t="s">
        <v>378</v>
      </c>
      <c r="D612" s="275" t="s">
        <v>434</v>
      </c>
      <c r="E612" s="275" t="s">
        <v>435</v>
      </c>
      <c r="F612" s="275" t="s">
        <v>436</v>
      </c>
      <c r="G612" s="275" t="s">
        <v>437</v>
      </c>
      <c r="H612" s="275" t="s">
        <v>438</v>
      </c>
      <c r="I612" s="275" t="s">
        <v>439</v>
      </c>
      <c r="J612" s="275" t="s">
        <v>440</v>
      </c>
      <c r="K612" s="275" t="s">
        <v>441</v>
      </c>
      <c r="L612" s="275" t="s">
        <v>442</v>
      </c>
      <c r="M612" s="275" t="s">
        <v>443</v>
      </c>
      <c r="N612" s="275" t="s">
        <v>444</v>
      </c>
      <c r="O612" s="275" t="s">
        <v>445</v>
      </c>
      <c r="P612" s="275" t="s">
        <v>446</v>
      </c>
      <c r="Q612" s="275" t="s">
        <v>447</v>
      </c>
      <c r="R612" s="275" t="s">
        <v>448</v>
      </c>
      <c r="S612" s="275" t="s">
        <v>449</v>
      </c>
      <c r="T612" s="275" t="s">
        <v>450</v>
      </c>
      <c r="U612" s="275"/>
      <c r="V612" s="275"/>
      <c r="W612" s="275"/>
      <c r="X612" s="275"/>
      <c r="Y612" s="275"/>
      <c r="Z612" s="275"/>
      <c r="AA612" s="275"/>
    </row>
    <row r="613" spans="1:27">
      <c r="A613" s="280"/>
      <c r="B613" s="274"/>
      <c r="C613" s="278"/>
      <c r="D613" s="275">
        <v>1.968E-2</v>
      </c>
      <c r="E613" s="275">
        <v>8.269E-2</v>
      </c>
      <c r="F613" s="275">
        <v>6.8820000000000006E-2</v>
      </c>
      <c r="G613" s="275">
        <v>7.6289999999999997E-2</v>
      </c>
      <c r="H613" s="275">
        <v>0.21567</v>
      </c>
      <c r="I613" s="275">
        <v>0.20583000000000001</v>
      </c>
      <c r="J613" s="275">
        <v>0.21965000000000001</v>
      </c>
      <c r="K613" s="275">
        <v>0.19350999999999999</v>
      </c>
      <c r="L613" s="275">
        <v>0.19781000000000001</v>
      </c>
      <c r="M613" s="275">
        <v>0.48863000000000001</v>
      </c>
      <c r="N613" s="275">
        <v>0.49741000000000002</v>
      </c>
      <c r="O613" s="275">
        <v>0.52798999999999996</v>
      </c>
      <c r="P613" s="275">
        <v>0.55566000000000004</v>
      </c>
      <c r="Q613" s="275">
        <v>0.56715000000000004</v>
      </c>
      <c r="R613" s="275">
        <v>1.2350699999999999</v>
      </c>
      <c r="S613" s="275">
        <v>1.3828499999999999</v>
      </c>
      <c r="T613" s="275">
        <v>1.4916199999999999</v>
      </c>
      <c r="U613" s="275"/>
      <c r="V613" s="275"/>
      <c r="W613" s="275"/>
      <c r="X613" s="275"/>
      <c r="Y613" s="275"/>
      <c r="Z613" s="275"/>
      <c r="AA613" s="275"/>
    </row>
    <row r="614" spans="1:27">
      <c r="A614" s="280"/>
      <c r="B614" s="274"/>
      <c r="C614" s="278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</row>
    <row r="615" spans="1:27">
      <c r="A615" s="280">
        <v>209</v>
      </c>
      <c r="B615" s="274">
        <v>70</v>
      </c>
      <c r="C615" s="278" t="s">
        <v>156</v>
      </c>
      <c r="D615" s="275" t="s">
        <v>434</v>
      </c>
      <c r="E615" s="275" t="s">
        <v>435</v>
      </c>
      <c r="F615" s="275" t="s">
        <v>436</v>
      </c>
      <c r="G615" s="275" t="s">
        <v>437</v>
      </c>
      <c r="H615" s="275" t="s">
        <v>438</v>
      </c>
      <c r="I615" s="275" t="s">
        <v>439</v>
      </c>
      <c r="J615" s="275" t="s">
        <v>440</v>
      </c>
      <c r="K615" s="275" t="s">
        <v>441</v>
      </c>
      <c r="L615" s="275" t="s">
        <v>442</v>
      </c>
      <c r="M615" s="275" t="s">
        <v>443</v>
      </c>
      <c r="N615" s="275" t="s">
        <v>444</v>
      </c>
      <c r="O615" s="275" t="s">
        <v>445</v>
      </c>
      <c r="P615" s="275" t="s">
        <v>446</v>
      </c>
      <c r="Q615" s="275" t="s">
        <v>447</v>
      </c>
      <c r="R615" s="275" t="s">
        <v>448</v>
      </c>
      <c r="S615" s="275" t="s">
        <v>449</v>
      </c>
      <c r="T615" s="275" t="s">
        <v>450</v>
      </c>
      <c r="U615" s="275"/>
      <c r="V615" s="275"/>
      <c r="W615" s="275"/>
      <c r="X615" s="275"/>
      <c r="Y615" s="275"/>
      <c r="Z615" s="275"/>
      <c r="AA615" s="275"/>
    </row>
    <row r="616" spans="1:27">
      <c r="A616" s="280"/>
      <c r="B616" s="274"/>
      <c r="C616" s="278"/>
      <c r="D616" s="275">
        <v>1.968E-2</v>
      </c>
      <c r="E616" s="275">
        <v>8.269E-2</v>
      </c>
      <c r="F616" s="275">
        <v>6.8820000000000006E-2</v>
      </c>
      <c r="G616" s="275">
        <v>7.6289999999999997E-2</v>
      </c>
      <c r="H616" s="275">
        <v>0.21567</v>
      </c>
      <c r="I616" s="275">
        <v>0.20584</v>
      </c>
      <c r="J616" s="275">
        <v>0.21965999999999999</v>
      </c>
      <c r="K616" s="275">
        <v>0.19352</v>
      </c>
      <c r="L616" s="275">
        <v>0.19782</v>
      </c>
      <c r="M616" s="275">
        <v>0.48809000000000002</v>
      </c>
      <c r="N616" s="275">
        <v>0.49669000000000002</v>
      </c>
      <c r="O616" s="275">
        <v>0.52705000000000002</v>
      </c>
      <c r="P616" s="275">
        <v>0.55378000000000005</v>
      </c>
      <c r="Q616" s="275">
        <v>0.56505000000000005</v>
      </c>
      <c r="R616" s="275">
        <v>1.20831</v>
      </c>
      <c r="S616" s="275">
        <v>1.33667</v>
      </c>
      <c r="T616" s="275">
        <v>1.4323699999999999</v>
      </c>
      <c r="U616" s="275"/>
      <c r="V616" s="275"/>
      <c r="W616" s="275"/>
      <c r="X616" s="275"/>
      <c r="Y616" s="275"/>
      <c r="Z616" s="275"/>
      <c r="AA616" s="275"/>
    </row>
    <row r="617" spans="1:27">
      <c r="A617" s="280"/>
      <c r="B617" s="274"/>
      <c r="C617" s="278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</row>
    <row r="618" spans="1:27">
      <c r="A618" s="280">
        <v>210</v>
      </c>
      <c r="B618" s="274">
        <v>71</v>
      </c>
      <c r="C618" s="278" t="s">
        <v>379</v>
      </c>
      <c r="D618" s="275" t="s">
        <v>434</v>
      </c>
      <c r="E618" s="275" t="s">
        <v>435</v>
      </c>
      <c r="F618" s="275" t="s">
        <v>436</v>
      </c>
      <c r="G618" s="275" t="s">
        <v>437</v>
      </c>
      <c r="H618" s="275" t="s">
        <v>438</v>
      </c>
      <c r="I618" s="275" t="s">
        <v>439</v>
      </c>
      <c r="J618" s="275" t="s">
        <v>440</v>
      </c>
      <c r="K618" s="275" t="s">
        <v>441</v>
      </c>
      <c r="L618" s="275" t="s">
        <v>442</v>
      </c>
      <c r="M618" s="275" t="s">
        <v>443</v>
      </c>
      <c r="N618" s="275" t="s">
        <v>444</v>
      </c>
      <c r="O618" s="275" t="s">
        <v>445</v>
      </c>
      <c r="P618" s="275" t="s">
        <v>446</v>
      </c>
      <c r="Q618" s="275" t="s">
        <v>447</v>
      </c>
      <c r="R618" s="275" t="s">
        <v>448</v>
      </c>
      <c r="S618" s="275" t="s">
        <v>449</v>
      </c>
      <c r="T618" s="275" t="s">
        <v>450</v>
      </c>
      <c r="U618" s="275"/>
      <c r="V618" s="275"/>
      <c r="W618" s="275"/>
      <c r="X618" s="275"/>
      <c r="Y618" s="275"/>
      <c r="Z618" s="275"/>
      <c r="AA618" s="275"/>
    </row>
    <row r="619" spans="1:27">
      <c r="A619" s="280"/>
      <c r="B619" s="274"/>
      <c r="C619" s="278"/>
      <c r="D619" s="275">
        <v>1.934E-2</v>
      </c>
      <c r="E619" s="275">
        <v>8.1180000000000002E-2</v>
      </c>
      <c r="F619" s="275">
        <v>6.7500000000000004E-2</v>
      </c>
      <c r="G619" s="275">
        <v>7.5079999999999994E-2</v>
      </c>
      <c r="H619" s="275">
        <v>0.21160000000000001</v>
      </c>
      <c r="I619" s="275">
        <v>0.20179</v>
      </c>
      <c r="J619" s="275">
        <v>0.21579999999999999</v>
      </c>
      <c r="K619" s="275">
        <v>0.18989</v>
      </c>
      <c r="L619" s="275">
        <v>0.19424</v>
      </c>
      <c r="M619" s="275">
        <v>0.47858000000000001</v>
      </c>
      <c r="N619" s="275">
        <v>0.48659999999999998</v>
      </c>
      <c r="O619" s="275">
        <v>0.51742999999999995</v>
      </c>
      <c r="P619" s="275">
        <v>0.54268000000000005</v>
      </c>
      <c r="Q619" s="275">
        <v>0.55413000000000001</v>
      </c>
      <c r="R619" s="275">
        <v>1.1878500000000001</v>
      </c>
      <c r="S619" s="275">
        <v>1.31446</v>
      </c>
      <c r="T619" s="275">
        <v>1.41279</v>
      </c>
      <c r="U619" s="275"/>
      <c r="V619" s="275"/>
      <c r="W619" s="275"/>
      <c r="X619" s="275"/>
      <c r="Y619" s="275"/>
      <c r="Z619" s="275"/>
      <c r="AA619" s="275"/>
    </row>
    <row r="620" spans="1:27">
      <c r="A620" s="280"/>
      <c r="B620" s="274"/>
      <c r="C620" s="278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</row>
    <row r="621" spans="1:27">
      <c r="A621" s="280">
        <v>211</v>
      </c>
      <c r="B621" s="274">
        <v>72</v>
      </c>
      <c r="C621" s="278" t="s">
        <v>380</v>
      </c>
      <c r="D621" s="275" t="s">
        <v>434</v>
      </c>
      <c r="E621" s="275" t="s">
        <v>435</v>
      </c>
      <c r="F621" s="275" t="s">
        <v>436</v>
      </c>
      <c r="G621" s="275" t="s">
        <v>437</v>
      </c>
      <c r="H621" s="275" t="s">
        <v>438</v>
      </c>
      <c r="I621" s="275" t="s">
        <v>439</v>
      </c>
      <c r="J621" s="275" t="s">
        <v>440</v>
      </c>
      <c r="K621" s="275" t="s">
        <v>441</v>
      </c>
      <c r="L621" s="275" t="s">
        <v>442</v>
      </c>
      <c r="M621" s="275" t="s">
        <v>443</v>
      </c>
      <c r="N621" s="275" t="s">
        <v>444</v>
      </c>
      <c r="O621" s="275" t="s">
        <v>445</v>
      </c>
      <c r="P621" s="275" t="s">
        <v>446</v>
      </c>
      <c r="Q621" s="275" t="s">
        <v>447</v>
      </c>
      <c r="R621" s="275" t="s">
        <v>448</v>
      </c>
      <c r="S621" s="275" t="s">
        <v>449</v>
      </c>
      <c r="T621" s="275" t="s">
        <v>450</v>
      </c>
      <c r="U621" s="275"/>
      <c r="V621" s="275"/>
      <c r="W621" s="275"/>
      <c r="X621" s="275"/>
      <c r="Y621" s="275"/>
      <c r="Z621" s="275"/>
      <c r="AA621" s="275"/>
    </row>
    <row r="622" spans="1:27">
      <c r="A622" s="280"/>
      <c r="B622" s="274"/>
      <c r="C622" s="278"/>
      <c r="D622" s="275">
        <v>1.9E-2</v>
      </c>
      <c r="E622" s="275">
        <v>7.9719999999999999E-2</v>
      </c>
      <c r="F622" s="275">
        <v>6.6220000000000001E-2</v>
      </c>
      <c r="G622" s="275">
        <v>7.3910000000000003E-2</v>
      </c>
      <c r="H622" s="275">
        <v>0.20765</v>
      </c>
      <c r="I622" s="275">
        <v>0.19789000000000001</v>
      </c>
      <c r="J622" s="275">
        <v>0.21207000000000001</v>
      </c>
      <c r="K622" s="275">
        <v>0.18640000000000001</v>
      </c>
      <c r="L622" s="275">
        <v>0.1908</v>
      </c>
      <c r="M622" s="275">
        <v>0.46871000000000002</v>
      </c>
      <c r="N622" s="275">
        <v>0.47597</v>
      </c>
      <c r="O622" s="275">
        <v>0.50699000000000005</v>
      </c>
      <c r="P622" s="275">
        <v>0.52964999999999995</v>
      </c>
      <c r="Q622" s="275">
        <v>0.54100999999999999</v>
      </c>
      <c r="R622" s="275">
        <v>1.15591</v>
      </c>
      <c r="S622" s="275">
        <v>1.2789900000000001</v>
      </c>
      <c r="T622" s="275">
        <v>1.3800300000000001</v>
      </c>
      <c r="U622" s="275"/>
      <c r="V622" s="275"/>
      <c r="W622" s="275"/>
      <c r="X622" s="275"/>
      <c r="Y622" s="275"/>
      <c r="Z622" s="275"/>
      <c r="AA622" s="275"/>
    </row>
    <row r="623" spans="1:27">
      <c r="A623" s="280"/>
      <c r="B623" s="274"/>
      <c r="C623" s="278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</row>
    <row r="624" spans="1:27">
      <c r="A624" s="280">
        <v>212</v>
      </c>
      <c r="B624" s="274">
        <v>72</v>
      </c>
      <c r="C624" s="278" t="s">
        <v>157</v>
      </c>
      <c r="D624" s="275" t="s">
        <v>434</v>
      </c>
      <c r="E624" s="275" t="s">
        <v>435</v>
      </c>
      <c r="F624" s="275" t="s">
        <v>436</v>
      </c>
      <c r="G624" s="275" t="s">
        <v>437</v>
      </c>
      <c r="H624" s="275" t="s">
        <v>438</v>
      </c>
      <c r="I624" s="275" t="s">
        <v>439</v>
      </c>
      <c r="J624" s="275" t="s">
        <v>440</v>
      </c>
      <c r="K624" s="275" t="s">
        <v>441</v>
      </c>
      <c r="L624" s="275" t="s">
        <v>442</v>
      </c>
      <c r="M624" s="275" t="s">
        <v>443</v>
      </c>
      <c r="N624" s="275" t="s">
        <v>444</v>
      </c>
      <c r="O624" s="275" t="s">
        <v>445</v>
      </c>
      <c r="P624" s="275" t="s">
        <v>446</v>
      </c>
      <c r="Q624" s="275" t="s">
        <v>447</v>
      </c>
      <c r="R624" s="275" t="s">
        <v>448</v>
      </c>
      <c r="S624" s="275" t="s">
        <v>449</v>
      </c>
      <c r="T624" s="275" t="s">
        <v>450</v>
      </c>
      <c r="U624" s="275"/>
      <c r="V624" s="275"/>
      <c r="W624" s="275"/>
      <c r="X624" s="275"/>
      <c r="Y624" s="275"/>
      <c r="Z624" s="275"/>
      <c r="AA624" s="275"/>
    </row>
    <row r="625" spans="1:27">
      <c r="A625" s="280"/>
      <c r="B625" s="274"/>
      <c r="C625" s="278"/>
      <c r="D625" s="275">
        <v>1.9E-2</v>
      </c>
      <c r="E625" s="275">
        <v>7.9719999999999999E-2</v>
      </c>
      <c r="F625" s="275">
        <v>6.6220000000000001E-2</v>
      </c>
      <c r="G625" s="275">
        <v>7.3910000000000003E-2</v>
      </c>
      <c r="H625" s="275">
        <v>0.20765</v>
      </c>
      <c r="I625" s="275">
        <v>0.19789000000000001</v>
      </c>
      <c r="J625" s="275">
        <v>0.21207000000000001</v>
      </c>
      <c r="K625" s="275">
        <v>0.18640000000000001</v>
      </c>
      <c r="L625" s="275">
        <v>0.1908</v>
      </c>
      <c r="M625" s="275">
        <v>0.46872000000000003</v>
      </c>
      <c r="N625" s="275">
        <v>0.47599999999999998</v>
      </c>
      <c r="O625" s="275">
        <v>0.50702000000000003</v>
      </c>
      <c r="P625" s="275">
        <v>0.52976999999999996</v>
      </c>
      <c r="Q625" s="275">
        <v>0.54113</v>
      </c>
      <c r="R625" s="275">
        <v>1.14991</v>
      </c>
      <c r="S625" s="275">
        <v>1.26631</v>
      </c>
      <c r="T625" s="275">
        <v>1.3620399999999999</v>
      </c>
      <c r="U625" s="275"/>
      <c r="V625" s="275"/>
      <c r="W625" s="275"/>
      <c r="X625" s="275"/>
      <c r="Y625" s="275"/>
      <c r="Z625" s="275"/>
      <c r="AA625" s="275"/>
    </row>
    <row r="626" spans="1:27">
      <c r="A626" s="280"/>
      <c r="B626" s="274"/>
      <c r="C626" s="278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</row>
    <row r="627" spans="1:27">
      <c r="A627" s="280">
        <v>213</v>
      </c>
      <c r="B627" s="274">
        <v>72</v>
      </c>
      <c r="C627" s="278" t="s">
        <v>158</v>
      </c>
      <c r="D627" s="275" t="s">
        <v>434</v>
      </c>
      <c r="E627" s="275" t="s">
        <v>435</v>
      </c>
      <c r="F627" s="275" t="s">
        <v>436</v>
      </c>
      <c r="G627" s="275" t="s">
        <v>437</v>
      </c>
      <c r="H627" s="275" t="s">
        <v>438</v>
      </c>
      <c r="I627" s="275" t="s">
        <v>439</v>
      </c>
      <c r="J627" s="275" t="s">
        <v>440</v>
      </c>
      <c r="K627" s="275" t="s">
        <v>441</v>
      </c>
      <c r="L627" s="275" t="s">
        <v>442</v>
      </c>
      <c r="M627" s="275" t="s">
        <v>443</v>
      </c>
      <c r="N627" s="275" t="s">
        <v>444</v>
      </c>
      <c r="O627" s="275" t="s">
        <v>445</v>
      </c>
      <c r="P627" s="275" t="s">
        <v>446</v>
      </c>
      <c r="Q627" s="275" t="s">
        <v>447</v>
      </c>
      <c r="R627" s="275" t="s">
        <v>448</v>
      </c>
      <c r="S627" s="275" t="s">
        <v>449</v>
      </c>
      <c r="T627" s="275" t="s">
        <v>450</v>
      </c>
      <c r="U627" s="275"/>
      <c r="V627" s="275"/>
      <c r="W627" s="275"/>
      <c r="X627" s="275"/>
      <c r="Y627" s="275"/>
      <c r="Z627" s="275"/>
      <c r="AA627" s="275"/>
    </row>
    <row r="628" spans="1:27">
      <c r="A628" s="280"/>
      <c r="B628" s="274"/>
      <c r="C628" s="278"/>
      <c r="D628" s="275">
        <v>1.9E-2</v>
      </c>
      <c r="E628" s="275">
        <v>7.9719999999999999E-2</v>
      </c>
      <c r="F628" s="275">
        <v>6.6220000000000001E-2</v>
      </c>
      <c r="G628" s="275">
        <v>7.3910000000000003E-2</v>
      </c>
      <c r="H628" s="275">
        <v>0.20765</v>
      </c>
      <c r="I628" s="275">
        <v>0.19788</v>
      </c>
      <c r="J628" s="275">
        <v>0.21207000000000001</v>
      </c>
      <c r="K628" s="275">
        <v>0.18639</v>
      </c>
      <c r="L628" s="275">
        <v>0.1908</v>
      </c>
      <c r="M628" s="275">
        <v>0.46873999999999999</v>
      </c>
      <c r="N628" s="275">
        <v>0.47603000000000001</v>
      </c>
      <c r="O628" s="275">
        <v>0.50705</v>
      </c>
      <c r="P628" s="275">
        <v>0.52990000000000004</v>
      </c>
      <c r="Q628" s="275">
        <v>0.54127000000000003</v>
      </c>
      <c r="R628" s="275">
        <v>1.1422600000000001</v>
      </c>
      <c r="S628" s="275">
        <v>1.25156</v>
      </c>
      <c r="T628" s="275">
        <v>1.34198</v>
      </c>
      <c r="U628" s="275"/>
      <c r="V628" s="275"/>
      <c r="W628" s="275"/>
      <c r="X628" s="275"/>
      <c r="Y628" s="275"/>
      <c r="Z628" s="275"/>
      <c r="AA628" s="275"/>
    </row>
    <row r="629" spans="1:27">
      <c r="A629" s="280"/>
      <c r="B629" s="274"/>
      <c r="C629" s="278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</row>
    <row r="630" spans="1:27">
      <c r="A630" s="280">
        <v>214</v>
      </c>
      <c r="B630" s="274">
        <v>73</v>
      </c>
      <c r="C630" s="278" t="s">
        <v>381</v>
      </c>
      <c r="D630" s="275" t="s">
        <v>434</v>
      </c>
      <c r="E630" s="275" t="s">
        <v>435</v>
      </c>
      <c r="F630" s="275" t="s">
        <v>436</v>
      </c>
      <c r="G630" s="275" t="s">
        <v>437</v>
      </c>
      <c r="H630" s="275" t="s">
        <v>438</v>
      </c>
      <c r="I630" s="275" t="s">
        <v>439</v>
      </c>
      <c r="J630" s="275" t="s">
        <v>440</v>
      </c>
      <c r="K630" s="275" t="s">
        <v>441</v>
      </c>
      <c r="L630" s="275" t="s">
        <v>442</v>
      </c>
      <c r="M630" s="275" t="s">
        <v>443</v>
      </c>
      <c r="N630" s="275" t="s">
        <v>444</v>
      </c>
      <c r="O630" s="275" t="s">
        <v>445</v>
      </c>
      <c r="P630" s="275" t="s">
        <v>446</v>
      </c>
      <c r="Q630" s="275" t="s">
        <v>447</v>
      </c>
      <c r="R630" s="275" t="s">
        <v>448</v>
      </c>
      <c r="S630" s="275" t="s">
        <v>449</v>
      </c>
      <c r="T630" s="275" t="s">
        <v>450</v>
      </c>
      <c r="U630" s="275"/>
      <c r="V630" s="275"/>
      <c r="W630" s="275"/>
      <c r="X630" s="275"/>
      <c r="Y630" s="275"/>
      <c r="Z630" s="275"/>
      <c r="AA630" s="275"/>
    </row>
    <row r="631" spans="1:27">
      <c r="A631" s="280"/>
      <c r="B631" s="274"/>
      <c r="C631" s="278"/>
      <c r="D631" s="275">
        <v>1.8679999999999999E-2</v>
      </c>
      <c r="E631" s="275">
        <v>7.8289999999999998E-2</v>
      </c>
      <c r="F631" s="275">
        <v>6.497E-2</v>
      </c>
      <c r="G631" s="275">
        <v>7.2779999999999997E-2</v>
      </c>
      <c r="H631" s="275">
        <v>0.20382</v>
      </c>
      <c r="I631" s="275">
        <v>0.19409999999999999</v>
      </c>
      <c r="J631" s="275">
        <v>0.20846999999999999</v>
      </c>
      <c r="K631" s="275">
        <v>0.18301999999999999</v>
      </c>
      <c r="L631" s="275">
        <v>0.18748000000000001</v>
      </c>
      <c r="M631" s="275">
        <v>0.45911999999999997</v>
      </c>
      <c r="N631" s="275">
        <v>0.46566000000000002</v>
      </c>
      <c r="O631" s="275">
        <v>0.49686000000000002</v>
      </c>
      <c r="P631" s="275">
        <v>0.51715999999999995</v>
      </c>
      <c r="Q631" s="275">
        <v>0.52844999999999998</v>
      </c>
      <c r="R631" s="275">
        <v>1.1195299999999999</v>
      </c>
      <c r="S631" s="275">
        <v>1.23271</v>
      </c>
      <c r="T631" s="275">
        <v>1.3310599999999999</v>
      </c>
      <c r="U631" s="275"/>
      <c r="V631" s="275"/>
      <c r="W631" s="275"/>
      <c r="X631" s="275"/>
      <c r="Y631" s="275"/>
      <c r="Z631" s="275"/>
      <c r="AA631" s="275"/>
    </row>
    <row r="632" spans="1:27">
      <c r="A632" s="280"/>
      <c r="B632" s="274"/>
      <c r="C632" s="278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</row>
    <row r="633" spans="1:27">
      <c r="A633" s="280">
        <v>215</v>
      </c>
      <c r="B633" s="274">
        <v>73</v>
      </c>
      <c r="C633" s="278" t="s">
        <v>159</v>
      </c>
      <c r="D633" s="275" t="s">
        <v>434</v>
      </c>
      <c r="E633" s="275" t="s">
        <v>435</v>
      </c>
      <c r="F633" s="275" t="s">
        <v>436</v>
      </c>
      <c r="G633" s="275" t="s">
        <v>437</v>
      </c>
      <c r="H633" s="275" t="s">
        <v>438</v>
      </c>
      <c r="I633" s="275" t="s">
        <v>439</v>
      </c>
      <c r="J633" s="275" t="s">
        <v>440</v>
      </c>
      <c r="K633" s="275" t="s">
        <v>441</v>
      </c>
      <c r="L633" s="275" t="s">
        <v>442</v>
      </c>
      <c r="M633" s="275" t="s">
        <v>443</v>
      </c>
      <c r="N633" s="275" t="s">
        <v>444</v>
      </c>
      <c r="O633" s="275" t="s">
        <v>445</v>
      </c>
      <c r="P633" s="275" t="s">
        <v>446</v>
      </c>
      <c r="Q633" s="275" t="s">
        <v>447</v>
      </c>
      <c r="R633" s="275" t="s">
        <v>448</v>
      </c>
      <c r="S633" s="275" t="s">
        <v>449</v>
      </c>
      <c r="T633" s="275" t="s">
        <v>450</v>
      </c>
      <c r="U633" s="275"/>
      <c r="V633" s="275"/>
      <c r="W633" s="275"/>
      <c r="X633" s="275"/>
      <c r="Y633" s="275"/>
      <c r="Z633" s="275"/>
      <c r="AA633" s="275"/>
    </row>
    <row r="634" spans="1:27">
      <c r="A634" s="280"/>
      <c r="B634" s="274"/>
      <c r="C634" s="278"/>
      <c r="D634" s="275">
        <v>1.8679999999999999E-2</v>
      </c>
      <c r="E634" s="275">
        <v>7.8289999999999998E-2</v>
      </c>
      <c r="F634" s="275">
        <v>6.497E-2</v>
      </c>
      <c r="G634" s="275">
        <v>7.2779999999999997E-2</v>
      </c>
      <c r="H634" s="275">
        <v>0.20382</v>
      </c>
      <c r="I634" s="275">
        <v>0.19409999999999999</v>
      </c>
      <c r="J634" s="275">
        <v>0.20846000000000001</v>
      </c>
      <c r="K634" s="275">
        <v>0.18301999999999999</v>
      </c>
      <c r="L634" s="275">
        <v>0.18748000000000001</v>
      </c>
      <c r="M634" s="275">
        <v>0.45911999999999997</v>
      </c>
      <c r="N634" s="275">
        <v>0.46566999999999997</v>
      </c>
      <c r="O634" s="275">
        <v>0.49686999999999998</v>
      </c>
      <c r="P634" s="275">
        <v>0.51724000000000003</v>
      </c>
      <c r="Q634" s="275">
        <v>0.52853000000000006</v>
      </c>
      <c r="R634" s="275">
        <v>1.11408</v>
      </c>
      <c r="S634" s="275">
        <v>1.2215</v>
      </c>
      <c r="T634" s="275">
        <v>1.3151200000000001</v>
      </c>
      <c r="U634" s="275"/>
      <c r="V634" s="275"/>
      <c r="W634" s="275"/>
      <c r="X634" s="275"/>
      <c r="Y634" s="275"/>
      <c r="Z634" s="275"/>
      <c r="AA634" s="275"/>
    </row>
    <row r="635" spans="1:27">
      <c r="A635" s="280"/>
      <c r="B635" s="274"/>
      <c r="C635" s="278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</row>
    <row r="636" spans="1:27">
      <c r="A636" s="280">
        <v>216</v>
      </c>
      <c r="B636" s="274">
        <v>73</v>
      </c>
      <c r="C636" s="278" t="s">
        <v>160</v>
      </c>
      <c r="D636" s="275" t="s">
        <v>434</v>
      </c>
      <c r="E636" s="275" t="s">
        <v>435</v>
      </c>
      <c r="F636" s="275" t="s">
        <v>436</v>
      </c>
      <c r="G636" s="275" t="s">
        <v>437</v>
      </c>
      <c r="H636" s="275" t="s">
        <v>438</v>
      </c>
      <c r="I636" s="275" t="s">
        <v>439</v>
      </c>
      <c r="J636" s="275" t="s">
        <v>440</v>
      </c>
      <c r="K636" s="275" t="s">
        <v>441</v>
      </c>
      <c r="L636" s="275" t="s">
        <v>442</v>
      </c>
      <c r="M636" s="275" t="s">
        <v>443</v>
      </c>
      <c r="N636" s="275" t="s">
        <v>444</v>
      </c>
      <c r="O636" s="275" t="s">
        <v>445</v>
      </c>
      <c r="P636" s="275" t="s">
        <v>446</v>
      </c>
      <c r="Q636" s="275" t="s">
        <v>447</v>
      </c>
      <c r="R636" s="275" t="s">
        <v>448</v>
      </c>
      <c r="S636" s="275" t="s">
        <v>449</v>
      </c>
      <c r="T636" s="275" t="s">
        <v>450</v>
      </c>
      <c r="U636" s="275"/>
      <c r="V636" s="275"/>
      <c r="W636" s="275"/>
      <c r="X636" s="275"/>
      <c r="Y636" s="275"/>
      <c r="Z636" s="275"/>
      <c r="AA636" s="275"/>
    </row>
    <row r="637" spans="1:27">
      <c r="A637" s="280"/>
      <c r="B637" s="274"/>
      <c r="C637" s="278"/>
      <c r="D637" s="275">
        <v>1.8679999999999999E-2</v>
      </c>
      <c r="E637" s="275">
        <v>7.8289999999999998E-2</v>
      </c>
      <c r="F637" s="275">
        <v>6.497E-2</v>
      </c>
      <c r="G637" s="275">
        <v>7.2779999999999997E-2</v>
      </c>
      <c r="H637" s="275">
        <v>0.20380999999999999</v>
      </c>
      <c r="I637" s="275">
        <v>0.19409000000000001</v>
      </c>
      <c r="J637" s="275">
        <v>0.20846000000000001</v>
      </c>
      <c r="K637" s="275">
        <v>0.18301999999999999</v>
      </c>
      <c r="L637" s="275">
        <v>0.18747</v>
      </c>
      <c r="M637" s="275">
        <v>0.45912999999999998</v>
      </c>
      <c r="N637" s="275">
        <v>0.46568999999999999</v>
      </c>
      <c r="O637" s="275">
        <v>0.49689</v>
      </c>
      <c r="P637" s="275">
        <v>0.51732999999999996</v>
      </c>
      <c r="Q637" s="275">
        <v>0.52861999999999998</v>
      </c>
      <c r="R637" s="275">
        <v>1.1071899999999999</v>
      </c>
      <c r="S637" s="275">
        <v>1.2084900000000001</v>
      </c>
      <c r="T637" s="275">
        <v>1.2973300000000001</v>
      </c>
      <c r="U637" s="275"/>
      <c r="V637" s="275"/>
      <c r="W637" s="275"/>
      <c r="X637" s="275"/>
      <c r="Y637" s="275"/>
      <c r="Z637" s="275"/>
      <c r="AA637" s="275"/>
    </row>
    <row r="638" spans="1:27">
      <c r="A638" s="280"/>
      <c r="B638" s="274"/>
      <c r="C638" s="278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</row>
    <row r="639" spans="1:27">
      <c r="A639" s="280">
        <v>217</v>
      </c>
      <c r="B639" s="274">
        <v>73</v>
      </c>
      <c r="C639" s="278" t="s">
        <v>161</v>
      </c>
      <c r="D639" s="275" t="s">
        <v>434</v>
      </c>
      <c r="E639" s="275" t="s">
        <v>435</v>
      </c>
      <c r="F639" s="275" t="s">
        <v>436</v>
      </c>
      <c r="G639" s="275" t="s">
        <v>437</v>
      </c>
      <c r="H639" s="275" t="s">
        <v>438</v>
      </c>
      <c r="I639" s="275" t="s">
        <v>439</v>
      </c>
      <c r="J639" s="275" t="s">
        <v>440</v>
      </c>
      <c r="K639" s="275" t="s">
        <v>441</v>
      </c>
      <c r="L639" s="275" t="s">
        <v>442</v>
      </c>
      <c r="M639" s="275" t="s">
        <v>443</v>
      </c>
      <c r="N639" s="275" t="s">
        <v>444</v>
      </c>
      <c r="O639" s="275" t="s">
        <v>445</v>
      </c>
      <c r="P639" s="275" t="s">
        <v>446</v>
      </c>
      <c r="Q639" s="275" t="s">
        <v>447</v>
      </c>
      <c r="R639" s="275" t="s">
        <v>448</v>
      </c>
      <c r="S639" s="275" t="s">
        <v>449</v>
      </c>
      <c r="T639" s="275" t="s">
        <v>450</v>
      </c>
      <c r="U639" s="275"/>
      <c r="V639" s="275"/>
      <c r="W639" s="275"/>
      <c r="X639" s="275"/>
      <c r="Y639" s="275"/>
      <c r="Z639" s="275"/>
      <c r="AA639" s="275"/>
    </row>
    <row r="640" spans="1:27">
      <c r="A640" s="280"/>
      <c r="B640" s="274"/>
      <c r="C640" s="278"/>
      <c r="D640" s="275">
        <v>1.8679999999999999E-2</v>
      </c>
      <c r="E640" s="275">
        <v>7.8289999999999998E-2</v>
      </c>
      <c r="F640" s="275">
        <v>6.4960000000000004E-2</v>
      </c>
      <c r="G640" s="275">
        <v>7.2779999999999997E-2</v>
      </c>
      <c r="H640" s="275">
        <v>0.20380999999999999</v>
      </c>
      <c r="I640" s="275">
        <v>0.19409000000000001</v>
      </c>
      <c r="J640" s="275">
        <v>0.20845</v>
      </c>
      <c r="K640" s="275">
        <v>0.18301999999999999</v>
      </c>
      <c r="L640" s="275">
        <v>0.18747</v>
      </c>
      <c r="M640" s="275">
        <v>0.45912999999999998</v>
      </c>
      <c r="N640" s="275">
        <v>0.4657</v>
      </c>
      <c r="O640" s="275">
        <v>0.49690000000000001</v>
      </c>
      <c r="P640" s="275">
        <v>0.51741000000000004</v>
      </c>
      <c r="Q640" s="275">
        <v>0.52868999999999999</v>
      </c>
      <c r="R640" s="275">
        <v>1.09927</v>
      </c>
      <c r="S640" s="275">
        <v>1.1944999999999999</v>
      </c>
      <c r="T640" s="275">
        <v>1.2787999999999999</v>
      </c>
      <c r="U640" s="275"/>
      <c r="V640" s="275"/>
      <c r="W640" s="275"/>
      <c r="X640" s="275"/>
      <c r="Y640" s="275"/>
      <c r="Z640" s="275"/>
      <c r="AA640" s="275"/>
    </row>
    <row r="641" spans="1:27">
      <c r="A641" s="280"/>
      <c r="B641" s="274"/>
      <c r="C641" s="278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</row>
    <row r="642" spans="1:27">
      <c r="A642" s="280">
        <v>218</v>
      </c>
      <c r="B642" s="274">
        <v>74</v>
      </c>
      <c r="C642" s="278" t="s">
        <v>162</v>
      </c>
      <c r="D642" s="275" t="s">
        <v>434</v>
      </c>
      <c r="E642" s="275" t="s">
        <v>435</v>
      </c>
      <c r="F642" s="275" t="s">
        <v>436</v>
      </c>
      <c r="G642" s="275" t="s">
        <v>437</v>
      </c>
      <c r="H642" s="275" t="s">
        <v>438</v>
      </c>
      <c r="I642" s="275" t="s">
        <v>439</v>
      </c>
      <c r="J642" s="275" t="s">
        <v>440</v>
      </c>
      <c r="K642" s="275" t="s">
        <v>441</v>
      </c>
      <c r="L642" s="275" t="s">
        <v>442</v>
      </c>
      <c r="M642" s="275" t="s">
        <v>443</v>
      </c>
      <c r="N642" s="275" t="s">
        <v>444</v>
      </c>
      <c r="O642" s="275" t="s">
        <v>445</v>
      </c>
      <c r="P642" s="275" t="s">
        <v>446</v>
      </c>
      <c r="Q642" s="275" t="s">
        <v>447</v>
      </c>
      <c r="R642" s="275" t="s">
        <v>448</v>
      </c>
      <c r="S642" s="275" t="s">
        <v>449</v>
      </c>
      <c r="T642" s="275" t="s">
        <v>450</v>
      </c>
      <c r="U642" s="275"/>
      <c r="V642" s="275"/>
      <c r="W642" s="275"/>
      <c r="X642" s="275"/>
      <c r="Y642" s="275"/>
      <c r="Z642" s="275"/>
      <c r="AA642" s="275"/>
    </row>
    <row r="643" spans="1:27">
      <c r="A643" s="280"/>
      <c r="B643" s="274"/>
      <c r="C643" s="278"/>
      <c r="D643" s="275">
        <v>1.8360000000000001E-2</v>
      </c>
      <c r="E643" s="275">
        <v>7.6899999999999996E-2</v>
      </c>
      <c r="F643" s="275">
        <v>6.3750000000000001E-2</v>
      </c>
      <c r="G643" s="275">
        <v>7.1669999999999998E-2</v>
      </c>
      <c r="H643" s="275">
        <v>0.2001</v>
      </c>
      <c r="I643" s="275">
        <v>0.19042000000000001</v>
      </c>
      <c r="J643" s="275">
        <v>0.20498</v>
      </c>
      <c r="K643" s="275">
        <v>0.17976</v>
      </c>
      <c r="L643" s="275">
        <v>0.18426999999999999</v>
      </c>
      <c r="M643" s="275">
        <v>0.44975999999999999</v>
      </c>
      <c r="N643" s="275">
        <v>0.45565</v>
      </c>
      <c r="O643" s="275">
        <v>0.48703999999999997</v>
      </c>
      <c r="P643" s="275">
        <v>0.50512000000000001</v>
      </c>
      <c r="Q643" s="275">
        <v>0.51634000000000002</v>
      </c>
      <c r="R643" s="275">
        <v>1.0839399999999999</v>
      </c>
      <c r="S643" s="275">
        <v>1.19137</v>
      </c>
      <c r="T643" s="275">
        <v>1.28982</v>
      </c>
      <c r="U643" s="275"/>
      <c r="V643" s="275"/>
      <c r="W643" s="275"/>
      <c r="X643" s="275"/>
      <c r="Y643" s="275"/>
      <c r="Z643" s="275"/>
      <c r="AA643" s="275"/>
    </row>
    <row r="644" spans="1:27">
      <c r="A644" s="280"/>
      <c r="B644" s="274"/>
      <c r="C644" s="278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</row>
    <row r="645" spans="1:27">
      <c r="A645" s="280">
        <v>219</v>
      </c>
      <c r="B645" s="274">
        <v>74</v>
      </c>
      <c r="C645" s="278" t="s">
        <v>163</v>
      </c>
      <c r="D645" s="275" t="s">
        <v>434</v>
      </c>
      <c r="E645" s="275" t="s">
        <v>435</v>
      </c>
      <c r="F645" s="275" t="s">
        <v>436</v>
      </c>
      <c r="G645" s="275" t="s">
        <v>437</v>
      </c>
      <c r="H645" s="275" t="s">
        <v>438</v>
      </c>
      <c r="I645" s="275" t="s">
        <v>439</v>
      </c>
      <c r="J645" s="275" t="s">
        <v>440</v>
      </c>
      <c r="K645" s="275" t="s">
        <v>441</v>
      </c>
      <c r="L645" s="275" t="s">
        <v>442</v>
      </c>
      <c r="M645" s="275" t="s">
        <v>443</v>
      </c>
      <c r="N645" s="275" t="s">
        <v>444</v>
      </c>
      <c r="O645" s="275" t="s">
        <v>445</v>
      </c>
      <c r="P645" s="275" t="s">
        <v>446</v>
      </c>
      <c r="Q645" s="275" t="s">
        <v>447</v>
      </c>
      <c r="R645" s="275" t="s">
        <v>448</v>
      </c>
      <c r="S645" s="275" t="s">
        <v>449</v>
      </c>
      <c r="T645" s="275" t="s">
        <v>450</v>
      </c>
      <c r="U645" s="275"/>
      <c r="V645" s="275"/>
      <c r="W645" s="275"/>
      <c r="X645" s="275"/>
      <c r="Y645" s="275"/>
      <c r="Z645" s="275"/>
      <c r="AA645" s="275"/>
    </row>
    <row r="646" spans="1:27">
      <c r="A646" s="280"/>
      <c r="B646" s="274"/>
      <c r="C646" s="278"/>
      <c r="D646" s="275">
        <v>1.8360000000000001E-2</v>
      </c>
      <c r="E646" s="275">
        <v>7.6899999999999996E-2</v>
      </c>
      <c r="F646" s="275">
        <v>6.3750000000000001E-2</v>
      </c>
      <c r="G646" s="275">
        <v>7.1669999999999998E-2</v>
      </c>
      <c r="H646" s="275">
        <v>0.2001</v>
      </c>
      <c r="I646" s="275">
        <v>0.19042000000000001</v>
      </c>
      <c r="J646" s="275">
        <v>0.20498</v>
      </c>
      <c r="K646" s="275">
        <v>0.17976</v>
      </c>
      <c r="L646" s="275">
        <v>0.18426999999999999</v>
      </c>
      <c r="M646" s="275">
        <v>0.44978000000000001</v>
      </c>
      <c r="N646" s="275">
        <v>0.45563999999999999</v>
      </c>
      <c r="O646" s="275">
        <v>0.48701</v>
      </c>
      <c r="P646" s="275">
        <v>0.50507999999999997</v>
      </c>
      <c r="Q646" s="275">
        <v>0.51629999999999998</v>
      </c>
      <c r="R646" s="275">
        <v>1.0852999999999999</v>
      </c>
      <c r="S646" s="275">
        <v>1.1898299999999999</v>
      </c>
      <c r="T646" s="275">
        <v>1.28603</v>
      </c>
      <c r="U646" s="275"/>
      <c r="V646" s="275"/>
      <c r="W646" s="275"/>
      <c r="X646" s="275"/>
      <c r="Y646" s="275"/>
      <c r="Z646" s="275"/>
      <c r="AA646" s="275"/>
    </row>
    <row r="647" spans="1:27">
      <c r="A647" s="280"/>
      <c r="B647" s="274"/>
      <c r="C647" s="278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</row>
    <row r="648" spans="1:27">
      <c r="A648" s="280">
        <v>220</v>
      </c>
      <c r="B648" s="274">
        <v>74</v>
      </c>
      <c r="C648" s="278" t="s">
        <v>164</v>
      </c>
      <c r="D648" s="275" t="s">
        <v>434</v>
      </c>
      <c r="E648" s="275" t="s">
        <v>435</v>
      </c>
      <c r="F648" s="275" t="s">
        <v>436</v>
      </c>
      <c r="G648" s="275" t="s">
        <v>437</v>
      </c>
      <c r="H648" s="275" t="s">
        <v>438</v>
      </c>
      <c r="I648" s="275" t="s">
        <v>439</v>
      </c>
      <c r="J648" s="275" t="s">
        <v>440</v>
      </c>
      <c r="K648" s="275" t="s">
        <v>441</v>
      </c>
      <c r="L648" s="275" t="s">
        <v>442</v>
      </c>
      <c r="M648" s="275" t="s">
        <v>443</v>
      </c>
      <c r="N648" s="275" t="s">
        <v>444</v>
      </c>
      <c r="O648" s="275" t="s">
        <v>445</v>
      </c>
      <c r="P648" s="275" t="s">
        <v>446</v>
      </c>
      <c r="Q648" s="275" t="s">
        <v>447</v>
      </c>
      <c r="R648" s="275" t="s">
        <v>448</v>
      </c>
      <c r="S648" s="275" t="s">
        <v>449</v>
      </c>
      <c r="T648" s="275" t="s">
        <v>450</v>
      </c>
      <c r="U648" s="275"/>
      <c r="V648" s="275"/>
      <c r="W648" s="275"/>
      <c r="X648" s="275"/>
      <c r="Y648" s="275"/>
      <c r="Z648" s="275"/>
      <c r="AA648" s="275"/>
    </row>
    <row r="649" spans="1:27">
      <c r="A649" s="280"/>
      <c r="B649" s="274"/>
      <c r="C649" s="278"/>
      <c r="D649" s="275">
        <v>1.8360000000000001E-2</v>
      </c>
      <c r="E649" s="275">
        <v>7.6899999999999996E-2</v>
      </c>
      <c r="F649" s="275">
        <v>6.3750000000000001E-2</v>
      </c>
      <c r="G649" s="275">
        <v>7.1669999999999998E-2</v>
      </c>
      <c r="H649" s="275">
        <v>0.2001</v>
      </c>
      <c r="I649" s="275">
        <v>0.19042000000000001</v>
      </c>
      <c r="J649" s="275">
        <v>0.20497000000000001</v>
      </c>
      <c r="K649" s="275">
        <v>0.17976</v>
      </c>
      <c r="L649" s="275">
        <v>0.18426999999999999</v>
      </c>
      <c r="M649" s="275">
        <v>0.44978000000000001</v>
      </c>
      <c r="N649" s="275">
        <v>0.45565</v>
      </c>
      <c r="O649" s="275">
        <v>0.48702000000000001</v>
      </c>
      <c r="P649" s="275">
        <v>0.50514000000000003</v>
      </c>
      <c r="Q649" s="275">
        <v>0.51636000000000004</v>
      </c>
      <c r="R649" s="275">
        <v>1.0803100000000001</v>
      </c>
      <c r="S649" s="275">
        <v>1.1798200000000001</v>
      </c>
      <c r="T649" s="275">
        <v>1.2717000000000001</v>
      </c>
      <c r="U649" s="275"/>
      <c r="V649" s="275"/>
      <c r="W649" s="275"/>
      <c r="X649" s="275"/>
      <c r="Y649" s="275"/>
      <c r="Z649" s="275"/>
      <c r="AA649" s="275"/>
    </row>
    <row r="650" spans="1:27">
      <c r="A650" s="280"/>
      <c r="B650" s="274"/>
      <c r="C650" s="278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</row>
    <row r="651" spans="1:27">
      <c r="A651" s="280">
        <v>221</v>
      </c>
      <c r="B651" s="274">
        <v>74</v>
      </c>
      <c r="C651" s="278" t="s">
        <v>165</v>
      </c>
      <c r="D651" s="275" t="s">
        <v>434</v>
      </c>
      <c r="E651" s="275" t="s">
        <v>435</v>
      </c>
      <c r="F651" s="275" t="s">
        <v>436</v>
      </c>
      <c r="G651" s="275" t="s">
        <v>437</v>
      </c>
      <c r="H651" s="275" t="s">
        <v>438</v>
      </c>
      <c r="I651" s="275" t="s">
        <v>439</v>
      </c>
      <c r="J651" s="275" t="s">
        <v>440</v>
      </c>
      <c r="K651" s="275" t="s">
        <v>441</v>
      </c>
      <c r="L651" s="275" t="s">
        <v>442</v>
      </c>
      <c r="M651" s="275" t="s">
        <v>443</v>
      </c>
      <c r="N651" s="275" t="s">
        <v>444</v>
      </c>
      <c r="O651" s="275" t="s">
        <v>445</v>
      </c>
      <c r="P651" s="275" t="s">
        <v>446</v>
      </c>
      <c r="Q651" s="275" t="s">
        <v>447</v>
      </c>
      <c r="R651" s="275" t="s">
        <v>448</v>
      </c>
      <c r="S651" s="275" t="s">
        <v>449</v>
      </c>
      <c r="T651" s="275" t="s">
        <v>450</v>
      </c>
      <c r="U651" s="275"/>
      <c r="V651" s="275"/>
      <c r="W651" s="275"/>
      <c r="X651" s="275"/>
      <c r="Y651" s="275"/>
      <c r="Z651" s="275"/>
      <c r="AA651" s="275"/>
    </row>
    <row r="652" spans="1:27">
      <c r="A652" s="280"/>
      <c r="B652" s="274"/>
      <c r="C652" s="278"/>
      <c r="D652" s="275">
        <v>1.8360000000000001E-2</v>
      </c>
      <c r="E652" s="275">
        <v>7.6899999999999996E-2</v>
      </c>
      <c r="F652" s="275">
        <v>6.3750000000000001E-2</v>
      </c>
      <c r="G652" s="275">
        <v>7.1669999999999998E-2</v>
      </c>
      <c r="H652" s="275">
        <v>0.20008999999999999</v>
      </c>
      <c r="I652" s="275">
        <v>0.19041</v>
      </c>
      <c r="J652" s="275">
        <v>0.20497000000000001</v>
      </c>
      <c r="K652" s="275">
        <v>0.17976</v>
      </c>
      <c r="L652" s="275">
        <v>0.18426999999999999</v>
      </c>
      <c r="M652" s="275">
        <v>0.44978000000000001</v>
      </c>
      <c r="N652" s="275">
        <v>0.45565</v>
      </c>
      <c r="O652" s="275">
        <v>0.48702000000000001</v>
      </c>
      <c r="P652" s="275">
        <v>0.50519999999999998</v>
      </c>
      <c r="Q652" s="275">
        <v>0.51641000000000004</v>
      </c>
      <c r="R652" s="275">
        <v>1.0740799999999999</v>
      </c>
      <c r="S652" s="275">
        <v>1.16825</v>
      </c>
      <c r="T652" s="275">
        <v>1.2557700000000001</v>
      </c>
      <c r="U652" s="275"/>
      <c r="V652" s="275"/>
      <c r="W652" s="275"/>
      <c r="X652" s="275"/>
      <c r="Y652" s="275"/>
      <c r="Z652" s="275"/>
      <c r="AA652" s="275"/>
    </row>
    <row r="653" spans="1:27">
      <c r="A653" s="280"/>
      <c r="B653" s="274"/>
      <c r="C653" s="278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</row>
    <row r="654" spans="1:27">
      <c r="A654" s="280">
        <v>222</v>
      </c>
      <c r="B654" s="274">
        <v>74</v>
      </c>
      <c r="C654" s="278" t="s">
        <v>166</v>
      </c>
      <c r="D654" s="275" t="s">
        <v>434</v>
      </c>
      <c r="E654" s="275" t="s">
        <v>435</v>
      </c>
      <c r="F654" s="275" t="s">
        <v>436</v>
      </c>
      <c r="G654" s="275" t="s">
        <v>437</v>
      </c>
      <c r="H654" s="275" t="s">
        <v>438</v>
      </c>
      <c r="I654" s="275" t="s">
        <v>439</v>
      </c>
      <c r="J654" s="275" t="s">
        <v>440</v>
      </c>
      <c r="K654" s="275" t="s">
        <v>441</v>
      </c>
      <c r="L654" s="275" t="s">
        <v>442</v>
      </c>
      <c r="M654" s="275" t="s">
        <v>443</v>
      </c>
      <c r="N654" s="275" t="s">
        <v>444</v>
      </c>
      <c r="O654" s="275" t="s">
        <v>445</v>
      </c>
      <c r="P654" s="275" t="s">
        <v>446</v>
      </c>
      <c r="Q654" s="275" t="s">
        <v>447</v>
      </c>
      <c r="R654" s="275" t="s">
        <v>448</v>
      </c>
      <c r="S654" s="275" t="s">
        <v>449</v>
      </c>
      <c r="T654" s="275" t="s">
        <v>450</v>
      </c>
      <c r="U654" s="275"/>
      <c r="V654" s="275"/>
      <c r="W654" s="275"/>
      <c r="X654" s="275"/>
      <c r="Y654" s="275"/>
      <c r="Z654" s="275"/>
      <c r="AA654" s="275"/>
    </row>
    <row r="655" spans="1:27">
      <c r="A655" s="280"/>
      <c r="B655" s="274"/>
      <c r="C655" s="278"/>
      <c r="D655" s="275">
        <v>1.8360000000000001E-2</v>
      </c>
      <c r="E655" s="275">
        <v>7.6899999999999996E-2</v>
      </c>
      <c r="F655" s="275">
        <v>6.3750000000000001E-2</v>
      </c>
      <c r="G655" s="275">
        <v>7.1669999999999998E-2</v>
      </c>
      <c r="H655" s="275">
        <v>0.20008999999999999</v>
      </c>
      <c r="I655" s="275">
        <v>0.19041</v>
      </c>
      <c r="J655" s="275">
        <v>0.20496</v>
      </c>
      <c r="K655" s="275">
        <v>0.17976</v>
      </c>
      <c r="L655" s="275">
        <v>0.18426000000000001</v>
      </c>
      <c r="M655" s="275">
        <v>0.44978000000000001</v>
      </c>
      <c r="N655" s="275">
        <v>0.45565</v>
      </c>
      <c r="O655" s="275">
        <v>0.48701</v>
      </c>
      <c r="P655" s="275">
        <v>0.50524999999999998</v>
      </c>
      <c r="Q655" s="275">
        <v>0.51644000000000001</v>
      </c>
      <c r="R655" s="275">
        <v>1.06691</v>
      </c>
      <c r="S655" s="275">
        <v>1.1557500000000001</v>
      </c>
      <c r="T655" s="275">
        <v>1.2391099999999999</v>
      </c>
      <c r="U655" s="275"/>
      <c r="V655" s="275"/>
      <c r="W655" s="275"/>
      <c r="X655" s="275"/>
      <c r="Y655" s="275"/>
      <c r="Z655" s="275"/>
      <c r="AA655" s="275"/>
    </row>
    <row r="656" spans="1:27">
      <c r="A656" s="280"/>
      <c r="B656" s="274"/>
      <c r="C656" s="278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</row>
    <row r="657" spans="1:27">
      <c r="A657" s="280">
        <v>223</v>
      </c>
      <c r="B657" s="274">
        <v>74</v>
      </c>
      <c r="C657" s="278" t="s">
        <v>167</v>
      </c>
      <c r="D657" s="275" t="s">
        <v>434</v>
      </c>
      <c r="E657" s="275" t="s">
        <v>435</v>
      </c>
      <c r="F657" s="275" t="s">
        <v>436</v>
      </c>
      <c r="G657" s="275" t="s">
        <v>437</v>
      </c>
      <c r="H657" s="275" t="s">
        <v>438</v>
      </c>
      <c r="I657" s="275" t="s">
        <v>439</v>
      </c>
      <c r="J657" s="275" t="s">
        <v>440</v>
      </c>
      <c r="K657" s="275" t="s">
        <v>441</v>
      </c>
      <c r="L657" s="275" t="s">
        <v>442</v>
      </c>
      <c r="M657" s="275" t="s">
        <v>443</v>
      </c>
      <c r="N657" s="275" t="s">
        <v>444</v>
      </c>
      <c r="O657" s="275" t="s">
        <v>445</v>
      </c>
      <c r="P657" s="275" t="s">
        <v>446</v>
      </c>
      <c r="Q657" s="275" t="s">
        <v>447</v>
      </c>
      <c r="R657" s="275" t="s">
        <v>448</v>
      </c>
      <c r="S657" s="275" t="s">
        <v>449</v>
      </c>
      <c r="T657" s="275" t="s">
        <v>450</v>
      </c>
      <c r="U657" s="275"/>
      <c r="V657" s="275"/>
      <c r="W657" s="275"/>
      <c r="X657" s="275"/>
      <c r="Y657" s="275"/>
      <c r="Z657" s="275"/>
      <c r="AA657" s="275"/>
    </row>
    <row r="658" spans="1:27">
      <c r="A658" s="280"/>
      <c r="B658" s="274"/>
      <c r="C658" s="278"/>
      <c r="D658" s="275">
        <v>1.8360000000000001E-2</v>
      </c>
      <c r="E658" s="275">
        <v>7.6899999999999996E-2</v>
      </c>
      <c r="F658" s="275">
        <v>6.3750000000000001E-2</v>
      </c>
      <c r="G658" s="275">
        <v>7.1669999999999998E-2</v>
      </c>
      <c r="H658" s="275">
        <v>0.20008000000000001</v>
      </c>
      <c r="I658" s="275">
        <v>0.19040000000000001</v>
      </c>
      <c r="J658" s="275">
        <v>0.20496</v>
      </c>
      <c r="K658" s="275">
        <v>0.17976</v>
      </c>
      <c r="L658" s="275">
        <v>0.18426000000000001</v>
      </c>
      <c r="M658" s="275">
        <v>0.44975999999999999</v>
      </c>
      <c r="N658" s="275">
        <v>0.45565</v>
      </c>
      <c r="O658" s="275">
        <v>0.48698999999999998</v>
      </c>
      <c r="P658" s="275">
        <v>0.50527</v>
      </c>
      <c r="Q658" s="275">
        <v>0.51644999999999996</v>
      </c>
      <c r="R658" s="275">
        <v>1.05907</v>
      </c>
      <c r="S658" s="275">
        <v>1.1427499999999999</v>
      </c>
      <c r="T658" s="275">
        <v>1.22224</v>
      </c>
      <c r="U658" s="275"/>
      <c r="V658" s="275"/>
      <c r="W658" s="275"/>
      <c r="X658" s="275"/>
      <c r="Y658" s="275"/>
      <c r="Z658" s="275"/>
      <c r="AA658" s="275"/>
    </row>
    <row r="659" spans="1:27">
      <c r="A659" s="280"/>
      <c r="B659" s="274"/>
      <c r="C659" s="278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</row>
    <row r="660" spans="1:27">
      <c r="A660" s="280">
        <v>224</v>
      </c>
      <c r="B660" s="274">
        <v>75</v>
      </c>
      <c r="C660" s="278" t="s">
        <v>168</v>
      </c>
      <c r="D660" s="275" t="s">
        <v>434</v>
      </c>
      <c r="E660" s="275" t="s">
        <v>435</v>
      </c>
      <c r="F660" s="275" t="s">
        <v>436</v>
      </c>
      <c r="G660" s="275" t="s">
        <v>437</v>
      </c>
      <c r="H660" s="275" t="s">
        <v>438</v>
      </c>
      <c r="I660" s="275" t="s">
        <v>439</v>
      </c>
      <c r="J660" s="275" t="s">
        <v>440</v>
      </c>
      <c r="K660" s="275" t="s">
        <v>441</v>
      </c>
      <c r="L660" s="275" t="s">
        <v>442</v>
      </c>
      <c r="M660" s="275" t="s">
        <v>443</v>
      </c>
      <c r="N660" s="275" t="s">
        <v>444</v>
      </c>
      <c r="O660" s="275" t="s">
        <v>445</v>
      </c>
      <c r="P660" s="275" t="s">
        <v>446</v>
      </c>
      <c r="Q660" s="275" t="s">
        <v>447</v>
      </c>
      <c r="R660" s="275" t="s">
        <v>448</v>
      </c>
      <c r="S660" s="275" t="s">
        <v>449</v>
      </c>
      <c r="T660" s="275" t="s">
        <v>450</v>
      </c>
      <c r="U660" s="275"/>
      <c r="V660" s="275"/>
      <c r="W660" s="275"/>
      <c r="X660" s="275"/>
      <c r="Y660" s="275"/>
      <c r="Z660" s="275"/>
      <c r="AA660" s="275"/>
    </row>
    <row r="661" spans="1:27">
      <c r="A661" s="280"/>
      <c r="B661" s="274"/>
      <c r="C661" s="278"/>
      <c r="D661" s="275">
        <v>1.805E-2</v>
      </c>
      <c r="E661" s="275">
        <v>7.5539999999999996E-2</v>
      </c>
      <c r="F661" s="275">
        <v>6.2560000000000004E-2</v>
      </c>
      <c r="G661" s="275">
        <v>7.0599999999999996E-2</v>
      </c>
      <c r="H661" s="275">
        <v>0.19647999999999999</v>
      </c>
      <c r="I661" s="275">
        <v>0.18684999999999999</v>
      </c>
      <c r="J661" s="275">
        <v>0.20158999999999999</v>
      </c>
      <c r="K661" s="275">
        <v>0.17660999999999999</v>
      </c>
      <c r="L661" s="275">
        <v>0.18117</v>
      </c>
      <c r="M661" s="275">
        <v>0.44068000000000002</v>
      </c>
      <c r="N661" s="275">
        <v>0.44591999999999998</v>
      </c>
      <c r="O661" s="275">
        <v>0.47748000000000002</v>
      </c>
      <c r="P661" s="275">
        <v>0.49347999999999997</v>
      </c>
      <c r="Q661" s="275">
        <v>0.50463000000000002</v>
      </c>
      <c r="R661" s="275">
        <v>1.05176</v>
      </c>
      <c r="S661" s="275">
        <v>1.15127</v>
      </c>
      <c r="T661" s="275">
        <v>1.24777</v>
      </c>
      <c r="U661" s="275"/>
      <c r="V661" s="275"/>
      <c r="W661" s="275"/>
      <c r="X661" s="275"/>
      <c r="Y661" s="275"/>
      <c r="Z661" s="275"/>
      <c r="AA661" s="275"/>
    </row>
    <row r="662" spans="1:27">
      <c r="A662" s="280"/>
      <c r="B662" s="274"/>
      <c r="C662" s="278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</row>
    <row r="663" spans="1:27">
      <c r="A663" s="280">
        <v>225</v>
      </c>
      <c r="B663" s="274">
        <v>75</v>
      </c>
      <c r="C663" s="278" t="s">
        <v>169</v>
      </c>
      <c r="D663" s="275" t="s">
        <v>434</v>
      </c>
      <c r="E663" s="275" t="s">
        <v>435</v>
      </c>
      <c r="F663" s="275" t="s">
        <v>436</v>
      </c>
      <c r="G663" s="275" t="s">
        <v>437</v>
      </c>
      <c r="H663" s="275" t="s">
        <v>438</v>
      </c>
      <c r="I663" s="275" t="s">
        <v>439</v>
      </c>
      <c r="J663" s="275" t="s">
        <v>440</v>
      </c>
      <c r="K663" s="275" t="s">
        <v>441</v>
      </c>
      <c r="L663" s="275" t="s">
        <v>442</v>
      </c>
      <c r="M663" s="275" t="s">
        <v>443</v>
      </c>
      <c r="N663" s="275" t="s">
        <v>444</v>
      </c>
      <c r="O663" s="275" t="s">
        <v>445</v>
      </c>
      <c r="P663" s="275" t="s">
        <v>446</v>
      </c>
      <c r="Q663" s="275" t="s">
        <v>447</v>
      </c>
      <c r="R663" s="275" t="s">
        <v>448</v>
      </c>
      <c r="S663" s="275" t="s">
        <v>449</v>
      </c>
      <c r="T663" s="275" t="s">
        <v>450</v>
      </c>
      <c r="U663" s="275"/>
      <c r="V663" s="275"/>
      <c r="W663" s="275"/>
      <c r="X663" s="275"/>
      <c r="Y663" s="275"/>
      <c r="Z663" s="275"/>
      <c r="AA663" s="275"/>
    </row>
    <row r="664" spans="1:27">
      <c r="A664" s="280"/>
      <c r="B664" s="274"/>
      <c r="C664" s="278"/>
      <c r="D664" s="275">
        <v>1.805E-2</v>
      </c>
      <c r="E664" s="275">
        <v>7.5539999999999996E-2</v>
      </c>
      <c r="F664" s="275">
        <v>6.2560000000000004E-2</v>
      </c>
      <c r="G664" s="275">
        <v>7.0599999999999996E-2</v>
      </c>
      <c r="H664" s="275">
        <v>0.19647999999999999</v>
      </c>
      <c r="I664" s="275">
        <v>0.18684999999999999</v>
      </c>
      <c r="J664" s="275">
        <v>0.20158999999999999</v>
      </c>
      <c r="K664" s="275">
        <v>0.17660999999999999</v>
      </c>
      <c r="L664" s="275">
        <v>0.18117</v>
      </c>
      <c r="M664" s="275">
        <v>0.44070999999999999</v>
      </c>
      <c r="N664" s="275">
        <v>0.44590999999999997</v>
      </c>
      <c r="O664" s="275">
        <v>0.47744999999999999</v>
      </c>
      <c r="P664" s="275">
        <v>0.49343999999999999</v>
      </c>
      <c r="Q664" s="275">
        <v>0.50458999999999998</v>
      </c>
      <c r="R664" s="275">
        <v>1.0530900000000001</v>
      </c>
      <c r="S664" s="275">
        <v>1.1499999999999999</v>
      </c>
      <c r="T664" s="275">
        <v>1.24444</v>
      </c>
      <c r="U664" s="275"/>
      <c r="V664" s="275"/>
      <c r="W664" s="275"/>
      <c r="X664" s="275"/>
      <c r="Y664" s="275"/>
      <c r="Z664" s="275"/>
      <c r="AA664" s="275"/>
    </row>
    <row r="665" spans="1:27">
      <c r="A665" s="280"/>
      <c r="B665" s="274"/>
      <c r="C665" s="278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</row>
    <row r="666" spans="1:27">
      <c r="A666" s="280">
        <v>226</v>
      </c>
      <c r="B666" s="274">
        <v>75</v>
      </c>
      <c r="C666" s="278" t="s">
        <v>170</v>
      </c>
      <c r="D666" s="275" t="s">
        <v>434</v>
      </c>
      <c r="E666" s="275" t="s">
        <v>435</v>
      </c>
      <c r="F666" s="275" t="s">
        <v>436</v>
      </c>
      <c r="G666" s="275" t="s">
        <v>437</v>
      </c>
      <c r="H666" s="275" t="s">
        <v>438</v>
      </c>
      <c r="I666" s="275" t="s">
        <v>439</v>
      </c>
      <c r="J666" s="275" t="s">
        <v>440</v>
      </c>
      <c r="K666" s="275" t="s">
        <v>441</v>
      </c>
      <c r="L666" s="275" t="s">
        <v>442</v>
      </c>
      <c r="M666" s="275" t="s">
        <v>443</v>
      </c>
      <c r="N666" s="275" t="s">
        <v>444</v>
      </c>
      <c r="O666" s="275" t="s">
        <v>445</v>
      </c>
      <c r="P666" s="275" t="s">
        <v>446</v>
      </c>
      <c r="Q666" s="275" t="s">
        <v>447</v>
      </c>
      <c r="R666" s="275" t="s">
        <v>448</v>
      </c>
      <c r="S666" s="275" t="s">
        <v>449</v>
      </c>
      <c r="T666" s="275" t="s">
        <v>450</v>
      </c>
      <c r="U666" s="275"/>
      <c r="V666" s="275"/>
      <c r="W666" s="275"/>
      <c r="X666" s="275"/>
      <c r="Y666" s="275"/>
      <c r="Z666" s="275"/>
      <c r="AA666" s="275"/>
    </row>
    <row r="667" spans="1:27">
      <c r="A667" s="280"/>
      <c r="B667" s="274"/>
      <c r="C667" s="278"/>
      <c r="D667" s="275">
        <v>1.805E-2</v>
      </c>
      <c r="E667" s="275">
        <v>7.5539999999999996E-2</v>
      </c>
      <c r="F667" s="275">
        <v>6.2560000000000004E-2</v>
      </c>
      <c r="G667" s="275">
        <v>7.0599999999999996E-2</v>
      </c>
      <c r="H667" s="275">
        <v>0.19647999999999999</v>
      </c>
      <c r="I667" s="275">
        <v>0.18684000000000001</v>
      </c>
      <c r="J667" s="275">
        <v>0.20158999999999999</v>
      </c>
      <c r="K667" s="275">
        <v>0.17660999999999999</v>
      </c>
      <c r="L667" s="275">
        <v>0.18115999999999999</v>
      </c>
      <c r="M667" s="275">
        <v>0.44070999999999999</v>
      </c>
      <c r="N667" s="275">
        <v>0.44591999999999998</v>
      </c>
      <c r="O667" s="275">
        <v>0.47744999999999999</v>
      </c>
      <c r="P667" s="275">
        <v>0.49347999999999997</v>
      </c>
      <c r="Q667" s="275">
        <v>0.50463000000000002</v>
      </c>
      <c r="R667" s="275">
        <v>1.0485100000000001</v>
      </c>
      <c r="S667" s="275">
        <v>1.1409800000000001</v>
      </c>
      <c r="T667" s="275">
        <v>1.2314499999999999</v>
      </c>
      <c r="U667" s="275"/>
      <c r="V667" s="275"/>
      <c r="W667" s="275"/>
      <c r="X667" s="275"/>
      <c r="Y667" s="275"/>
      <c r="Z667" s="275"/>
      <c r="AA667" s="275"/>
    </row>
    <row r="668" spans="1:27">
      <c r="A668" s="280"/>
      <c r="B668" s="274"/>
      <c r="C668" s="278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</row>
    <row r="669" spans="1:27">
      <c r="A669" s="280">
        <v>227</v>
      </c>
      <c r="B669" s="274">
        <v>75</v>
      </c>
      <c r="C669" s="278" t="s">
        <v>171</v>
      </c>
      <c r="D669" s="275" t="s">
        <v>434</v>
      </c>
      <c r="E669" s="275" t="s">
        <v>435</v>
      </c>
      <c r="F669" s="275" t="s">
        <v>436</v>
      </c>
      <c r="G669" s="275" t="s">
        <v>437</v>
      </c>
      <c r="H669" s="275" t="s">
        <v>438</v>
      </c>
      <c r="I669" s="275" t="s">
        <v>439</v>
      </c>
      <c r="J669" s="275" t="s">
        <v>440</v>
      </c>
      <c r="K669" s="275" t="s">
        <v>441</v>
      </c>
      <c r="L669" s="275" t="s">
        <v>442</v>
      </c>
      <c r="M669" s="275" t="s">
        <v>443</v>
      </c>
      <c r="N669" s="275" t="s">
        <v>444</v>
      </c>
      <c r="O669" s="275" t="s">
        <v>445</v>
      </c>
      <c r="P669" s="275" t="s">
        <v>446</v>
      </c>
      <c r="Q669" s="275" t="s">
        <v>447</v>
      </c>
      <c r="R669" s="275" t="s">
        <v>448</v>
      </c>
      <c r="S669" s="275" t="s">
        <v>449</v>
      </c>
      <c r="T669" s="275" t="s">
        <v>450</v>
      </c>
      <c r="U669" s="275"/>
      <c r="V669" s="275"/>
      <c r="W669" s="275"/>
      <c r="X669" s="275"/>
      <c r="Y669" s="275"/>
      <c r="Z669" s="275"/>
      <c r="AA669" s="275"/>
    </row>
    <row r="670" spans="1:27">
      <c r="A670" s="280"/>
      <c r="B670" s="274"/>
      <c r="C670" s="278"/>
      <c r="D670" s="275">
        <v>1.805E-2</v>
      </c>
      <c r="E670" s="275">
        <v>7.5539999999999996E-2</v>
      </c>
      <c r="F670" s="275">
        <v>6.2560000000000004E-2</v>
      </c>
      <c r="G670" s="275">
        <v>7.0599999999999996E-2</v>
      </c>
      <c r="H670" s="275">
        <v>0.19647999999999999</v>
      </c>
      <c r="I670" s="275">
        <v>0.18684000000000001</v>
      </c>
      <c r="J670" s="275">
        <v>0.20158000000000001</v>
      </c>
      <c r="K670" s="275">
        <v>0.17660999999999999</v>
      </c>
      <c r="L670" s="275">
        <v>0.18115999999999999</v>
      </c>
      <c r="M670" s="275">
        <v>0.44069999999999998</v>
      </c>
      <c r="N670" s="275">
        <v>0.44590999999999997</v>
      </c>
      <c r="O670" s="275">
        <v>0.47743999999999998</v>
      </c>
      <c r="P670" s="275">
        <v>0.49352000000000001</v>
      </c>
      <c r="Q670" s="275">
        <v>0.50466</v>
      </c>
      <c r="R670" s="275">
        <v>1.0428299999999999</v>
      </c>
      <c r="S670" s="275">
        <v>1.1306</v>
      </c>
      <c r="T670" s="275">
        <v>1.21705</v>
      </c>
      <c r="U670" s="275"/>
      <c r="V670" s="275"/>
      <c r="W670" s="275"/>
      <c r="X670" s="275"/>
      <c r="Y670" s="275"/>
      <c r="Z670" s="275"/>
      <c r="AA670" s="275"/>
    </row>
    <row r="671" spans="1:27">
      <c r="A671" s="280"/>
      <c r="B671" s="274"/>
      <c r="C671" s="278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</row>
    <row r="672" spans="1:27">
      <c r="A672" s="280">
        <v>228</v>
      </c>
      <c r="B672" s="274">
        <v>75</v>
      </c>
      <c r="C672" s="278" t="s">
        <v>172</v>
      </c>
      <c r="D672" s="275" t="s">
        <v>434</v>
      </c>
      <c r="E672" s="275" t="s">
        <v>435</v>
      </c>
      <c r="F672" s="275" t="s">
        <v>436</v>
      </c>
      <c r="G672" s="275" t="s">
        <v>437</v>
      </c>
      <c r="H672" s="275" t="s">
        <v>438</v>
      </c>
      <c r="I672" s="275" t="s">
        <v>439</v>
      </c>
      <c r="J672" s="275" t="s">
        <v>440</v>
      </c>
      <c r="K672" s="275" t="s">
        <v>441</v>
      </c>
      <c r="L672" s="275" t="s">
        <v>442</v>
      </c>
      <c r="M672" s="275" t="s">
        <v>443</v>
      </c>
      <c r="N672" s="275" t="s">
        <v>444</v>
      </c>
      <c r="O672" s="275" t="s">
        <v>445</v>
      </c>
      <c r="P672" s="275" t="s">
        <v>446</v>
      </c>
      <c r="Q672" s="275" t="s">
        <v>447</v>
      </c>
      <c r="R672" s="275" t="s">
        <v>448</v>
      </c>
      <c r="S672" s="275" t="s">
        <v>449</v>
      </c>
      <c r="T672" s="275" t="s">
        <v>450</v>
      </c>
      <c r="U672" s="275"/>
      <c r="V672" s="275"/>
      <c r="W672" s="275"/>
      <c r="X672" s="275"/>
      <c r="Y672" s="275"/>
      <c r="Z672" s="275"/>
      <c r="AA672" s="275"/>
    </row>
    <row r="673" spans="1:27">
      <c r="A673" s="280"/>
      <c r="B673" s="274"/>
      <c r="C673" s="278"/>
      <c r="D673" s="275">
        <v>1.805E-2</v>
      </c>
      <c r="E673" s="275">
        <v>7.5539999999999996E-2</v>
      </c>
      <c r="F673" s="275">
        <v>6.2560000000000004E-2</v>
      </c>
      <c r="G673" s="275">
        <v>7.0599999999999996E-2</v>
      </c>
      <c r="H673" s="275">
        <v>0.19647000000000001</v>
      </c>
      <c r="I673" s="275">
        <v>0.18684000000000001</v>
      </c>
      <c r="J673" s="275">
        <v>0.20158000000000001</v>
      </c>
      <c r="K673" s="275">
        <v>0.17660999999999999</v>
      </c>
      <c r="L673" s="275">
        <v>0.18115999999999999</v>
      </c>
      <c r="M673" s="275">
        <v>0.44069000000000003</v>
      </c>
      <c r="N673" s="275">
        <v>0.44590999999999997</v>
      </c>
      <c r="O673" s="275">
        <v>0.47742000000000001</v>
      </c>
      <c r="P673" s="275">
        <v>0.49353999999999998</v>
      </c>
      <c r="Q673" s="275">
        <v>0.50466999999999995</v>
      </c>
      <c r="R673" s="275">
        <v>1.0363199999999999</v>
      </c>
      <c r="S673" s="275">
        <v>1.11938</v>
      </c>
      <c r="T673" s="275">
        <v>1.2019599999999999</v>
      </c>
      <c r="U673" s="275"/>
      <c r="V673" s="275"/>
      <c r="W673" s="275"/>
      <c r="X673" s="275"/>
      <c r="Y673" s="275"/>
      <c r="Z673" s="275"/>
      <c r="AA673" s="275"/>
    </row>
    <row r="674" spans="1:27">
      <c r="A674" s="280"/>
      <c r="B674" s="274"/>
      <c r="C674" s="278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</row>
    <row r="675" spans="1:27">
      <c r="A675" s="280">
        <v>229</v>
      </c>
      <c r="B675" s="274">
        <v>75</v>
      </c>
      <c r="C675" s="278" t="s">
        <v>173</v>
      </c>
      <c r="D675" s="275" t="s">
        <v>434</v>
      </c>
      <c r="E675" s="275" t="s">
        <v>435</v>
      </c>
      <c r="F675" s="275" t="s">
        <v>436</v>
      </c>
      <c r="G675" s="275" t="s">
        <v>437</v>
      </c>
      <c r="H675" s="275" t="s">
        <v>438</v>
      </c>
      <c r="I675" s="275" t="s">
        <v>439</v>
      </c>
      <c r="J675" s="275" t="s">
        <v>440</v>
      </c>
      <c r="K675" s="275" t="s">
        <v>441</v>
      </c>
      <c r="L675" s="275" t="s">
        <v>442</v>
      </c>
      <c r="M675" s="275" t="s">
        <v>443</v>
      </c>
      <c r="N675" s="275" t="s">
        <v>444</v>
      </c>
      <c r="O675" s="275" t="s">
        <v>445</v>
      </c>
      <c r="P675" s="275" t="s">
        <v>446</v>
      </c>
      <c r="Q675" s="275" t="s">
        <v>447</v>
      </c>
      <c r="R675" s="275" t="s">
        <v>448</v>
      </c>
      <c r="S675" s="275" t="s">
        <v>449</v>
      </c>
      <c r="T675" s="275" t="s">
        <v>450</v>
      </c>
      <c r="U675" s="275"/>
      <c r="V675" s="275"/>
      <c r="W675" s="275"/>
      <c r="X675" s="275"/>
      <c r="Y675" s="275"/>
      <c r="Z675" s="275"/>
      <c r="AA675" s="275"/>
    </row>
    <row r="676" spans="1:27">
      <c r="A676" s="280"/>
      <c r="B676" s="274"/>
      <c r="C676" s="278"/>
      <c r="D676" s="275">
        <v>1.805E-2</v>
      </c>
      <c r="E676" s="275">
        <v>7.5539999999999996E-2</v>
      </c>
      <c r="F676" s="275">
        <v>6.2560000000000004E-2</v>
      </c>
      <c r="G676" s="275">
        <v>7.0599999999999996E-2</v>
      </c>
      <c r="H676" s="275">
        <v>0.19647000000000001</v>
      </c>
      <c r="I676" s="275">
        <v>0.18683</v>
      </c>
      <c r="J676" s="275">
        <v>0.20157</v>
      </c>
      <c r="K676" s="275">
        <v>0.17660000000000001</v>
      </c>
      <c r="L676" s="275">
        <v>0.18115999999999999</v>
      </c>
      <c r="M676" s="275">
        <v>0.44066</v>
      </c>
      <c r="N676" s="275">
        <v>0.44589000000000001</v>
      </c>
      <c r="O676" s="275">
        <v>0.47738999999999998</v>
      </c>
      <c r="P676" s="275">
        <v>0.49353999999999998</v>
      </c>
      <c r="Q676" s="275">
        <v>0.50465000000000004</v>
      </c>
      <c r="R676" s="275">
        <v>1.02918</v>
      </c>
      <c r="S676" s="275">
        <v>1.1076600000000001</v>
      </c>
      <c r="T676" s="275">
        <v>1.18662</v>
      </c>
      <c r="U676" s="275"/>
      <c r="V676" s="275"/>
      <c r="W676" s="275"/>
      <c r="X676" s="275"/>
      <c r="Y676" s="275"/>
      <c r="Z676" s="275"/>
      <c r="AA676" s="275"/>
    </row>
    <row r="677" spans="1:27">
      <c r="A677" s="280"/>
      <c r="B677" s="274"/>
      <c r="C677" s="278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</row>
    <row r="678" spans="1:27">
      <c r="A678" s="280">
        <v>230</v>
      </c>
      <c r="B678" s="274">
        <v>75</v>
      </c>
      <c r="C678" s="278" t="s">
        <v>174</v>
      </c>
      <c r="D678" s="275" t="s">
        <v>434</v>
      </c>
      <c r="E678" s="275" t="s">
        <v>435</v>
      </c>
      <c r="F678" s="275" t="s">
        <v>436</v>
      </c>
      <c r="G678" s="275" t="s">
        <v>437</v>
      </c>
      <c r="H678" s="275" t="s">
        <v>438</v>
      </c>
      <c r="I678" s="275" t="s">
        <v>439</v>
      </c>
      <c r="J678" s="275" t="s">
        <v>440</v>
      </c>
      <c r="K678" s="275" t="s">
        <v>441</v>
      </c>
      <c r="L678" s="275" t="s">
        <v>442</v>
      </c>
      <c r="M678" s="275" t="s">
        <v>443</v>
      </c>
      <c r="N678" s="275" t="s">
        <v>444</v>
      </c>
      <c r="O678" s="275" t="s">
        <v>445</v>
      </c>
      <c r="P678" s="275" t="s">
        <v>446</v>
      </c>
      <c r="Q678" s="275" t="s">
        <v>447</v>
      </c>
      <c r="R678" s="275" t="s">
        <v>448</v>
      </c>
      <c r="S678" s="275" t="s">
        <v>449</v>
      </c>
      <c r="T678" s="275" t="s">
        <v>450</v>
      </c>
      <c r="U678" s="275"/>
      <c r="V678" s="275"/>
      <c r="W678" s="275"/>
      <c r="X678" s="275"/>
      <c r="Y678" s="275"/>
      <c r="Z678" s="275"/>
      <c r="AA678" s="275"/>
    </row>
    <row r="679" spans="1:27">
      <c r="A679" s="280"/>
      <c r="B679" s="274"/>
      <c r="C679" s="278"/>
      <c r="D679" s="275">
        <v>1.805E-2</v>
      </c>
      <c r="E679" s="275">
        <v>7.5539999999999996E-2</v>
      </c>
      <c r="F679" s="275">
        <v>6.2560000000000004E-2</v>
      </c>
      <c r="G679" s="275">
        <v>7.0599999999999996E-2</v>
      </c>
      <c r="H679" s="275">
        <v>0.19646</v>
      </c>
      <c r="I679" s="275">
        <v>0.18682000000000001</v>
      </c>
      <c r="J679" s="275">
        <v>0.20155999999999999</v>
      </c>
      <c r="K679" s="275">
        <v>0.17660000000000001</v>
      </c>
      <c r="L679" s="275">
        <v>0.18115000000000001</v>
      </c>
      <c r="M679" s="275">
        <v>0.44063000000000002</v>
      </c>
      <c r="N679" s="275">
        <v>0.44585999999999998</v>
      </c>
      <c r="O679" s="275">
        <v>0.47733999999999999</v>
      </c>
      <c r="P679" s="275">
        <v>0.49351</v>
      </c>
      <c r="Q679" s="275">
        <v>0.50460000000000005</v>
      </c>
      <c r="R679" s="275">
        <v>1.02159</v>
      </c>
      <c r="S679" s="275">
        <v>1.0956900000000001</v>
      </c>
      <c r="T679" s="275">
        <v>1.1713</v>
      </c>
      <c r="U679" s="275"/>
      <c r="V679" s="275"/>
      <c r="W679" s="275"/>
      <c r="X679" s="275"/>
      <c r="Y679" s="275"/>
      <c r="Z679" s="275"/>
      <c r="AA679" s="275"/>
    </row>
    <row r="680" spans="1:27">
      <c r="A680" s="280"/>
      <c r="B680" s="274"/>
      <c r="C680" s="278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</row>
    <row r="681" spans="1:27">
      <c r="A681" s="280">
        <v>231</v>
      </c>
      <c r="B681" s="274">
        <v>76</v>
      </c>
      <c r="C681" s="278" t="s">
        <v>175</v>
      </c>
      <c r="D681" s="275" t="s">
        <v>434</v>
      </c>
      <c r="E681" s="275" t="s">
        <v>435</v>
      </c>
      <c r="F681" s="275" t="s">
        <v>436</v>
      </c>
      <c r="G681" s="275" t="s">
        <v>437</v>
      </c>
      <c r="H681" s="275" t="s">
        <v>438</v>
      </c>
      <c r="I681" s="275" t="s">
        <v>439</v>
      </c>
      <c r="J681" s="275" t="s">
        <v>440</v>
      </c>
      <c r="K681" s="275" t="s">
        <v>441</v>
      </c>
      <c r="L681" s="275" t="s">
        <v>442</v>
      </c>
      <c r="M681" s="275" t="s">
        <v>443</v>
      </c>
      <c r="N681" s="275" t="s">
        <v>444</v>
      </c>
      <c r="O681" s="275" t="s">
        <v>445</v>
      </c>
      <c r="P681" s="275" t="s">
        <v>446</v>
      </c>
      <c r="Q681" s="275" t="s">
        <v>447</v>
      </c>
      <c r="R681" s="275" t="s">
        <v>448</v>
      </c>
      <c r="S681" s="275" t="s">
        <v>449</v>
      </c>
      <c r="T681" s="275" t="s">
        <v>450</v>
      </c>
      <c r="U681" s="275"/>
      <c r="V681" s="275"/>
      <c r="W681" s="275"/>
      <c r="X681" s="275"/>
      <c r="Y681" s="275"/>
      <c r="Z681" s="275"/>
      <c r="AA681" s="275"/>
    </row>
    <row r="682" spans="1:27">
      <c r="A682" s="280"/>
      <c r="B682" s="274"/>
      <c r="C682" s="278"/>
      <c r="D682" s="275">
        <v>1.7749999999999998E-2</v>
      </c>
      <c r="E682" s="275">
        <v>7.4219999999999994E-2</v>
      </c>
      <c r="F682" s="275">
        <v>6.1400000000000003E-2</v>
      </c>
      <c r="G682" s="275">
        <v>6.9559999999999997E-2</v>
      </c>
      <c r="H682" s="275">
        <v>0.19295999999999999</v>
      </c>
      <c r="I682" s="275">
        <v>0.18337000000000001</v>
      </c>
      <c r="J682" s="275">
        <v>0.19830999999999999</v>
      </c>
      <c r="K682" s="275">
        <v>0.17355999999999999</v>
      </c>
      <c r="L682" s="275">
        <v>0.17816000000000001</v>
      </c>
      <c r="M682" s="275">
        <v>0.43186999999999998</v>
      </c>
      <c r="N682" s="275">
        <v>0.43648999999999999</v>
      </c>
      <c r="O682" s="275">
        <v>0.46821000000000002</v>
      </c>
      <c r="P682" s="275">
        <v>0.48226000000000002</v>
      </c>
      <c r="Q682" s="275">
        <v>0.49335000000000001</v>
      </c>
      <c r="R682" s="275">
        <v>1.02146</v>
      </c>
      <c r="S682" s="275">
        <v>1.1139600000000001</v>
      </c>
      <c r="T682" s="275">
        <v>1.2088699999999999</v>
      </c>
      <c r="U682" s="275"/>
      <c r="V682" s="275"/>
      <c r="W682" s="275"/>
      <c r="X682" s="275"/>
      <c r="Y682" s="275"/>
      <c r="Z682" s="275"/>
      <c r="AA682" s="275"/>
    </row>
    <row r="683" spans="1:27">
      <c r="A683" s="280"/>
      <c r="B683" s="274"/>
      <c r="C683" s="278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</row>
    <row r="684" spans="1:27">
      <c r="A684" s="280">
        <v>232</v>
      </c>
      <c r="B684" s="274">
        <v>76</v>
      </c>
      <c r="C684" s="278" t="s">
        <v>176</v>
      </c>
      <c r="D684" s="275" t="s">
        <v>434</v>
      </c>
      <c r="E684" s="275" t="s">
        <v>435</v>
      </c>
      <c r="F684" s="275" t="s">
        <v>436</v>
      </c>
      <c r="G684" s="275" t="s">
        <v>437</v>
      </c>
      <c r="H684" s="275" t="s">
        <v>438</v>
      </c>
      <c r="I684" s="275" t="s">
        <v>439</v>
      </c>
      <c r="J684" s="275" t="s">
        <v>440</v>
      </c>
      <c r="K684" s="275" t="s">
        <v>441</v>
      </c>
      <c r="L684" s="275" t="s">
        <v>442</v>
      </c>
      <c r="M684" s="275" t="s">
        <v>443</v>
      </c>
      <c r="N684" s="275" t="s">
        <v>444</v>
      </c>
      <c r="O684" s="275" t="s">
        <v>445</v>
      </c>
      <c r="P684" s="275" t="s">
        <v>446</v>
      </c>
      <c r="Q684" s="275" t="s">
        <v>447</v>
      </c>
      <c r="R684" s="275" t="s">
        <v>448</v>
      </c>
      <c r="S684" s="275" t="s">
        <v>449</v>
      </c>
      <c r="T684" s="275" t="s">
        <v>450</v>
      </c>
      <c r="U684" s="275"/>
      <c r="V684" s="275"/>
      <c r="W684" s="275"/>
      <c r="X684" s="275"/>
      <c r="Y684" s="275"/>
      <c r="Z684" s="275"/>
      <c r="AA684" s="275"/>
    </row>
    <row r="685" spans="1:27">
      <c r="A685" s="280"/>
      <c r="B685" s="274"/>
      <c r="C685" s="278"/>
      <c r="D685" s="275">
        <v>1.7749999999999998E-2</v>
      </c>
      <c r="E685" s="275">
        <v>7.4219999999999994E-2</v>
      </c>
      <c r="F685" s="275">
        <v>6.1400000000000003E-2</v>
      </c>
      <c r="G685" s="275">
        <v>6.9559999999999997E-2</v>
      </c>
      <c r="H685" s="275">
        <v>0.19295999999999999</v>
      </c>
      <c r="I685" s="275">
        <v>0.18337000000000001</v>
      </c>
      <c r="J685" s="275">
        <v>0.19830999999999999</v>
      </c>
      <c r="K685" s="275">
        <v>0.17355999999999999</v>
      </c>
      <c r="L685" s="275">
        <v>0.17816000000000001</v>
      </c>
      <c r="M685" s="275">
        <v>0.43189</v>
      </c>
      <c r="N685" s="275">
        <v>0.43647999999999998</v>
      </c>
      <c r="O685" s="275">
        <v>0.46817999999999999</v>
      </c>
      <c r="P685" s="275">
        <v>0.48222999999999999</v>
      </c>
      <c r="Q685" s="275">
        <v>0.49331000000000003</v>
      </c>
      <c r="R685" s="275">
        <v>1.02275</v>
      </c>
      <c r="S685" s="275">
        <v>1.1128899999999999</v>
      </c>
      <c r="T685" s="275">
        <v>1.2059</v>
      </c>
      <c r="U685" s="275"/>
      <c r="V685" s="275"/>
      <c r="W685" s="275"/>
      <c r="X685" s="275"/>
      <c r="Y685" s="275"/>
      <c r="Z685" s="275"/>
      <c r="AA685" s="275"/>
    </row>
    <row r="686" spans="1:27">
      <c r="A686" s="280"/>
      <c r="B686" s="274"/>
      <c r="C686" s="278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</row>
    <row r="687" spans="1:27">
      <c r="A687" s="280">
        <v>233</v>
      </c>
      <c r="B687" s="274">
        <v>76</v>
      </c>
      <c r="C687" s="278" t="s">
        <v>177</v>
      </c>
      <c r="D687" s="275" t="s">
        <v>434</v>
      </c>
      <c r="E687" s="275" t="s">
        <v>435</v>
      </c>
      <c r="F687" s="275" t="s">
        <v>436</v>
      </c>
      <c r="G687" s="275" t="s">
        <v>437</v>
      </c>
      <c r="H687" s="275" t="s">
        <v>438</v>
      </c>
      <c r="I687" s="275" t="s">
        <v>439</v>
      </c>
      <c r="J687" s="275" t="s">
        <v>440</v>
      </c>
      <c r="K687" s="275" t="s">
        <v>441</v>
      </c>
      <c r="L687" s="275" t="s">
        <v>442</v>
      </c>
      <c r="M687" s="275" t="s">
        <v>443</v>
      </c>
      <c r="N687" s="275" t="s">
        <v>444</v>
      </c>
      <c r="O687" s="275" t="s">
        <v>445</v>
      </c>
      <c r="P687" s="275" t="s">
        <v>446</v>
      </c>
      <c r="Q687" s="275" t="s">
        <v>447</v>
      </c>
      <c r="R687" s="275" t="s">
        <v>448</v>
      </c>
      <c r="S687" s="275" t="s">
        <v>449</v>
      </c>
      <c r="T687" s="275" t="s">
        <v>450</v>
      </c>
      <c r="U687" s="275"/>
      <c r="V687" s="275"/>
      <c r="W687" s="275"/>
      <c r="X687" s="275"/>
      <c r="Y687" s="275"/>
      <c r="Z687" s="275"/>
      <c r="AA687" s="275"/>
    </row>
    <row r="688" spans="1:27">
      <c r="A688" s="280"/>
      <c r="B688" s="274"/>
      <c r="C688" s="278"/>
      <c r="D688" s="275">
        <v>1.7749999999999998E-2</v>
      </c>
      <c r="E688" s="275">
        <v>7.4219999999999994E-2</v>
      </c>
      <c r="F688" s="275">
        <v>6.1400000000000003E-2</v>
      </c>
      <c r="G688" s="275">
        <v>6.9559999999999997E-2</v>
      </c>
      <c r="H688" s="275">
        <v>0.19295999999999999</v>
      </c>
      <c r="I688" s="275">
        <v>0.18337000000000001</v>
      </c>
      <c r="J688" s="275">
        <v>0.19830999999999999</v>
      </c>
      <c r="K688" s="275">
        <v>0.17355999999999999</v>
      </c>
      <c r="L688" s="275">
        <v>0.17816000000000001</v>
      </c>
      <c r="M688" s="275">
        <v>0.43187999999999999</v>
      </c>
      <c r="N688" s="275">
        <v>0.43647999999999998</v>
      </c>
      <c r="O688" s="275">
        <v>0.46817999999999999</v>
      </c>
      <c r="P688" s="275">
        <v>0.48226000000000002</v>
      </c>
      <c r="Q688" s="275">
        <v>0.49334</v>
      </c>
      <c r="R688" s="275">
        <v>1.0185299999999999</v>
      </c>
      <c r="S688" s="275">
        <v>1.1047100000000001</v>
      </c>
      <c r="T688" s="275">
        <v>1.1940200000000001</v>
      </c>
      <c r="U688" s="275"/>
      <c r="V688" s="275"/>
      <c r="W688" s="275"/>
      <c r="X688" s="275"/>
      <c r="Y688" s="275"/>
      <c r="Z688" s="275"/>
      <c r="AA688" s="275"/>
    </row>
    <row r="689" spans="1:27">
      <c r="A689" s="280"/>
      <c r="B689" s="274"/>
      <c r="C689" s="278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</row>
    <row r="690" spans="1:27">
      <c r="A690" s="280">
        <v>234</v>
      </c>
      <c r="B690" s="274">
        <v>76</v>
      </c>
      <c r="C690" s="278" t="s">
        <v>178</v>
      </c>
      <c r="D690" s="275" t="s">
        <v>434</v>
      </c>
      <c r="E690" s="275" t="s">
        <v>435</v>
      </c>
      <c r="F690" s="275" t="s">
        <v>436</v>
      </c>
      <c r="G690" s="275" t="s">
        <v>437</v>
      </c>
      <c r="H690" s="275" t="s">
        <v>438</v>
      </c>
      <c r="I690" s="275" t="s">
        <v>439</v>
      </c>
      <c r="J690" s="275" t="s">
        <v>440</v>
      </c>
      <c r="K690" s="275" t="s">
        <v>441</v>
      </c>
      <c r="L690" s="275" t="s">
        <v>442</v>
      </c>
      <c r="M690" s="275" t="s">
        <v>443</v>
      </c>
      <c r="N690" s="275" t="s">
        <v>444</v>
      </c>
      <c r="O690" s="275" t="s">
        <v>445</v>
      </c>
      <c r="P690" s="275" t="s">
        <v>446</v>
      </c>
      <c r="Q690" s="275" t="s">
        <v>447</v>
      </c>
      <c r="R690" s="275" t="s">
        <v>448</v>
      </c>
      <c r="S690" s="275" t="s">
        <v>449</v>
      </c>
      <c r="T690" s="275" t="s">
        <v>450</v>
      </c>
      <c r="U690" s="275"/>
      <c r="V690" s="275"/>
      <c r="W690" s="275"/>
      <c r="X690" s="275"/>
      <c r="Y690" s="275"/>
      <c r="Z690" s="275"/>
      <c r="AA690" s="275"/>
    </row>
    <row r="691" spans="1:27">
      <c r="A691" s="280"/>
      <c r="B691" s="274"/>
      <c r="C691" s="278"/>
      <c r="D691" s="275">
        <v>1.7749999999999998E-2</v>
      </c>
      <c r="E691" s="275">
        <v>7.4219999999999994E-2</v>
      </c>
      <c r="F691" s="275">
        <v>6.1400000000000003E-2</v>
      </c>
      <c r="G691" s="275">
        <v>6.9559999999999997E-2</v>
      </c>
      <c r="H691" s="275">
        <v>0.19295999999999999</v>
      </c>
      <c r="I691" s="275">
        <v>0.18337000000000001</v>
      </c>
      <c r="J691" s="275">
        <v>0.1983</v>
      </c>
      <c r="K691" s="275">
        <v>0.17355999999999999</v>
      </c>
      <c r="L691" s="275">
        <v>0.17816000000000001</v>
      </c>
      <c r="M691" s="275">
        <v>0.43186999999999998</v>
      </c>
      <c r="N691" s="275">
        <v>0.43647000000000002</v>
      </c>
      <c r="O691" s="275">
        <v>0.46816000000000002</v>
      </c>
      <c r="P691" s="275">
        <v>0.48227999999999999</v>
      </c>
      <c r="Q691" s="275">
        <v>0.49335000000000001</v>
      </c>
      <c r="R691" s="275">
        <v>1.0133300000000001</v>
      </c>
      <c r="S691" s="275">
        <v>1.09534</v>
      </c>
      <c r="T691" s="275">
        <v>1.1809099999999999</v>
      </c>
      <c r="U691" s="275"/>
      <c r="V691" s="275"/>
      <c r="W691" s="275"/>
      <c r="X691" s="275"/>
      <c r="Y691" s="275"/>
      <c r="Z691" s="275"/>
      <c r="AA691" s="275"/>
    </row>
    <row r="692" spans="1:27">
      <c r="A692" s="280"/>
      <c r="B692" s="274"/>
      <c r="C692" s="278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</row>
    <row r="693" spans="1:27">
      <c r="A693" s="280">
        <v>235</v>
      </c>
      <c r="B693" s="274">
        <v>76</v>
      </c>
      <c r="C693" s="278" t="s">
        <v>179</v>
      </c>
      <c r="D693" s="275" t="s">
        <v>434</v>
      </c>
      <c r="E693" s="275" t="s">
        <v>435</v>
      </c>
      <c r="F693" s="275" t="s">
        <v>436</v>
      </c>
      <c r="G693" s="275" t="s">
        <v>437</v>
      </c>
      <c r="H693" s="275" t="s">
        <v>438</v>
      </c>
      <c r="I693" s="275" t="s">
        <v>439</v>
      </c>
      <c r="J693" s="275" t="s">
        <v>440</v>
      </c>
      <c r="K693" s="275" t="s">
        <v>441</v>
      </c>
      <c r="L693" s="275" t="s">
        <v>442</v>
      </c>
      <c r="M693" s="275" t="s">
        <v>443</v>
      </c>
      <c r="N693" s="275" t="s">
        <v>444</v>
      </c>
      <c r="O693" s="275" t="s">
        <v>445</v>
      </c>
      <c r="P693" s="275" t="s">
        <v>446</v>
      </c>
      <c r="Q693" s="275" t="s">
        <v>447</v>
      </c>
      <c r="R693" s="275" t="s">
        <v>448</v>
      </c>
      <c r="S693" s="275" t="s">
        <v>449</v>
      </c>
      <c r="T693" s="275" t="s">
        <v>450</v>
      </c>
      <c r="U693" s="275"/>
      <c r="V693" s="275"/>
      <c r="W693" s="275"/>
      <c r="X693" s="275"/>
      <c r="Y693" s="275"/>
      <c r="Z693" s="275"/>
      <c r="AA693" s="275"/>
    </row>
    <row r="694" spans="1:27">
      <c r="A694" s="280"/>
      <c r="B694" s="274"/>
      <c r="C694" s="278"/>
      <c r="D694" s="275">
        <v>1.7749999999999998E-2</v>
      </c>
      <c r="E694" s="275">
        <v>7.4219999999999994E-2</v>
      </c>
      <c r="F694" s="275">
        <v>6.1400000000000003E-2</v>
      </c>
      <c r="G694" s="275">
        <v>6.9559999999999997E-2</v>
      </c>
      <c r="H694" s="275">
        <v>0.19295000000000001</v>
      </c>
      <c r="I694" s="275">
        <v>0.18337000000000001</v>
      </c>
      <c r="J694" s="275">
        <v>0.1983</v>
      </c>
      <c r="K694" s="275">
        <v>0.17355999999999999</v>
      </c>
      <c r="L694" s="275">
        <v>0.17816000000000001</v>
      </c>
      <c r="M694" s="275">
        <v>0.43186000000000002</v>
      </c>
      <c r="N694" s="275">
        <v>0.43646000000000001</v>
      </c>
      <c r="O694" s="275">
        <v>0.46812999999999999</v>
      </c>
      <c r="P694" s="275">
        <v>0.48229</v>
      </c>
      <c r="Q694" s="275">
        <v>0.49335000000000001</v>
      </c>
      <c r="R694" s="275">
        <v>1.0073799999999999</v>
      </c>
      <c r="S694" s="275">
        <v>1.0851999999999999</v>
      </c>
      <c r="T694" s="275">
        <v>1.16716</v>
      </c>
      <c r="U694" s="275"/>
      <c r="V694" s="275"/>
      <c r="W694" s="275"/>
      <c r="X694" s="275"/>
      <c r="Y694" s="275"/>
      <c r="Z694" s="275"/>
      <c r="AA694" s="275"/>
    </row>
    <row r="695" spans="1:27">
      <c r="A695" s="280"/>
      <c r="B695" s="274"/>
      <c r="C695" s="278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</row>
    <row r="696" spans="1:27">
      <c r="A696" s="280">
        <v>236</v>
      </c>
      <c r="B696" s="274">
        <v>76</v>
      </c>
      <c r="C696" s="278" t="s">
        <v>180</v>
      </c>
      <c r="D696" s="275" t="s">
        <v>434</v>
      </c>
      <c r="E696" s="275" t="s">
        <v>435</v>
      </c>
      <c r="F696" s="275" t="s">
        <v>436</v>
      </c>
      <c r="G696" s="275" t="s">
        <v>437</v>
      </c>
      <c r="H696" s="275" t="s">
        <v>438</v>
      </c>
      <c r="I696" s="275" t="s">
        <v>439</v>
      </c>
      <c r="J696" s="275" t="s">
        <v>440</v>
      </c>
      <c r="K696" s="275" t="s">
        <v>441</v>
      </c>
      <c r="L696" s="275" t="s">
        <v>442</v>
      </c>
      <c r="M696" s="275" t="s">
        <v>443</v>
      </c>
      <c r="N696" s="275" t="s">
        <v>444</v>
      </c>
      <c r="O696" s="275" t="s">
        <v>445</v>
      </c>
      <c r="P696" s="275" t="s">
        <v>446</v>
      </c>
      <c r="Q696" s="275" t="s">
        <v>447</v>
      </c>
      <c r="R696" s="275" t="s">
        <v>448</v>
      </c>
      <c r="S696" s="275" t="s">
        <v>449</v>
      </c>
      <c r="T696" s="275" t="s">
        <v>450</v>
      </c>
      <c r="U696" s="275"/>
      <c r="V696" s="275"/>
      <c r="W696" s="275"/>
      <c r="X696" s="275"/>
      <c r="Y696" s="275"/>
      <c r="Z696" s="275"/>
      <c r="AA696" s="275"/>
    </row>
    <row r="697" spans="1:27">
      <c r="A697" s="280"/>
      <c r="B697" s="274"/>
      <c r="C697" s="278"/>
      <c r="D697" s="275">
        <v>1.7749999999999998E-2</v>
      </c>
      <c r="E697" s="275">
        <v>7.4209999999999998E-2</v>
      </c>
      <c r="F697" s="275">
        <v>6.1400000000000003E-2</v>
      </c>
      <c r="G697" s="275">
        <v>6.9559999999999997E-2</v>
      </c>
      <c r="H697" s="275">
        <v>0.19295000000000001</v>
      </c>
      <c r="I697" s="275">
        <v>0.18336</v>
      </c>
      <c r="J697" s="275">
        <v>0.19828999999999999</v>
      </c>
      <c r="K697" s="275">
        <v>0.17355000000000001</v>
      </c>
      <c r="L697" s="275">
        <v>0.17816000000000001</v>
      </c>
      <c r="M697" s="275">
        <v>0.43182999999999999</v>
      </c>
      <c r="N697" s="275">
        <v>0.43643999999999999</v>
      </c>
      <c r="O697" s="275">
        <v>0.46809000000000001</v>
      </c>
      <c r="P697" s="275">
        <v>0.48226999999999998</v>
      </c>
      <c r="Q697" s="275">
        <v>0.49331999999999998</v>
      </c>
      <c r="R697" s="275">
        <v>1.0008600000000001</v>
      </c>
      <c r="S697" s="275">
        <v>1.0745800000000001</v>
      </c>
      <c r="T697" s="275">
        <v>1.15313</v>
      </c>
      <c r="U697" s="275"/>
      <c r="V697" s="275"/>
      <c r="W697" s="275"/>
      <c r="X697" s="275"/>
      <c r="Y697" s="275"/>
      <c r="Z697" s="275"/>
      <c r="AA697" s="275"/>
    </row>
    <row r="698" spans="1:27">
      <c r="A698" s="280"/>
      <c r="B698" s="274"/>
      <c r="C698" s="278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</row>
    <row r="699" spans="1:27">
      <c r="A699" s="280">
        <v>237</v>
      </c>
      <c r="B699" s="274">
        <v>76</v>
      </c>
      <c r="C699" s="278" t="s">
        <v>181</v>
      </c>
      <c r="D699" s="275" t="s">
        <v>434</v>
      </c>
      <c r="E699" s="275" t="s">
        <v>435</v>
      </c>
      <c r="F699" s="275" t="s">
        <v>436</v>
      </c>
      <c r="G699" s="275" t="s">
        <v>437</v>
      </c>
      <c r="H699" s="275" t="s">
        <v>438</v>
      </c>
      <c r="I699" s="275" t="s">
        <v>439</v>
      </c>
      <c r="J699" s="275" t="s">
        <v>440</v>
      </c>
      <c r="K699" s="275" t="s">
        <v>441</v>
      </c>
      <c r="L699" s="275" t="s">
        <v>442</v>
      </c>
      <c r="M699" s="275" t="s">
        <v>443</v>
      </c>
      <c r="N699" s="275" t="s">
        <v>444</v>
      </c>
      <c r="O699" s="275" t="s">
        <v>445</v>
      </c>
      <c r="P699" s="275" t="s">
        <v>446</v>
      </c>
      <c r="Q699" s="275" t="s">
        <v>447</v>
      </c>
      <c r="R699" s="275" t="s">
        <v>448</v>
      </c>
      <c r="S699" s="275" t="s">
        <v>449</v>
      </c>
      <c r="T699" s="275" t="s">
        <v>450</v>
      </c>
      <c r="U699" s="275"/>
      <c r="V699" s="275"/>
      <c r="W699" s="275"/>
      <c r="X699" s="275"/>
      <c r="Y699" s="275"/>
      <c r="Z699" s="275"/>
      <c r="AA699" s="275"/>
    </row>
    <row r="700" spans="1:27">
      <c r="A700" s="280"/>
      <c r="B700" s="274"/>
      <c r="C700" s="278"/>
      <c r="D700" s="275">
        <v>1.7749999999999998E-2</v>
      </c>
      <c r="E700" s="275">
        <v>7.4209999999999998E-2</v>
      </c>
      <c r="F700" s="275">
        <v>6.139E-2</v>
      </c>
      <c r="G700" s="275">
        <v>6.9559999999999997E-2</v>
      </c>
      <c r="H700" s="275">
        <v>0.19294</v>
      </c>
      <c r="I700" s="275">
        <v>0.18335000000000001</v>
      </c>
      <c r="J700" s="275">
        <v>0.19828000000000001</v>
      </c>
      <c r="K700" s="275">
        <v>0.17355000000000001</v>
      </c>
      <c r="L700" s="275">
        <v>0.17815</v>
      </c>
      <c r="M700" s="275">
        <v>0.43180000000000002</v>
      </c>
      <c r="N700" s="275">
        <v>0.43640000000000001</v>
      </c>
      <c r="O700" s="275">
        <v>0.46803</v>
      </c>
      <c r="P700" s="275">
        <v>0.48222999999999999</v>
      </c>
      <c r="Q700" s="275">
        <v>0.49325000000000002</v>
      </c>
      <c r="R700" s="275">
        <v>0.99390999999999996</v>
      </c>
      <c r="S700" s="275">
        <v>1.0637000000000001</v>
      </c>
      <c r="T700" s="275">
        <v>1.13907</v>
      </c>
      <c r="U700" s="275"/>
      <c r="V700" s="275"/>
      <c r="W700" s="275"/>
      <c r="X700" s="275"/>
      <c r="Y700" s="275"/>
      <c r="Z700" s="275"/>
      <c r="AA700" s="275"/>
    </row>
    <row r="701" spans="1:27">
      <c r="A701" s="280"/>
      <c r="B701" s="274"/>
      <c r="C701" s="278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</row>
    <row r="702" spans="1:27">
      <c r="A702" s="280">
        <v>238</v>
      </c>
      <c r="B702" s="274">
        <v>76</v>
      </c>
      <c r="C702" s="278" t="s">
        <v>182</v>
      </c>
      <c r="D702" s="275" t="s">
        <v>434</v>
      </c>
      <c r="E702" s="275" t="s">
        <v>435</v>
      </c>
      <c r="F702" s="275" t="s">
        <v>436</v>
      </c>
      <c r="G702" s="275" t="s">
        <v>437</v>
      </c>
      <c r="H702" s="275" t="s">
        <v>438</v>
      </c>
      <c r="I702" s="275" t="s">
        <v>439</v>
      </c>
      <c r="J702" s="275" t="s">
        <v>440</v>
      </c>
      <c r="K702" s="275" t="s">
        <v>441</v>
      </c>
      <c r="L702" s="275" t="s">
        <v>442</v>
      </c>
      <c r="M702" s="275" t="s">
        <v>443</v>
      </c>
      <c r="N702" s="275" t="s">
        <v>444</v>
      </c>
      <c r="O702" s="275" t="s">
        <v>445</v>
      </c>
      <c r="P702" s="275" t="s">
        <v>446</v>
      </c>
      <c r="Q702" s="275" t="s">
        <v>447</v>
      </c>
      <c r="R702" s="275" t="s">
        <v>448</v>
      </c>
      <c r="S702" s="275" t="s">
        <v>449</v>
      </c>
      <c r="T702" s="275" t="s">
        <v>450</v>
      </c>
      <c r="U702" s="275"/>
      <c r="V702" s="275"/>
      <c r="W702" s="275"/>
      <c r="X702" s="275"/>
      <c r="Y702" s="275"/>
      <c r="Z702" s="275"/>
      <c r="AA702" s="275"/>
    </row>
    <row r="703" spans="1:27">
      <c r="A703" s="280"/>
      <c r="B703" s="274"/>
      <c r="C703" s="278"/>
      <c r="D703" s="275">
        <v>1.7749999999999998E-2</v>
      </c>
      <c r="E703" s="275">
        <v>7.4209999999999998E-2</v>
      </c>
      <c r="F703" s="275">
        <v>6.139E-2</v>
      </c>
      <c r="G703" s="275">
        <v>6.9559999999999997E-2</v>
      </c>
      <c r="H703" s="275">
        <v>0.19294</v>
      </c>
      <c r="I703" s="275">
        <v>0.18335000000000001</v>
      </c>
      <c r="J703" s="275">
        <v>0.19827</v>
      </c>
      <c r="K703" s="275">
        <v>0.17354</v>
      </c>
      <c r="L703" s="275">
        <v>0.17815</v>
      </c>
      <c r="M703" s="275">
        <v>0.43175000000000002</v>
      </c>
      <c r="N703" s="275">
        <v>0.43635000000000002</v>
      </c>
      <c r="O703" s="275">
        <v>0.46794999999999998</v>
      </c>
      <c r="P703" s="275">
        <v>0.48215000000000002</v>
      </c>
      <c r="Q703" s="275">
        <v>0.49314999999999998</v>
      </c>
      <c r="R703" s="275">
        <v>0.98663999999999996</v>
      </c>
      <c r="S703" s="275">
        <v>1.0527</v>
      </c>
      <c r="T703" s="275">
        <v>1.1251199999999999</v>
      </c>
      <c r="U703" s="275"/>
      <c r="V703" s="275"/>
      <c r="W703" s="275"/>
      <c r="X703" s="275"/>
      <c r="Y703" s="275"/>
      <c r="Z703" s="275"/>
      <c r="AA703" s="275"/>
    </row>
    <row r="704" spans="1:27">
      <c r="A704" s="280"/>
      <c r="B704" s="274"/>
      <c r="C704" s="278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</row>
    <row r="705" spans="1:27">
      <c r="A705" s="280">
        <v>239</v>
      </c>
      <c r="B705" s="274">
        <v>77</v>
      </c>
      <c r="C705" s="278" t="s">
        <v>183</v>
      </c>
      <c r="D705" s="275" t="s">
        <v>434</v>
      </c>
      <c r="E705" s="275" t="s">
        <v>435</v>
      </c>
      <c r="F705" s="275" t="s">
        <v>436</v>
      </c>
      <c r="G705" s="275" t="s">
        <v>437</v>
      </c>
      <c r="H705" s="275" t="s">
        <v>438</v>
      </c>
      <c r="I705" s="275" t="s">
        <v>439</v>
      </c>
      <c r="J705" s="275" t="s">
        <v>440</v>
      </c>
      <c r="K705" s="275" t="s">
        <v>441</v>
      </c>
      <c r="L705" s="275" t="s">
        <v>442</v>
      </c>
      <c r="M705" s="275" t="s">
        <v>443</v>
      </c>
      <c r="N705" s="275" t="s">
        <v>444</v>
      </c>
      <c r="O705" s="275" t="s">
        <v>445</v>
      </c>
      <c r="P705" s="275" t="s">
        <v>446</v>
      </c>
      <c r="Q705" s="275" t="s">
        <v>447</v>
      </c>
      <c r="R705" s="275" t="s">
        <v>448</v>
      </c>
      <c r="S705" s="275" t="s">
        <v>449</v>
      </c>
      <c r="T705" s="275" t="s">
        <v>450</v>
      </c>
      <c r="U705" s="275"/>
      <c r="V705" s="275"/>
      <c r="W705" s="275"/>
      <c r="X705" s="275"/>
      <c r="Y705" s="275"/>
      <c r="Z705" s="275"/>
      <c r="AA705" s="275"/>
    </row>
    <row r="706" spans="1:27">
      <c r="A706" s="280"/>
      <c r="B706" s="274"/>
      <c r="C706" s="278"/>
      <c r="D706" s="275">
        <v>1.746E-2</v>
      </c>
      <c r="E706" s="275">
        <v>7.2919999999999999E-2</v>
      </c>
      <c r="F706" s="275">
        <v>6.0260000000000001E-2</v>
      </c>
      <c r="G706" s="275">
        <v>6.8540000000000004E-2</v>
      </c>
      <c r="H706" s="275">
        <v>0.18953999999999999</v>
      </c>
      <c r="I706" s="275">
        <v>0.18</v>
      </c>
      <c r="J706" s="275">
        <v>0.19511999999999999</v>
      </c>
      <c r="K706" s="275">
        <v>0.17061000000000001</v>
      </c>
      <c r="L706" s="275">
        <v>0.17526</v>
      </c>
      <c r="M706" s="275">
        <v>0.42330000000000001</v>
      </c>
      <c r="N706" s="275">
        <v>0.42734</v>
      </c>
      <c r="O706" s="275">
        <v>0.45922000000000002</v>
      </c>
      <c r="P706" s="275">
        <v>0.47148000000000001</v>
      </c>
      <c r="Q706" s="275">
        <v>0.48250999999999999</v>
      </c>
      <c r="R706" s="275">
        <v>0.99289000000000005</v>
      </c>
      <c r="S706" s="275">
        <v>1.07911</v>
      </c>
      <c r="T706" s="275">
        <v>1.17272</v>
      </c>
      <c r="U706" s="275"/>
      <c r="V706" s="275"/>
      <c r="W706" s="275"/>
      <c r="X706" s="275"/>
      <c r="Y706" s="275"/>
      <c r="Z706" s="275"/>
      <c r="AA706" s="275"/>
    </row>
    <row r="707" spans="1:27">
      <c r="A707" s="280"/>
      <c r="B707" s="274"/>
      <c r="C707" s="278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</row>
    <row r="708" spans="1:27">
      <c r="A708" s="280">
        <v>240</v>
      </c>
      <c r="B708" s="274">
        <v>77</v>
      </c>
      <c r="C708" s="278" t="s">
        <v>184</v>
      </c>
      <c r="D708" s="275" t="s">
        <v>434</v>
      </c>
      <c r="E708" s="275" t="s">
        <v>435</v>
      </c>
      <c r="F708" s="275" t="s">
        <v>436</v>
      </c>
      <c r="G708" s="275" t="s">
        <v>437</v>
      </c>
      <c r="H708" s="275" t="s">
        <v>438</v>
      </c>
      <c r="I708" s="275" t="s">
        <v>439</v>
      </c>
      <c r="J708" s="275" t="s">
        <v>440</v>
      </c>
      <c r="K708" s="275" t="s">
        <v>441</v>
      </c>
      <c r="L708" s="275" t="s">
        <v>442</v>
      </c>
      <c r="M708" s="275" t="s">
        <v>443</v>
      </c>
      <c r="N708" s="275" t="s">
        <v>444</v>
      </c>
      <c r="O708" s="275" t="s">
        <v>445</v>
      </c>
      <c r="P708" s="275" t="s">
        <v>446</v>
      </c>
      <c r="Q708" s="275" t="s">
        <v>447</v>
      </c>
      <c r="R708" s="275" t="s">
        <v>448</v>
      </c>
      <c r="S708" s="275" t="s">
        <v>449</v>
      </c>
      <c r="T708" s="275" t="s">
        <v>450</v>
      </c>
      <c r="U708" s="275"/>
      <c r="V708" s="275"/>
      <c r="W708" s="275"/>
      <c r="X708" s="275"/>
      <c r="Y708" s="275"/>
      <c r="Z708" s="275"/>
      <c r="AA708" s="275"/>
    </row>
    <row r="709" spans="1:27">
      <c r="A709" s="280"/>
      <c r="B709" s="274"/>
      <c r="C709" s="278"/>
      <c r="D709" s="275">
        <v>1.746E-2</v>
      </c>
      <c r="E709" s="275">
        <v>7.2919999999999999E-2</v>
      </c>
      <c r="F709" s="275">
        <v>6.0260000000000001E-2</v>
      </c>
      <c r="G709" s="275">
        <v>6.8540000000000004E-2</v>
      </c>
      <c r="H709" s="275">
        <v>0.18953999999999999</v>
      </c>
      <c r="I709" s="275">
        <v>0.18</v>
      </c>
      <c r="J709" s="275">
        <v>0.19511999999999999</v>
      </c>
      <c r="K709" s="275">
        <v>0.17061000000000001</v>
      </c>
      <c r="L709" s="275">
        <v>0.17526</v>
      </c>
      <c r="M709" s="275">
        <v>0.42331999999999997</v>
      </c>
      <c r="N709" s="275">
        <v>0.42732999999999999</v>
      </c>
      <c r="O709" s="275">
        <v>0.4592</v>
      </c>
      <c r="P709" s="275">
        <v>0.47144000000000003</v>
      </c>
      <c r="Q709" s="275">
        <v>0.48247000000000001</v>
      </c>
      <c r="R709" s="275">
        <v>0.99412999999999996</v>
      </c>
      <c r="S709" s="275">
        <v>1.0782099999999999</v>
      </c>
      <c r="T709" s="275">
        <v>1.17005</v>
      </c>
      <c r="U709" s="275"/>
      <c r="V709" s="275"/>
      <c r="W709" s="275"/>
      <c r="X709" s="275"/>
      <c r="Y709" s="275"/>
      <c r="Z709" s="275"/>
      <c r="AA709" s="275"/>
    </row>
    <row r="710" spans="1:27">
      <c r="A710" s="280"/>
      <c r="B710" s="274"/>
      <c r="C710" s="278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</row>
    <row r="711" spans="1:27">
      <c r="A711" s="280">
        <v>241</v>
      </c>
      <c r="B711" s="274">
        <v>77</v>
      </c>
      <c r="C711" s="278" t="s">
        <v>185</v>
      </c>
      <c r="D711" s="275" t="s">
        <v>434</v>
      </c>
      <c r="E711" s="275" t="s">
        <v>435</v>
      </c>
      <c r="F711" s="275" t="s">
        <v>436</v>
      </c>
      <c r="G711" s="275" t="s">
        <v>437</v>
      </c>
      <c r="H711" s="275" t="s">
        <v>438</v>
      </c>
      <c r="I711" s="275" t="s">
        <v>439</v>
      </c>
      <c r="J711" s="275" t="s">
        <v>440</v>
      </c>
      <c r="K711" s="275" t="s">
        <v>441</v>
      </c>
      <c r="L711" s="275" t="s">
        <v>442</v>
      </c>
      <c r="M711" s="275" t="s">
        <v>443</v>
      </c>
      <c r="N711" s="275" t="s">
        <v>444</v>
      </c>
      <c r="O711" s="275" t="s">
        <v>445</v>
      </c>
      <c r="P711" s="275" t="s">
        <v>446</v>
      </c>
      <c r="Q711" s="275" t="s">
        <v>447</v>
      </c>
      <c r="R711" s="275" t="s">
        <v>448</v>
      </c>
      <c r="S711" s="275" t="s">
        <v>449</v>
      </c>
      <c r="T711" s="275" t="s">
        <v>450</v>
      </c>
      <c r="U711" s="275"/>
      <c r="V711" s="275"/>
      <c r="W711" s="275"/>
      <c r="X711" s="275"/>
      <c r="Y711" s="275"/>
      <c r="Z711" s="275"/>
      <c r="AA711" s="275"/>
    </row>
    <row r="712" spans="1:27">
      <c r="A712" s="280"/>
      <c r="B712" s="274"/>
      <c r="C712" s="278"/>
      <c r="D712" s="275">
        <v>1.746E-2</v>
      </c>
      <c r="E712" s="275">
        <v>7.2919999999999999E-2</v>
      </c>
      <c r="F712" s="275">
        <v>6.0260000000000001E-2</v>
      </c>
      <c r="G712" s="275">
        <v>6.8540000000000004E-2</v>
      </c>
      <c r="H712" s="275">
        <v>0.18953999999999999</v>
      </c>
      <c r="I712" s="275">
        <v>0.18</v>
      </c>
      <c r="J712" s="275">
        <v>0.19511999999999999</v>
      </c>
      <c r="K712" s="275">
        <v>0.17061000000000001</v>
      </c>
      <c r="L712" s="275">
        <v>0.17526</v>
      </c>
      <c r="M712" s="275">
        <v>0.42331999999999997</v>
      </c>
      <c r="N712" s="275">
        <v>0.42732999999999999</v>
      </c>
      <c r="O712" s="275">
        <v>0.45918999999999999</v>
      </c>
      <c r="P712" s="275">
        <v>0.47147</v>
      </c>
      <c r="Q712" s="275">
        <v>0.48248999999999997</v>
      </c>
      <c r="R712" s="275">
        <v>0.99021000000000003</v>
      </c>
      <c r="S712" s="275">
        <v>1.0707500000000001</v>
      </c>
      <c r="T712" s="275">
        <v>1.1591199999999999</v>
      </c>
      <c r="U712" s="275"/>
      <c r="V712" s="275"/>
      <c r="W712" s="275"/>
      <c r="X712" s="275"/>
      <c r="Y712" s="275"/>
      <c r="Z712" s="275"/>
      <c r="AA712" s="275"/>
    </row>
    <row r="713" spans="1:27">
      <c r="A713" s="280"/>
      <c r="B713" s="274"/>
      <c r="C713" s="278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</row>
    <row r="714" spans="1:27">
      <c r="A714" s="280">
        <v>242</v>
      </c>
      <c r="B714" s="274">
        <v>77</v>
      </c>
      <c r="C714" s="278" t="s">
        <v>186</v>
      </c>
      <c r="D714" s="275" t="s">
        <v>434</v>
      </c>
      <c r="E714" s="275" t="s">
        <v>435</v>
      </c>
      <c r="F714" s="275" t="s">
        <v>436</v>
      </c>
      <c r="G714" s="275" t="s">
        <v>437</v>
      </c>
      <c r="H714" s="275" t="s">
        <v>438</v>
      </c>
      <c r="I714" s="275" t="s">
        <v>439</v>
      </c>
      <c r="J714" s="275" t="s">
        <v>440</v>
      </c>
      <c r="K714" s="275" t="s">
        <v>441</v>
      </c>
      <c r="L714" s="275" t="s">
        <v>442</v>
      </c>
      <c r="M714" s="275" t="s">
        <v>443</v>
      </c>
      <c r="N714" s="275" t="s">
        <v>444</v>
      </c>
      <c r="O714" s="275" t="s">
        <v>445</v>
      </c>
      <c r="P714" s="275" t="s">
        <v>446</v>
      </c>
      <c r="Q714" s="275" t="s">
        <v>447</v>
      </c>
      <c r="R714" s="275" t="s">
        <v>448</v>
      </c>
      <c r="S714" s="275" t="s">
        <v>449</v>
      </c>
      <c r="T714" s="275" t="s">
        <v>450</v>
      </c>
      <c r="U714" s="275"/>
      <c r="V714" s="275"/>
      <c r="W714" s="275"/>
      <c r="X714" s="275"/>
      <c r="Y714" s="275"/>
      <c r="Z714" s="275"/>
      <c r="AA714" s="275"/>
    </row>
    <row r="715" spans="1:27">
      <c r="A715" s="280"/>
      <c r="B715" s="274"/>
      <c r="C715" s="278"/>
      <c r="D715" s="275">
        <v>1.746E-2</v>
      </c>
      <c r="E715" s="275">
        <v>7.2919999999999999E-2</v>
      </c>
      <c r="F715" s="275">
        <v>6.0260000000000001E-2</v>
      </c>
      <c r="G715" s="275">
        <v>6.8540000000000004E-2</v>
      </c>
      <c r="H715" s="275">
        <v>0.18953</v>
      </c>
      <c r="I715" s="275">
        <v>0.17999000000000001</v>
      </c>
      <c r="J715" s="275">
        <v>0.19511999999999999</v>
      </c>
      <c r="K715" s="275">
        <v>0.1706</v>
      </c>
      <c r="L715" s="275">
        <v>0.17526</v>
      </c>
      <c r="M715" s="275">
        <v>0.42330000000000001</v>
      </c>
      <c r="N715" s="275">
        <v>0.42731999999999998</v>
      </c>
      <c r="O715" s="275">
        <v>0.45917000000000002</v>
      </c>
      <c r="P715" s="275">
        <v>0.47148000000000001</v>
      </c>
      <c r="Q715" s="275">
        <v>0.48248999999999997</v>
      </c>
      <c r="R715" s="275">
        <v>0.98543000000000003</v>
      </c>
      <c r="S715" s="275">
        <v>1.0622400000000001</v>
      </c>
      <c r="T715" s="275">
        <v>1.1471</v>
      </c>
      <c r="U715" s="275"/>
      <c r="V715" s="275"/>
      <c r="W715" s="275"/>
      <c r="X715" s="275"/>
      <c r="Y715" s="275"/>
      <c r="Z715" s="275"/>
      <c r="AA715" s="275"/>
    </row>
    <row r="716" spans="1:27">
      <c r="A716" s="280"/>
      <c r="B716" s="274"/>
      <c r="C716" s="278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</row>
    <row r="717" spans="1:27">
      <c r="A717" s="280">
        <v>243</v>
      </c>
      <c r="B717" s="274">
        <v>77</v>
      </c>
      <c r="C717" s="278" t="s">
        <v>187</v>
      </c>
      <c r="D717" s="275" t="s">
        <v>434</v>
      </c>
      <c r="E717" s="275" t="s">
        <v>435</v>
      </c>
      <c r="F717" s="275" t="s">
        <v>436</v>
      </c>
      <c r="G717" s="275" t="s">
        <v>437</v>
      </c>
      <c r="H717" s="275" t="s">
        <v>438</v>
      </c>
      <c r="I717" s="275" t="s">
        <v>439</v>
      </c>
      <c r="J717" s="275" t="s">
        <v>440</v>
      </c>
      <c r="K717" s="275" t="s">
        <v>441</v>
      </c>
      <c r="L717" s="275" t="s">
        <v>442</v>
      </c>
      <c r="M717" s="275" t="s">
        <v>443</v>
      </c>
      <c r="N717" s="275" t="s">
        <v>444</v>
      </c>
      <c r="O717" s="275" t="s">
        <v>445</v>
      </c>
      <c r="P717" s="275" t="s">
        <v>446</v>
      </c>
      <c r="Q717" s="275" t="s">
        <v>447</v>
      </c>
      <c r="R717" s="275" t="s">
        <v>448</v>
      </c>
      <c r="S717" s="275" t="s">
        <v>449</v>
      </c>
      <c r="T717" s="275" t="s">
        <v>450</v>
      </c>
      <c r="U717" s="275"/>
      <c r="V717" s="275"/>
      <c r="W717" s="275"/>
      <c r="X717" s="275"/>
      <c r="Y717" s="275"/>
      <c r="Z717" s="275"/>
      <c r="AA717" s="275"/>
    </row>
    <row r="718" spans="1:27">
      <c r="A718" s="280"/>
      <c r="B718" s="274"/>
      <c r="C718" s="278"/>
      <c r="D718" s="275">
        <v>1.746E-2</v>
      </c>
      <c r="E718" s="275">
        <v>7.2919999999999999E-2</v>
      </c>
      <c r="F718" s="275">
        <v>6.0260000000000001E-2</v>
      </c>
      <c r="G718" s="275">
        <v>6.8540000000000004E-2</v>
      </c>
      <c r="H718" s="275">
        <v>0.18953</v>
      </c>
      <c r="I718" s="275">
        <v>0.17999000000000001</v>
      </c>
      <c r="J718" s="275">
        <v>0.19511000000000001</v>
      </c>
      <c r="K718" s="275">
        <v>0.1706</v>
      </c>
      <c r="L718" s="275">
        <v>0.17526</v>
      </c>
      <c r="M718" s="275">
        <v>0.42327999999999999</v>
      </c>
      <c r="N718" s="275">
        <v>0.42730000000000001</v>
      </c>
      <c r="O718" s="275">
        <v>0.45913999999999999</v>
      </c>
      <c r="P718" s="275">
        <v>0.47148000000000001</v>
      </c>
      <c r="Q718" s="275">
        <v>0.48248000000000002</v>
      </c>
      <c r="R718" s="275">
        <v>0.97997999999999996</v>
      </c>
      <c r="S718" s="275">
        <v>1.0530299999999999</v>
      </c>
      <c r="T718" s="275">
        <v>1.13449</v>
      </c>
      <c r="U718" s="275"/>
      <c r="V718" s="275"/>
      <c r="W718" s="275"/>
      <c r="X718" s="275"/>
      <c r="Y718" s="275"/>
      <c r="Z718" s="275"/>
      <c r="AA718" s="275"/>
    </row>
    <row r="719" spans="1:27">
      <c r="A719" s="280"/>
      <c r="B719" s="274"/>
      <c r="C719" s="278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</row>
    <row r="720" spans="1:27">
      <c r="A720" s="280">
        <v>244</v>
      </c>
      <c r="B720" s="274">
        <v>77</v>
      </c>
      <c r="C720" s="278" t="s">
        <v>188</v>
      </c>
      <c r="D720" s="275" t="s">
        <v>434</v>
      </c>
      <c r="E720" s="275" t="s">
        <v>435</v>
      </c>
      <c r="F720" s="275" t="s">
        <v>436</v>
      </c>
      <c r="G720" s="275" t="s">
        <v>437</v>
      </c>
      <c r="H720" s="275" t="s">
        <v>438</v>
      </c>
      <c r="I720" s="275" t="s">
        <v>439</v>
      </c>
      <c r="J720" s="275" t="s">
        <v>440</v>
      </c>
      <c r="K720" s="275" t="s">
        <v>441</v>
      </c>
      <c r="L720" s="275" t="s">
        <v>442</v>
      </c>
      <c r="M720" s="275" t="s">
        <v>443</v>
      </c>
      <c r="N720" s="275" t="s">
        <v>444</v>
      </c>
      <c r="O720" s="275" t="s">
        <v>445</v>
      </c>
      <c r="P720" s="275" t="s">
        <v>446</v>
      </c>
      <c r="Q720" s="275" t="s">
        <v>447</v>
      </c>
      <c r="R720" s="275" t="s">
        <v>448</v>
      </c>
      <c r="S720" s="275" t="s">
        <v>449</v>
      </c>
      <c r="T720" s="275" t="s">
        <v>450</v>
      </c>
      <c r="U720" s="275"/>
      <c r="V720" s="275"/>
      <c r="W720" s="275"/>
      <c r="X720" s="275"/>
      <c r="Y720" s="275"/>
      <c r="Z720" s="275"/>
      <c r="AA720" s="275"/>
    </row>
    <row r="721" spans="1:27">
      <c r="A721" s="280"/>
      <c r="B721" s="274"/>
      <c r="C721" s="278"/>
      <c r="D721" s="275">
        <v>1.746E-2</v>
      </c>
      <c r="E721" s="275">
        <v>7.2919999999999999E-2</v>
      </c>
      <c r="F721" s="275">
        <v>6.0260000000000001E-2</v>
      </c>
      <c r="G721" s="275">
        <v>6.8540000000000004E-2</v>
      </c>
      <c r="H721" s="275">
        <v>0.18953</v>
      </c>
      <c r="I721" s="275">
        <v>0.17999000000000001</v>
      </c>
      <c r="J721" s="275">
        <v>0.19511000000000001</v>
      </c>
      <c r="K721" s="275">
        <v>0.1706</v>
      </c>
      <c r="L721" s="275">
        <v>0.17524999999999999</v>
      </c>
      <c r="M721" s="275">
        <v>0.42325000000000002</v>
      </c>
      <c r="N721" s="275">
        <v>0.42727999999999999</v>
      </c>
      <c r="O721" s="275">
        <v>0.45909</v>
      </c>
      <c r="P721" s="275">
        <v>0.47144999999999998</v>
      </c>
      <c r="Q721" s="275">
        <v>0.48243000000000003</v>
      </c>
      <c r="R721" s="275">
        <v>0.97399000000000002</v>
      </c>
      <c r="S721" s="275">
        <v>1.0433600000000001</v>
      </c>
      <c r="T721" s="275">
        <v>1.1215999999999999</v>
      </c>
      <c r="U721" s="275"/>
      <c r="V721" s="275"/>
      <c r="W721" s="275"/>
      <c r="X721" s="275"/>
      <c r="Y721" s="275"/>
      <c r="Z721" s="275"/>
      <c r="AA721" s="275"/>
    </row>
    <row r="722" spans="1:27">
      <c r="A722" s="280"/>
      <c r="B722" s="274"/>
      <c r="C722" s="278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</row>
    <row r="723" spans="1:27">
      <c r="A723" s="280">
        <v>245</v>
      </c>
      <c r="B723" s="274">
        <v>78</v>
      </c>
      <c r="C723" s="278" t="s">
        <v>382</v>
      </c>
      <c r="D723" s="275" t="s">
        <v>434</v>
      </c>
      <c r="E723" s="275" t="s">
        <v>435</v>
      </c>
      <c r="F723" s="275" t="s">
        <v>436</v>
      </c>
      <c r="G723" s="275" t="s">
        <v>437</v>
      </c>
      <c r="H723" s="275" t="s">
        <v>438</v>
      </c>
      <c r="I723" s="275" t="s">
        <v>439</v>
      </c>
      <c r="J723" s="275" t="s">
        <v>440</v>
      </c>
      <c r="K723" s="275" t="s">
        <v>441</v>
      </c>
      <c r="L723" s="275" t="s">
        <v>442</v>
      </c>
      <c r="M723" s="275" t="s">
        <v>443</v>
      </c>
      <c r="N723" s="275" t="s">
        <v>444</v>
      </c>
      <c r="O723" s="275" t="s">
        <v>445</v>
      </c>
      <c r="P723" s="275" t="s">
        <v>446</v>
      </c>
      <c r="Q723" s="275" t="s">
        <v>447</v>
      </c>
      <c r="R723" s="275" t="s">
        <v>448</v>
      </c>
      <c r="S723" s="275" t="s">
        <v>449</v>
      </c>
      <c r="T723" s="275" t="s">
        <v>450</v>
      </c>
      <c r="U723" s="275"/>
      <c r="V723" s="275"/>
      <c r="W723" s="275"/>
      <c r="X723" s="275"/>
      <c r="Y723" s="275"/>
      <c r="Z723" s="275"/>
      <c r="AA723" s="275"/>
    </row>
    <row r="724" spans="1:27">
      <c r="A724" s="280"/>
      <c r="B724" s="274"/>
      <c r="C724" s="278"/>
      <c r="D724" s="275">
        <v>1.7170000000000001E-2</v>
      </c>
      <c r="E724" s="275">
        <v>7.1660000000000001E-2</v>
      </c>
      <c r="F724" s="275">
        <v>5.9159999999999997E-2</v>
      </c>
      <c r="G724" s="275">
        <v>6.7559999999999995E-2</v>
      </c>
      <c r="H724" s="275">
        <v>0.1862</v>
      </c>
      <c r="I724" s="275">
        <v>0.17671000000000001</v>
      </c>
      <c r="J724" s="275">
        <v>0.19203000000000001</v>
      </c>
      <c r="K724" s="275">
        <v>0.16774</v>
      </c>
      <c r="L724" s="275">
        <v>0.17244999999999999</v>
      </c>
      <c r="M724" s="275">
        <v>0.41499999999999998</v>
      </c>
      <c r="N724" s="275">
        <v>0.41846</v>
      </c>
      <c r="O724" s="275">
        <v>0.45051000000000002</v>
      </c>
      <c r="P724" s="275">
        <v>0.46107999999999999</v>
      </c>
      <c r="Q724" s="275">
        <v>0.47205999999999998</v>
      </c>
      <c r="R724" s="275">
        <v>0.96706000000000003</v>
      </c>
      <c r="S724" s="275">
        <v>1.0457000000000001</v>
      </c>
      <c r="T724" s="275">
        <v>1.1365799999999999</v>
      </c>
      <c r="U724" s="275"/>
      <c r="V724" s="275"/>
      <c r="W724" s="275"/>
      <c r="X724" s="275"/>
      <c r="Y724" s="275"/>
      <c r="Z724" s="275"/>
      <c r="AA724" s="275"/>
    </row>
    <row r="725" spans="1:27">
      <c r="A725" s="280"/>
      <c r="B725" s="274"/>
      <c r="C725" s="278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</row>
    <row r="726" spans="1:27">
      <c r="A726" s="280">
        <v>246</v>
      </c>
      <c r="B726" s="274">
        <v>78</v>
      </c>
      <c r="C726" s="278" t="s">
        <v>383</v>
      </c>
      <c r="D726" s="275" t="s">
        <v>434</v>
      </c>
      <c r="E726" s="275" t="s">
        <v>435</v>
      </c>
      <c r="F726" s="275" t="s">
        <v>436</v>
      </c>
      <c r="G726" s="275" t="s">
        <v>437</v>
      </c>
      <c r="H726" s="275" t="s">
        <v>438</v>
      </c>
      <c r="I726" s="275" t="s">
        <v>439</v>
      </c>
      <c r="J726" s="275" t="s">
        <v>440</v>
      </c>
      <c r="K726" s="275" t="s">
        <v>441</v>
      </c>
      <c r="L726" s="275" t="s">
        <v>442</v>
      </c>
      <c r="M726" s="275" t="s">
        <v>443</v>
      </c>
      <c r="N726" s="275" t="s">
        <v>444</v>
      </c>
      <c r="O726" s="275" t="s">
        <v>445</v>
      </c>
      <c r="P726" s="275" t="s">
        <v>446</v>
      </c>
      <c r="Q726" s="275" t="s">
        <v>447</v>
      </c>
      <c r="R726" s="275" t="s">
        <v>448</v>
      </c>
      <c r="S726" s="275" t="s">
        <v>449</v>
      </c>
      <c r="T726" s="275" t="s">
        <v>450</v>
      </c>
      <c r="U726" s="275"/>
      <c r="V726" s="275"/>
      <c r="W726" s="275"/>
      <c r="X726" s="275"/>
      <c r="Y726" s="275"/>
      <c r="Z726" s="275"/>
      <c r="AA726" s="275"/>
    </row>
    <row r="727" spans="1:27">
      <c r="A727" s="280"/>
      <c r="B727" s="274"/>
      <c r="C727" s="278"/>
      <c r="D727" s="275">
        <v>1.7170000000000001E-2</v>
      </c>
      <c r="E727" s="275">
        <v>7.1660000000000001E-2</v>
      </c>
      <c r="F727" s="275">
        <v>5.9159999999999997E-2</v>
      </c>
      <c r="G727" s="275">
        <v>6.7559999999999995E-2</v>
      </c>
      <c r="H727" s="275">
        <v>0.1862</v>
      </c>
      <c r="I727" s="275">
        <v>0.17671000000000001</v>
      </c>
      <c r="J727" s="275">
        <v>0.19203000000000001</v>
      </c>
      <c r="K727" s="275">
        <v>0.16774</v>
      </c>
      <c r="L727" s="275">
        <v>0.17244000000000001</v>
      </c>
      <c r="M727" s="275">
        <v>0.41498000000000002</v>
      </c>
      <c r="N727" s="275">
        <v>0.41844999999999999</v>
      </c>
      <c r="O727" s="275">
        <v>0.45046999999999998</v>
      </c>
      <c r="P727" s="275">
        <v>0.46110000000000001</v>
      </c>
      <c r="Q727" s="275">
        <v>0.47205999999999998</v>
      </c>
      <c r="R727" s="275">
        <v>0.95901000000000003</v>
      </c>
      <c r="S727" s="275">
        <v>1.0310999999999999</v>
      </c>
      <c r="T727" s="275">
        <v>1.1153900000000001</v>
      </c>
      <c r="U727" s="275"/>
      <c r="V727" s="275"/>
      <c r="W727" s="275"/>
      <c r="X727" s="275"/>
      <c r="Y727" s="275"/>
      <c r="Z727" s="275"/>
      <c r="AA727" s="275"/>
    </row>
    <row r="728" spans="1:27">
      <c r="A728" s="280"/>
      <c r="B728" s="274"/>
      <c r="C728" s="278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</row>
    <row r="729" spans="1:27">
      <c r="A729" s="280">
        <v>247</v>
      </c>
      <c r="B729" s="274">
        <v>78</v>
      </c>
      <c r="C729" s="278" t="s">
        <v>189</v>
      </c>
      <c r="D729" s="275" t="s">
        <v>434</v>
      </c>
      <c r="E729" s="275" t="s">
        <v>435</v>
      </c>
      <c r="F729" s="275" t="s">
        <v>436</v>
      </c>
      <c r="G729" s="275" t="s">
        <v>437</v>
      </c>
      <c r="H729" s="275" t="s">
        <v>438</v>
      </c>
      <c r="I729" s="275" t="s">
        <v>439</v>
      </c>
      <c r="J729" s="275" t="s">
        <v>440</v>
      </c>
      <c r="K729" s="275" t="s">
        <v>441</v>
      </c>
      <c r="L729" s="275" t="s">
        <v>442</v>
      </c>
      <c r="M729" s="275" t="s">
        <v>443</v>
      </c>
      <c r="N729" s="275" t="s">
        <v>444</v>
      </c>
      <c r="O729" s="275" t="s">
        <v>445</v>
      </c>
      <c r="P729" s="275" t="s">
        <v>446</v>
      </c>
      <c r="Q729" s="275" t="s">
        <v>447</v>
      </c>
      <c r="R729" s="275" t="s">
        <v>448</v>
      </c>
      <c r="S729" s="275" t="s">
        <v>449</v>
      </c>
      <c r="T729" s="275" t="s">
        <v>450</v>
      </c>
      <c r="U729" s="275"/>
      <c r="V729" s="275"/>
      <c r="W729" s="275"/>
      <c r="X729" s="275"/>
      <c r="Y729" s="275"/>
      <c r="Z729" s="275"/>
      <c r="AA729" s="275"/>
    </row>
    <row r="730" spans="1:27">
      <c r="A730" s="280"/>
      <c r="B730" s="274"/>
      <c r="C730" s="278"/>
      <c r="D730" s="275">
        <v>1.7170000000000001E-2</v>
      </c>
      <c r="E730" s="275">
        <v>7.1660000000000001E-2</v>
      </c>
      <c r="F730" s="275">
        <v>5.9150000000000001E-2</v>
      </c>
      <c r="G730" s="275">
        <v>6.7559999999999995E-2</v>
      </c>
      <c r="H730" s="275">
        <v>0.1862</v>
      </c>
      <c r="I730" s="275">
        <v>0.17671000000000001</v>
      </c>
      <c r="J730" s="275">
        <v>0.19202</v>
      </c>
      <c r="K730" s="275">
        <v>0.16774</v>
      </c>
      <c r="L730" s="275">
        <v>0.17244000000000001</v>
      </c>
      <c r="M730" s="275">
        <v>0.41496</v>
      </c>
      <c r="N730" s="275">
        <v>0.41843000000000002</v>
      </c>
      <c r="O730" s="275">
        <v>0.45044000000000001</v>
      </c>
      <c r="P730" s="275">
        <v>0.46109</v>
      </c>
      <c r="Q730" s="275">
        <v>0.47204000000000002</v>
      </c>
      <c r="R730" s="275">
        <v>0.95399</v>
      </c>
      <c r="S730" s="275">
        <v>1.0226900000000001</v>
      </c>
      <c r="T730" s="275">
        <v>1.1037699999999999</v>
      </c>
      <c r="U730" s="275"/>
      <c r="V730" s="275"/>
      <c r="W730" s="275"/>
      <c r="X730" s="275"/>
      <c r="Y730" s="275"/>
      <c r="Z730" s="275"/>
      <c r="AA730" s="275"/>
    </row>
    <row r="731" spans="1:27">
      <c r="A731" s="280"/>
      <c r="B731" s="274"/>
      <c r="C731" s="278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</row>
    <row r="732" spans="1:27">
      <c r="A732" s="280">
        <v>248</v>
      </c>
      <c r="B732" s="274">
        <v>78</v>
      </c>
      <c r="C732" s="278" t="s">
        <v>190</v>
      </c>
      <c r="D732" s="275" t="s">
        <v>434</v>
      </c>
      <c r="E732" s="275" t="s">
        <v>435</v>
      </c>
      <c r="F732" s="275" t="s">
        <v>436</v>
      </c>
      <c r="G732" s="275" t="s">
        <v>437</v>
      </c>
      <c r="H732" s="275" t="s">
        <v>438</v>
      </c>
      <c r="I732" s="275" t="s">
        <v>439</v>
      </c>
      <c r="J732" s="275" t="s">
        <v>440</v>
      </c>
      <c r="K732" s="275" t="s">
        <v>441</v>
      </c>
      <c r="L732" s="275" t="s">
        <v>442</v>
      </c>
      <c r="M732" s="275" t="s">
        <v>443</v>
      </c>
      <c r="N732" s="275" t="s">
        <v>444</v>
      </c>
      <c r="O732" s="275" t="s">
        <v>445</v>
      </c>
      <c r="P732" s="275" t="s">
        <v>446</v>
      </c>
      <c r="Q732" s="275" t="s">
        <v>447</v>
      </c>
      <c r="R732" s="275" t="s">
        <v>448</v>
      </c>
      <c r="S732" s="275" t="s">
        <v>449</v>
      </c>
      <c r="T732" s="275" t="s">
        <v>450</v>
      </c>
      <c r="U732" s="275"/>
      <c r="V732" s="275"/>
      <c r="W732" s="275"/>
      <c r="X732" s="275"/>
      <c r="Y732" s="275"/>
      <c r="Z732" s="275"/>
      <c r="AA732" s="275"/>
    </row>
    <row r="733" spans="1:27">
      <c r="A733" s="280"/>
      <c r="B733" s="274"/>
      <c r="C733" s="278"/>
      <c r="D733" s="275">
        <v>1.7170000000000001E-2</v>
      </c>
      <c r="E733" s="275">
        <v>7.1660000000000001E-2</v>
      </c>
      <c r="F733" s="275">
        <v>5.9150000000000001E-2</v>
      </c>
      <c r="G733" s="275">
        <v>6.7549999999999999E-2</v>
      </c>
      <c r="H733" s="275">
        <v>0.18618999999999999</v>
      </c>
      <c r="I733" s="275">
        <v>0.1767</v>
      </c>
      <c r="J733" s="275">
        <v>0.19202</v>
      </c>
      <c r="K733" s="275">
        <v>0.16774</v>
      </c>
      <c r="L733" s="275">
        <v>0.17244000000000001</v>
      </c>
      <c r="M733" s="275">
        <v>0.41493000000000002</v>
      </c>
      <c r="N733" s="275">
        <v>0.41839999999999999</v>
      </c>
      <c r="O733" s="275">
        <v>0.45039000000000001</v>
      </c>
      <c r="P733" s="275">
        <v>0.46106000000000003</v>
      </c>
      <c r="Q733" s="275">
        <v>0.47199000000000002</v>
      </c>
      <c r="R733" s="275">
        <v>0.94847999999999999</v>
      </c>
      <c r="S733" s="275">
        <v>1.01386</v>
      </c>
      <c r="T733" s="275">
        <v>1.0918699999999999</v>
      </c>
      <c r="U733" s="275"/>
      <c r="V733" s="275"/>
      <c r="W733" s="275"/>
      <c r="X733" s="275"/>
      <c r="Y733" s="275"/>
      <c r="Z733" s="275"/>
      <c r="AA733" s="275"/>
    </row>
    <row r="734" spans="1:27">
      <c r="A734" s="280"/>
      <c r="B734" s="274"/>
      <c r="C734" s="278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</row>
    <row r="735" spans="1:27">
      <c r="A735" s="280">
        <v>249</v>
      </c>
      <c r="B735" s="274">
        <v>79</v>
      </c>
      <c r="C735" s="278" t="s">
        <v>191</v>
      </c>
      <c r="D735" s="275" t="s">
        <v>434</v>
      </c>
      <c r="E735" s="275" t="s">
        <v>435</v>
      </c>
      <c r="F735" s="275" t="s">
        <v>436</v>
      </c>
      <c r="G735" s="275" t="s">
        <v>437</v>
      </c>
      <c r="H735" s="275" t="s">
        <v>438</v>
      </c>
      <c r="I735" s="275" t="s">
        <v>439</v>
      </c>
      <c r="J735" s="275" t="s">
        <v>440</v>
      </c>
      <c r="K735" s="275" t="s">
        <v>441</v>
      </c>
      <c r="L735" s="275" t="s">
        <v>442</v>
      </c>
      <c r="M735" s="275" t="s">
        <v>443</v>
      </c>
      <c r="N735" s="275" t="s">
        <v>444</v>
      </c>
      <c r="O735" s="275" t="s">
        <v>445</v>
      </c>
      <c r="P735" s="275" t="s">
        <v>446</v>
      </c>
      <c r="Q735" s="275" t="s">
        <v>447</v>
      </c>
      <c r="R735" s="275" t="s">
        <v>448</v>
      </c>
      <c r="S735" s="275" t="s">
        <v>449</v>
      </c>
      <c r="T735" s="275" t="s">
        <v>450</v>
      </c>
      <c r="U735" s="275"/>
      <c r="V735" s="275"/>
      <c r="W735" s="275"/>
      <c r="X735" s="275"/>
      <c r="Y735" s="275"/>
      <c r="Z735" s="275"/>
      <c r="AA735" s="275"/>
    </row>
    <row r="736" spans="1:27">
      <c r="A736" s="280"/>
      <c r="B736" s="274"/>
      <c r="C736" s="278"/>
      <c r="D736" s="275">
        <v>1.6879999999999999E-2</v>
      </c>
      <c r="E736" s="275">
        <v>7.0430000000000006E-2</v>
      </c>
      <c r="F736" s="275">
        <v>5.8069999999999997E-2</v>
      </c>
      <c r="G736" s="275">
        <v>6.6589999999999996E-2</v>
      </c>
      <c r="H736" s="275">
        <v>0.18296000000000001</v>
      </c>
      <c r="I736" s="275">
        <v>0.17352000000000001</v>
      </c>
      <c r="J736" s="275">
        <v>0.18903</v>
      </c>
      <c r="K736" s="275">
        <v>0.16497000000000001</v>
      </c>
      <c r="L736" s="275">
        <v>0.16972000000000001</v>
      </c>
      <c r="M736" s="275">
        <v>0.40692</v>
      </c>
      <c r="N736" s="275">
        <v>0.40987000000000001</v>
      </c>
      <c r="O736" s="275">
        <v>0.44208999999999998</v>
      </c>
      <c r="P736" s="275">
        <v>0.45107999999999998</v>
      </c>
      <c r="Q736" s="275">
        <v>0.46203</v>
      </c>
      <c r="R736" s="275">
        <v>0.94399</v>
      </c>
      <c r="S736" s="275">
        <v>1.0202800000000001</v>
      </c>
      <c r="T736" s="275">
        <v>1.1133</v>
      </c>
      <c r="U736" s="275"/>
      <c r="V736" s="275"/>
      <c r="W736" s="275"/>
      <c r="X736" s="275"/>
      <c r="Y736" s="275"/>
      <c r="Z736" s="275"/>
      <c r="AA736" s="275"/>
    </row>
    <row r="737" spans="1:27">
      <c r="A737" s="280"/>
      <c r="B737" s="274"/>
      <c r="C737" s="278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</row>
    <row r="738" spans="1:27">
      <c r="A738" s="280">
        <v>250</v>
      </c>
      <c r="B738" s="274">
        <v>79</v>
      </c>
      <c r="C738" s="278" t="s">
        <v>192</v>
      </c>
      <c r="D738" s="275" t="s">
        <v>434</v>
      </c>
      <c r="E738" s="275" t="s">
        <v>435</v>
      </c>
      <c r="F738" s="275" t="s">
        <v>436</v>
      </c>
      <c r="G738" s="275" t="s">
        <v>437</v>
      </c>
      <c r="H738" s="275" t="s">
        <v>438</v>
      </c>
      <c r="I738" s="275" t="s">
        <v>439</v>
      </c>
      <c r="J738" s="275" t="s">
        <v>440</v>
      </c>
      <c r="K738" s="275" t="s">
        <v>441</v>
      </c>
      <c r="L738" s="275" t="s">
        <v>442</v>
      </c>
      <c r="M738" s="275" t="s">
        <v>443</v>
      </c>
      <c r="N738" s="275" t="s">
        <v>444</v>
      </c>
      <c r="O738" s="275" t="s">
        <v>445</v>
      </c>
      <c r="P738" s="275" t="s">
        <v>446</v>
      </c>
      <c r="Q738" s="275" t="s">
        <v>447</v>
      </c>
      <c r="R738" s="275" t="s">
        <v>448</v>
      </c>
      <c r="S738" s="275" t="s">
        <v>449</v>
      </c>
      <c r="T738" s="275" t="s">
        <v>450</v>
      </c>
      <c r="U738" s="275"/>
      <c r="V738" s="275"/>
      <c r="W738" s="275"/>
      <c r="X738" s="275"/>
      <c r="Y738" s="275"/>
      <c r="Z738" s="275"/>
      <c r="AA738" s="275"/>
    </row>
    <row r="739" spans="1:27">
      <c r="A739" s="280"/>
      <c r="B739" s="274"/>
      <c r="C739" s="278"/>
      <c r="D739" s="275">
        <v>1.6879999999999999E-2</v>
      </c>
      <c r="E739" s="275">
        <v>7.0430000000000006E-2</v>
      </c>
      <c r="F739" s="275">
        <v>5.8069999999999997E-2</v>
      </c>
      <c r="G739" s="275">
        <v>6.6589999999999996E-2</v>
      </c>
      <c r="H739" s="275">
        <v>0.18296000000000001</v>
      </c>
      <c r="I739" s="275">
        <v>0.17352000000000001</v>
      </c>
      <c r="J739" s="275">
        <v>0.18903</v>
      </c>
      <c r="K739" s="275">
        <v>0.16497000000000001</v>
      </c>
      <c r="L739" s="275">
        <v>0.16972000000000001</v>
      </c>
      <c r="M739" s="275">
        <v>0.40692</v>
      </c>
      <c r="N739" s="275">
        <v>0.40987000000000001</v>
      </c>
      <c r="O739" s="275">
        <v>0.44208999999999998</v>
      </c>
      <c r="P739" s="275">
        <v>0.45111000000000001</v>
      </c>
      <c r="Q739" s="275">
        <v>0.46205000000000002</v>
      </c>
      <c r="R739" s="275">
        <v>0.94142999999999999</v>
      </c>
      <c r="S739" s="275">
        <v>1.0151300000000001</v>
      </c>
      <c r="T739" s="275">
        <v>1.10524</v>
      </c>
      <c r="U739" s="275"/>
      <c r="V739" s="275"/>
      <c r="W739" s="275"/>
      <c r="X739" s="275"/>
      <c r="Y739" s="275"/>
      <c r="Z739" s="275"/>
      <c r="AA739" s="275"/>
    </row>
    <row r="740" spans="1:27">
      <c r="A740" s="280"/>
      <c r="B740" s="274"/>
      <c r="C740" s="278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</row>
    <row r="741" spans="1:27">
      <c r="A741" s="280">
        <v>251</v>
      </c>
      <c r="B741" s="274">
        <v>79</v>
      </c>
      <c r="C741" s="278" t="s">
        <v>193</v>
      </c>
      <c r="D741" s="275" t="s">
        <v>434</v>
      </c>
      <c r="E741" s="275" t="s">
        <v>435</v>
      </c>
      <c r="F741" s="275" t="s">
        <v>436</v>
      </c>
      <c r="G741" s="275" t="s">
        <v>437</v>
      </c>
      <c r="H741" s="275" t="s">
        <v>438</v>
      </c>
      <c r="I741" s="275" t="s">
        <v>439</v>
      </c>
      <c r="J741" s="275" t="s">
        <v>440</v>
      </c>
      <c r="K741" s="275" t="s">
        <v>441</v>
      </c>
      <c r="L741" s="275" t="s">
        <v>442</v>
      </c>
      <c r="M741" s="275" t="s">
        <v>443</v>
      </c>
      <c r="N741" s="275" t="s">
        <v>444</v>
      </c>
      <c r="O741" s="275" t="s">
        <v>445</v>
      </c>
      <c r="P741" s="275" t="s">
        <v>446</v>
      </c>
      <c r="Q741" s="275" t="s">
        <v>447</v>
      </c>
      <c r="R741" s="275" t="s">
        <v>448</v>
      </c>
      <c r="S741" s="275" t="s">
        <v>449</v>
      </c>
      <c r="T741" s="275" t="s">
        <v>450</v>
      </c>
      <c r="U741" s="275"/>
      <c r="V741" s="275"/>
      <c r="W741" s="275"/>
      <c r="X741" s="275"/>
      <c r="Y741" s="275"/>
      <c r="Z741" s="275"/>
      <c r="AA741" s="275"/>
    </row>
    <row r="742" spans="1:27">
      <c r="A742" s="280"/>
      <c r="B742" s="274"/>
      <c r="C742" s="278"/>
      <c r="D742" s="275">
        <v>1.6879999999999999E-2</v>
      </c>
      <c r="E742" s="275">
        <v>7.0430000000000006E-2</v>
      </c>
      <c r="F742" s="275">
        <v>5.8069999999999997E-2</v>
      </c>
      <c r="G742" s="275">
        <v>6.6589999999999996E-2</v>
      </c>
      <c r="H742" s="275">
        <v>0.18295</v>
      </c>
      <c r="I742" s="275">
        <v>0.17352000000000001</v>
      </c>
      <c r="J742" s="275">
        <v>0.18903</v>
      </c>
      <c r="K742" s="275">
        <v>0.16497000000000001</v>
      </c>
      <c r="L742" s="275">
        <v>0.16972000000000001</v>
      </c>
      <c r="M742" s="275">
        <v>0.40690999999999999</v>
      </c>
      <c r="N742" s="275">
        <v>0.40986</v>
      </c>
      <c r="O742" s="275">
        <v>0.44207000000000002</v>
      </c>
      <c r="P742" s="275">
        <v>0.45112000000000002</v>
      </c>
      <c r="Q742" s="275">
        <v>0.46205000000000002</v>
      </c>
      <c r="R742" s="275">
        <v>0.93803000000000003</v>
      </c>
      <c r="S742" s="275">
        <v>1.00884</v>
      </c>
      <c r="T742" s="275">
        <v>1.0958399999999999</v>
      </c>
      <c r="U742" s="275"/>
      <c r="V742" s="275"/>
      <c r="W742" s="275"/>
      <c r="X742" s="275"/>
      <c r="Y742" s="275"/>
      <c r="Z742" s="275"/>
      <c r="AA742" s="275"/>
    </row>
    <row r="743" spans="1:27">
      <c r="A743" s="280"/>
      <c r="B743" s="274"/>
      <c r="C743" s="278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</row>
    <row r="744" spans="1:27">
      <c r="A744" s="280">
        <v>252</v>
      </c>
      <c r="B744" s="274">
        <v>79</v>
      </c>
      <c r="C744" s="278" t="s">
        <v>384</v>
      </c>
      <c r="D744" s="275" t="s">
        <v>434</v>
      </c>
      <c r="E744" s="275" t="s">
        <v>435</v>
      </c>
      <c r="F744" s="275" t="s">
        <v>436</v>
      </c>
      <c r="G744" s="275" t="s">
        <v>437</v>
      </c>
      <c r="H744" s="275" t="s">
        <v>438</v>
      </c>
      <c r="I744" s="275" t="s">
        <v>439</v>
      </c>
      <c r="J744" s="275" t="s">
        <v>440</v>
      </c>
      <c r="K744" s="275" t="s">
        <v>441</v>
      </c>
      <c r="L744" s="275" t="s">
        <v>442</v>
      </c>
      <c r="M744" s="275" t="s">
        <v>443</v>
      </c>
      <c r="N744" s="275" t="s">
        <v>444</v>
      </c>
      <c r="O744" s="275" t="s">
        <v>445</v>
      </c>
      <c r="P744" s="275" t="s">
        <v>446</v>
      </c>
      <c r="Q744" s="275" t="s">
        <v>447</v>
      </c>
      <c r="R744" s="275" t="s">
        <v>448</v>
      </c>
      <c r="S744" s="275" t="s">
        <v>449</v>
      </c>
      <c r="T744" s="275" t="s">
        <v>450</v>
      </c>
      <c r="U744" s="275"/>
      <c r="V744" s="275"/>
      <c r="W744" s="275"/>
      <c r="X744" s="275"/>
      <c r="Y744" s="275"/>
      <c r="Z744" s="275"/>
      <c r="AA744" s="275"/>
    </row>
    <row r="745" spans="1:27">
      <c r="A745" s="280"/>
      <c r="B745" s="274"/>
      <c r="C745" s="278"/>
      <c r="D745" s="275">
        <v>1.6879999999999999E-2</v>
      </c>
      <c r="E745" s="275">
        <v>7.0419999999999996E-2</v>
      </c>
      <c r="F745" s="275">
        <v>5.8069999999999997E-2</v>
      </c>
      <c r="G745" s="275">
        <v>6.6589999999999996E-2</v>
      </c>
      <c r="H745" s="275">
        <v>0.18295</v>
      </c>
      <c r="I745" s="275">
        <v>0.17351</v>
      </c>
      <c r="J745" s="275">
        <v>0.18901999999999999</v>
      </c>
      <c r="K745" s="275">
        <v>0.16496</v>
      </c>
      <c r="L745" s="275">
        <v>0.16972000000000001</v>
      </c>
      <c r="M745" s="275">
        <v>0.40687000000000001</v>
      </c>
      <c r="N745" s="275">
        <v>0.40983000000000003</v>
      </c>
      <c r="O745" s="275">
        <v>0.44201000000000001</v>
      </c>
      <c r="P745" s="275">
        <v>0.45111000000000001</v>
      </c>
      <c r="Q745" s="275">
        <v>0.46200999999999998</v>
      </c>
      <c r="R745" s="275">
        <v>0.92930999999999997</v>
      </c>
      <c r="S745" s="275">
        <v>0.99402999999999997</v>
      </c>
      <c r="T745" s="275">
        <v>1.0748200000000001</v>
      </c>
      <c r="U745" s="275"/>
      <c r="V745" s="275"/>
      <c r="W745" s="275"/>
      <c r="X745" s="275"/>
      <c r="Y745" s="275"/>
      <c r="Z745" s="275"/>
      <c r="AA745" s="275"/>
    </row>
    <row r="746" spans="1:27">
      <c r="A746" s="280"/>
      <c r="B746" s="274"/>
      <c r="C746" s="278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</row>
    <row r="747" spans="1:27">
      <c r="A747" s="280">
        <v>253</v>
      </c>
      <c r="B747" s="274">
        <v>80</v>
      </c>
      <c r="C747" s="278" t="s">
        <v>194</v>
      </c>
      <c r="D747" s="275" t="s">
        <v>434</v>
      </c>
      <c r="E747" s="275" t="s">
        <v>435</v>
      </c>
      <c r="F747" s="275" t="s">
        <v>436</v>
      </c>
      <c r="G747" s="275" t="s">
        <v>437</v>
      </c>
      <c r="H747" s="275" t="s">
        <v>438</v>
      </c>
      <c r="I747" s="275" t="s">
        <v>439</v>
      </c>
      <c r="J747" s="275" t="s">
        <v>440</v>
      </c>
      <c r="K747" s="275" t="s">
        <v>441</v>
      </c>
      <c r="L747" s="275" t="s">
        <v>442</v>
      </c>
      <c r="M747" s="275" t="s">
        <v>443</v>
      </c>
      <c r="N747" s="275" t="s">
        <v>444</v>
      </c>
      <c r="O747" s="275" t="s">
        <v>445</v>
      </c>
      <c r="P747" s="275" t="s">
        <v>446</v>
      </c>
      <c r="Q747" s="275" t="s">
        <v>447</v>
      </c>
      <c r="R747" s="275" t="s">
        <v>448</v>
      </c>
      <c r="S747" s="275" t="s">
        <v>449</v>
      </c>
      <c r="T747" s="275" t="s">
        <v>450</v>
      </c>
      <c r="U747" s="275"/>
      <c r="V747" s="275"/>
      <c r="W747" s="275"/>
      <c r="X747" s="275"/>
      <c r="Y747" s="275"/>
      <c r="Z747" s="275"/>
      <c r="AA747" s="275"/>
    </row>
    <row r="748" spans="1:27">
      <c r="A748" s="280"/>
      <c r="B748" s="274"/>
      <c r="C748" s="278"/>
      <c r="D748" s="275">
        <v>1.661E-2</v>
      </c>
      <c r="E748" s="275">
        <v>6.9220000000000004E-2</v>
      </c>
      <c r="F748" s="275">
        <v>5.7009999999999998E-2</v>
      </c>
      <c r="G748" s="275">
        <v>6.5659999999999996E-2</v>
      </c>
      <c r="H748" s="275">
        <v>0.17979000000000001</v>
      </c>
      <c r="I748" s="275">
        <v>0.1704</v>
      </c>
      <c r="J748" s="275">
        <v>0.18612000000000001</v>
      </c>
      <c r="K748" s="275">
        <v>0.16227</v>
      </c>
      <c r="L748" s="275">
        <v>0.16708000000000001</v>
      </c>
      <c r="M748" s="275">
        <v>0.39905000000000002</v>
      </c>
      <c r="N748" s="275">
        <v>0.40154000000000001</v>
      </c>
      <c r="O748" s="275">
        <v>0.43396000000000001</v>
      </c>
      <c r="P748" s="275">
        <v>0.44155</v>
      </c>
      <c r="Q748" s="275">
        <v>0.45245999999999997</v>
      </c>
      <c r="R748" s="275">
        <v>0.91603000000000001</v>
      </c>
      <c r="S748" s="275">
        <v>0.98689000000000004</v>
      </c>
      <c r="T748" s="275">
        <v>1.07786</v>
      </c>
      <c r="U748" s="275"/>
      <c r="V748" s="275"/>
      <c r="W748" s="275"/>
      <c r="X748" s="275"/>
      <c r="Y748" s="275"/>
      <c r="Z748" s="275"/>
      <c r="AA748" s="275"/>
    </row>
    <row r="749" spans="1:27">
      <c r="A749" s="280"/>
      <c r="B749" s="274"/>
      <c r="C749" s="278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</row>
    <row r="750" spans="1:27">
      <c r="A750" s="280">
        <v>254</v>
      </c>
      <c r="B750" s="274">
        <v>80</v>
      </c>
      <c r="C750" s="278" t="s">
        <v>195</v>
      </c>
      <c r="D750" s="275" t="s">
        <v>434</v>
      </c>
      <c r="E750" s="275" t="s">
        <v>435</v>
      </c>
      <c r="F750" s="275" t="s">
        <v>436</v>
      </c>
      <c r="G750" s="275" t="s">
        <v>437</v>
      </c>
      <c r="H750" s="275" t="s">
        <v>438</v>
      </c>
      <c r="I750" s="275" t="s">
        <v>439</v>
      </c>
      <c r="J750" s="275" t="s">
        <v>440</v>
      </c>
      <c r="K750" s="275" t="s">
        <v>441</v>
      </c>
      <c r="L750" s="275" t="s">
        <v>442</v>
      </c>
      <c r="M750" s="275" t="s">
        <v>443</v>
      </c>
      <c r="N750" s="275" t="s">
        <v>444</v>
      </c>
      <c r="O750" s="275" t="s">
        <v>445</v>
      </c>
      <c r="P750" s="275" t="s">
        <v>446</v>
      </c>
      <c r="Q750" s="275" t="s">
        <v>447</v>
      </c>
      <c r="R750" s="275" t="s">
        <v>448</v>
      </c>
      <c r="S750" s="275" t="s">
        <v>449</v>
      </c>
      <c r="T750" s="275" t="s">
        <v>450</v>
      </c>
      <c r="U750" s="275"/>
      <c r="V750" s="275"/>
      <c r="W750" s="275"/>
      <c r="X750" s="275"/>
      <c r="Y750" s="275"/>
      <c r="Z750" s="275"/>
      <c r="AA750" s="275"/>
    </row>
    <row r="751" spans="1:27">
      <c r="A751" s="280"/>
      <c r="B751" s="274"/>
      <c r="C751" s="278"/>
      <c r="D751" s="275">
        <v>1.661E-2</v>
      </c>
      <c r="E751" s="275">
        <v>6.9220000000000004E-2</v>
      </c>
      <c r="F751" s="275">
        <v>5.7009999999999998E-2</v>
      </c>
      <c r="G751" s="275">
        <v>6.5659999999999996E-2</v>
      </c>
      <c r="H751" s="275">
        <v>0.17979000000000001</v>
      </c>
      <c r="I751" s="275">
        <v>0.1704</v>
      </c>
      <c r="J751" s="275">
        <v>0.18612000000000001</v>
      </c>
      <c r="K751" s="275">
        <v>0.16227</v>
      </c>
      <c r="L751" s="275">
        <v>0.16708000000000001</v>
      </c>
      <c r="M751" s="275">
        <v>0.39906999999999998</v>
      </c>
      <c r="N751" s="275">
        <v>0.40154000000000001</v>
      </c>
      <c r="O751" s="275">
        <v>0.43393999999999999</v>
      </c>
      <c r="P751" s="275">
        <v>0.44152999999999998</v>
      </c>
      <c r="Q751" s="275">
        <v>0.45243</v>
      </c>
      <c r="R751" s="275">
        <v>0.91710000000000003</v>
      </c>
      <c r="S751" s="275">
        <v>0.98631999999999997</v>
      </c>
      <c r="T751" s="275">
        <v>1.0758099999999999</v>
      </c>
      <c r="U751" s="275"/>
      <c r="V751" s="275"/>
      <c r="W751" s="275"/>
      <c r="X751" s="275"/>
      <c r="Y751" s="275"/>
      <c r="Z751" s="275"/>
      <c r="AA751" s="275"/>
    </row>
    <row r="752" spans="1:27">
      <c r="A752" s="280"/>
      <c r="B752" s="274"/>
      <c r="C752" s="278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</row>
    <row r="753" spans="1:27">
      <c r="A753" s="280">
        <v>255</v>
      </c>
      <c r="B753" s="274">
        <v>81</v>
      </c>
      <c r="C753" s="278" t="s">
        <v>196</v>
      </c>
      <c r="D753" s="275" t="s">
        <v>434</v>
      </c>
      <c r="E753" s="275" t="s">
        <v>435</v>
      </c>
      <c r="F753" s="275" t="s">
        <v>436</v>
      </c>
      <c r="G753" s="275" t="s">
        <v>437</v>
      </c>
      <c r="H753" s="275" t="s">
        <v>438</v>
      </c>
      <c r="I753" s="275" t="s">
        <v>439</v>
      </c>
      <c r="J753" s="275" t="s">
        <v>440</v>
      </c>
      <c r="K753" s="275" t="s">
        <v>441</v>
      </c>
      <c r="L753" s="275" t="s">
        <v>442</v>
      </c>
      <c r="M753" s="275" t="s">
        <v>443</v>
      </c>
      <c r="N753" s="275" t="s">
        <v>444</v>
      </c>
      <c r="O753" s="275" t="s">
        <v>445</v>
      </c>
      <c r="P753" s="275" t="s">
        <v>446</v>
      </c>
      <c r="Q753" s="275" t="s">
        <v>447</v>
      </c>
      <c r="R753" s="275" t="s">
        <v>448</v>
      </c>
      <c r="S753" s="275" t="s">
        <v>449</v>
      </c>
      <c r="T753" s="275" t="s">
        <v>450</v>
      </c>
      <c r="U753" s="275"/>
      <c r="V753" s="275"/>
      <c r="W753" s="275"/>
      <c r="X753" s="275"/>
      <c r="Y753" s="275"/>
      <c r="Z753" s="275"/>
      <c r="AA753" s="275"/>
    </row>
    <row r="754" spans="1:27">
      <c r="A754" s="280"/>
      <c r="B754" s="274"/>
      <c r="C754" s="278"/>
      <c r="D754" s="275">
        <v>1.634E-2</v>
      </c>
      <c r="E754" s="275">
        <v>6.8040000000000003E-2</v>
      </c>
      <c r="F754" s="275">
        <v>5.5980000000000002E-2</v>
      </c>
      <c r="G754" s="275">
        <v>6.4740000000000006E-2</v>
      </c>
      <c r="H754" s="275">
        <v>0.1767</v>
      </c>
      <c r="I754" s="275">
        <v>0.16736999999999999</v>
      </c>
      <c r="J754" s="275">
        <v>0.18328</v>
      </c>
      <c r="K754" s="275">
        <v>0.15966</v>
      </c>
      <c r="L754" s="275">
        <v>0.16452</v>
      </c>
      <c r="M754" s="275">
        <v>0.39139000000000002</v>
      </c>
      <c r="N754" s="275">
        <v>0.39346999999999999</v>
      </c>
      <c r="O754" s="275">
        <v>0.42608000000000001</v>
      </c>
      <c r="P754" s="275">
        <v>0.43237999999999999</v>
      </c>
      <c r="Q754" s="275">
        <v>0.44324999999999998</v>
      </c>
      <c r="R754" s="275">
        <v>0.88929999999999998</v>
      </c>
      <c r="S754" s="275">
        <v>0.95533999999999997</v>
      </c>
      <c r="T754" s="275">
        <v>1.0445199999999999</v>
      </c>
      <c r="U754" s="275"/>
      <c r="V754" s="275"/>
      <c r="W754" s="275"/>
      <c r="X754" s="275"/>
      <c r="Y754" s="275"/>
      <c r="Z754" s="275"/>
      <c r="AA754" s="275"/>
    </row>
    <row r="755" spans="1:27">
      <c r="A755" s="280"/>
      <c r="B755" s="274"/>
      <c r="C755" s="278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</row>
    <row r="756" spans="1:27">
      <c r="A756" s="280">
        <v>256</v>
      </c>
      <c r="B756" s="274">
        <v>81</v>
      </c>
      <c r="C756" s="278" t="s">
        <v>385</v>
      </c>
      <c r="D756" s="275" t="s">
        <v>434</v>
      </c>
      <c r="E756" s="275" t="s">
        <v>435</v>
      </c>
      <c r="F756" s="275" t="s">
        <v>436</v>
      </c>
      <c r="G756" s="275" t="s">
        <v>437</v>
      </c>
      <c r="H756" s="275" t="s">
        <v>438</v>
      </c>
      <c r="I756" s="275" t="s">
        <v>439</v>
      </c>
      <c r="J756" s="275" t="s">
        <v>440</v>
      </c>
      <c r="K756" s="275" t="s">
        <v>441</v>
      </c>
      <c r="L756" s="275" t="s">
        <v>442</v>
      </c>
      <c r="M756" s="275" t="s">
        <v>443</v>
      </c>
      <c r="N756" s="275" t="s">
        <v>444</v>
      </c>
      <c r="O756" s="275" t="s">
        <v>445</v>
      </c>
      <c r="P756" s="275" t="s">
        <v>446</v>
      </c>
      <c r="Q756" s="275" t="s">
        <v>447</v>
      </c>
      <c r="R756" s="275" t="s">
        <v>448</v>
      </c>
      <c r="S756" s="275" t="s">
        <v>449</v>
      </c>
      <c r="T756" s="275" t="s">
        <v>450</v>
      </c>
      <c r="U756" s="275"/>
      <c r="V756" s="275"/>
      <c r="W756" s="275"/>
      <c r="X756" s="275"/>
      <c r="Y756" s="275"/>
      <c r="Z756" s="275"/>
      <c r="AA756" s="275"/>
    </row>
    <row r="757" spans="1:27">
      <c r="A757" s="280"/>
      <c r="B757" s="274"/>
      <c r="C757" s="278"/>
      <c r="D757" s="275">
        <v>1.634E-2</v>
      </c>
      <c r="E757" s="275">
        <v>6.8040000000000003E-2</v>
      </c>
      <c r="F757" s="275">
        <v>5.5980000000000002E-2</v>
      </c>
      <c r="G757" s="275">
        <v>6.4740000000000006E-2</v>
      </c>
      <c r="H757" s="275">
        <v>0.1767</v>
      </c>
      <c r="I757" s="275">
        <v>0.16736999999999999</v>
      </c>
      <c r="J757" s="275">
        <v>0.18328</v>
      </c>
      <c r="K757" s="275">
        <v>0.15966</v>
      </c>
      <c r="L757" s="275">
        <v>0.16450999999999999</v>
      </c>
      <c r="M757" s="275">
        <v>0.39143</v>
      </c>
      <c r="N757" s="275">
        <v>0.39345000000000002</v>
      </c>
      <c r="O757" s="275">
        <v>0.42603999999999997</v>
      </c>
      <c r="P757" s="275">
        <v>0.43231999999999998</v>
      </c>
      <c r="Q757" s="275">
        <v>0.44318000000000002</v>
      </c>
      <c r="R757" s="275">
        <v>0.89098999999999995</v>
      </c>
      <c r="S757" s="275">
        <v>0.95372000000000001</v>
      </c>
      <c r="T757" s="275">
        <v>1.0398700000000001</v>
      </c>
      <c r="U757" s="275"/>
      <c r="V757" s="275"/>
      <c r="W757" s="275"/>
      <c r="X757" s="275"/>
      <c r="Y757" s="275"/>
      <c r="Z757" s="275"/>
      <c r="AA757" s="275"/>
    </row>
    <row r="758" spans="1:27">
      <c r="A758" s="280"/>
      <c r="B758" s="274"/>
      <c r="C758" s="278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</row>
    <row r="759" spans="1:27">
      <c r="A759" s="280">
        <v>257</v>
      </c>
      <c r="B759" s="274">
        <v>82</v>
      </c>
      <c r="C759" s="278" t="s">
        <v>386</v>
      </c>
      <c r="D759" s="275" t="s">
        <v>434</v>
      </c>
      <c r="E759" s="275" t="s">
        <v>435</v>
      </c>
      <c r="F759" s="275" t="s">
        <v>436</v>
      </c>
      <c r="G759" s="275" t="s">
        <v>437</v>
      </c>
      <c r="H759" s="275" t="s">
        <v>438</v>
      </c>
      <c r="I759" s="275" t="s">
        <v>439</v>
      </c>
      <c r="J759" s="275" t="s">
        <v>440</v>
      </c>
      <c r="K759" s="275" t="s">
        <v>441</v>
      </c>
      <c r="L759" s="275" t="s">
        <v>442</v>
      </c>
      <c r="M759" s="275" t="s">
        <v>443</v>
      </c>
      <c r="N759" s="275" t="s">
        <v>444</v>
      </c>
      <c r="O759" s="275" t="s">
        <v>445</v>
      </c>
      <c r="P759" s="275" t="s">
        <v>446</v>
      </c>
      <c r="Q759" s="275" t="s">
        <v>447</v>
      </c>
      <c r="R759" s="275" t="s">
        <v>448</v>
      </c>
      <c r="S759" s="275" t="s">
        <v>449</v>
      </c>
      <c r="T759" s="275" t="s">
        <v>450</v>
      </c>
      <c r="U759" s="275"/>
      <c r="V759" s="275"/>
      <c r="W759" s="275"/>
      <c r="X759" s="275"/>
      <c r="Y759" s="275"/>
      <c r="Z759" s="275"/>
      <c r="AA759" s="275"/>
    </row>
    <row r="760" spans="1:27">
      <c r="A760" s="280"/>
      <c r="B760" s="274"/>
      <c r="C760" s="278"/>
      <c r="D760" s="275">
        <v>1.6070000000000001E-2</v>
      </c>
      <c r="E760" s="275">
        <v>6.6879999999999995E-2</v>
      </c>
      <c r="F760" s="275">
        <v>5.4969999999999998E-2</v>
      </c>
      <c r="G760" s="275">
        <v>6.386E-2</v>
      </c>
      <c r="H760" s="275">
        <v>0.17368</v>
      </c>
      <c r="I760" s="275">
        <v>0.16439999999999999</v>
      </c>
      <c r="J760" s="275">
        <v>0.18052000000000001</v>
      </c>
      <c r="K760" s="275">
        <v>0.15712000000000001</v>
      </c>
      <c r="L760" s="275">
        <v>0.16203000000000001</v>
      </c>
      <c r="M760" s="275">
        <v>0.38396000000000002</v>
      </c>
      <c r="N760" s="275">
        <v>0.38562999999999997</v>
      </c>
      <c r="O760" s="275">
        <v>0.41842000000000001</v>
      </c>
      <c r="P760" s="275">
        <v>0.42352000000000001</v>
      </c>
      <c r="Q760" s="275">
        <v>0.43436000000000002</v>
      </c>
      <c r="R760" s="275">
        <v>0.86441999999999997</v>
      </c>
      <c r="S760" s="275">
        <v>0.92491999999999996</v>
      </c>
      <c r="T760" s="275">
        <v>1.01128</v>
      </c>
      <c r="U760" s="275"/>
      <c r="V760" s="275"/>
      <c r="W760" s="275"/>
      <c r="X760" s="275"/>
      <c r="Y760" s="275"/>
      <c r="Z760" s="275"/>
      <c r="AA760" s="275"/>
    </row>
    <row r="761" spans="1:27">
      <c r="A761" s="280"/>
      <c r="B761" s="274"/>
      <c r="C761" s="278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</row>
    <row r="762" spans="1:27">
      <c r="A762" s="280">
        <v>258</v>
      </c>
      <c r="B762" s="274">
        <v>82</v>
      </c>
      <c r="C762" s="278" t="s">
        <v>387</v>
      </c>
      <c r="D762" s="275" t="s">
        <v>434</v>
      </c>
      <c r="E762" s="275" t="s">
        <v>435</v>
      </c>
      <c r="F762" s="275" t="s">
        <v>436</v>
      </c>
      <c r="G762" s="275" t="s">
        <v>437</v>
      </c>
      <c r="H762" s="275" t="s">
        <v>438</v>
      </c>
      <c r="I762" s="275" t="s">
        <v>439</v>
      </c>
      <c r="J762" s="275" t="s">
        <v>440</v>
      </c>
      <c r="K762" s="275" t="s">
        <v>441</v>
      </c>
      <c r="L762" s="275" t="s">
        <v>442</v>
      </c>
      <c r="M762" s="275" t="s">
        <v>443</v>
      </c>
      <c r="N762" s="275" t="s">
        <v>444</v>
      </c>
      <c r="O762" s="275" t="s">
        <v>445</v>
      </c>
      <c r="P762" s="275" t="s">
        <v>446</v>
      </c>
      <c r="Q762" s="275" t="s">
        <v>447</v>
      </c>
      <c r="R762" s="275" t="s">
        <v>448</v>
      </c>
      <c r="S762" s="275" t="s">
        <v>449</v>
      </c>
      <c r="T762" s="275" t="s">
        <v>450</v>
      </c>
      <c r="U762" s="275"/>
      <c r="V762" s="275"/>
      <c r="W762" s="275"/>
      <c r="X762" s="275"/>
      <c r="Y762" s="275"/>
      <c r="Z762" s="275"/>
      <c r="AA762" s="275"/>
    </row>
    <row r="763" spans="1:27">
      <c r="A763" s="280"/>
      <c r="B763" s="274"/>
      <c r="C763" s="278"/>
      <c r="D763" s="275">
        <v>1.6070000000000001E-2</v>
      </c>
      <c r="E763" s="275">
        <v>6.6879999999999995E-2</v>
      </c>
      <c r="F763" s="275">
        <v>5.4969999999999998E-2</v>
      </c>
      <c r="G763" s="275">
        <v>6.3850000000000004E-2</v>
      </c>
      <c r="H763" s="275">
        <v>0.17369000000000001</v>
      </c>
      <c r="I763" s="275">
        <v>0.16439999999999999</v>
      </c>
      <c r="J763" s="275">
        <v>0.18052000000000001</v>
      </c>
      <c r="K763" s="275">
        <v>0.15712000000000001</v>
      </c>
      <c r="L763" s="275">
        <v>0.16203000000000001</v>
      </c>
      <c r="M763" s="275">
        <v>0.38401000000000002</v>
      </c>
      <c r="N763" s="275">
        <v>0.3856</v>
      </c>
      <c r="O763" s="275">
        <v>0.41837000000000002</v>
      </c>
      <c r="P763" s="275">
        <v>0.42344999999999999</v>
      </c>
      <c r="Q763" s="275">
        <v>0.43428</v>
      </c>
      <c r="R763" s="275">
        <v>0.86584000000000005</v>
      </c>
      <c r="S763" s="275">
        <v>0.92273000000000005</v>
      </c>
      <c r="T763" s="275">
        <v>1.00586</v>
      </c>
      <c r="U763" s="275"/>
      <c r="V763" s="275"/>
      <c r="W763" s="275"/>
      <c r="X763" s="275"/>
      <c r="Y763" s="275"/>
      <c r="Z763" s="275"/>
      <c r="AA763" s="275"/>
    </row>
    <row r="764" spans="1:27">
      <c r="A764" s="280"/>
      <c r="B764" s="274"/>
      <c r="C764" s="278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</row>
    <row r="765" spans="1:27">
      <c r="A765" s="280">
        <v>259</v>
      </c>
      <c r="B765" s="274">
        <v>83</v>
      </c>
      <c r="C765" s="278" t="s">
        <v>388</v>
      </c>
      <c r="D765" s="275" t="s">
        <v>434</v>
      </c>
      <c r="E765" s="275" t="s">
        <v>435</v>
      </c>
      <c r="F765" s="275" t="s">
        <v>436</v>
      </c>
      <c r="G765" s="275" t="s">
        <v>437</v>
      </c>
      <c r="H765" s="275" t="s">
        <v>438</v>
      </c>
      <c r="I765" s="275" t="s">
        <v>439</v>
      </c>
      <c r="J765" s="275" t="s">
        <v>440</v>
      </c>
      <c r="K765" s="275" t="s">
        <v>441</v>
      </c>
      <c r="L765" s="275" t="s">
        <v>442</v>
      </c>
      <c r="M765" s="275" t="s">
        <v>443</v>
      </c>
      <c r="N765" s="275" t="s">
        <v>444</v>
      </c>
      <c r="O765" s="275" t="s">
        <v>445</v>
      </c>
      <c r="P765" s="275" t="s">
        <v>446</v>
      </c>
      <c r="Q765" s="275" t="s">
        <v>447</v>
      </c>
      <c r="R765" s="275" t="s">
        <v>448</v>
      </c>
      <c r="S765" s="275" t="s">
        <v>449</v>
      </c>
      <c r="T765" s="275" t="s">
        <v>450</v>
      </c>
      <c r="U765" s="275"/>
      <c r="V765" s="275"/>
      <c r="W765" s="275"/>
      <c r="X765" s="275"/>
      <c r="Y765" s="275"/>
      <c r="Z765" s="275"/>
      <c r="AA765" s="275"/>
    </row>
    <row r="766" spans="1:27">
      <c r="A766" s="280"/>
      <c r="B766" s="274"/>
      <c r="C766" s="278"/>
      <c r="D766" s="275">
        <v>1.5810000000000001E-2</v>
      </c>
      <c r="E766" s="275">
        <v>6.5750000000000003E-2</v>
      </c>
      <c r="F766" s="275">
        <v>5.3969999999999997E-2</v>
      </c>
      <c r="G766" s="275">
        <v>6.2990000000000004E-2</v>
      </c>
      <c r="H766" s="275">
        <v>0.17074</v>
      </c>
      <c r="I766" s="275">
        <v>0.16150999999999999</v>
      </c>
      <c r="J766" s="275">
        <v>0.17782999999999999</v>
      </c>
      <c r="K766" s="275">
        <v>0.15465000000000001</v>
      </c>
      <c r="L766" s="275">
        <v>0.15961</v>
      </c>
      <c r="M766" s="275">
        <v>0.37673000000000001</v>
      </c>
      <c r="N766" s="275">
        <v>0.37801000000000001</v>
      </c>
      <c r="O766" s="275">
        <v>0.41099999999999998</v>
      </c>
      <c r="P766" s="275">
        <v>0.41498000000000002</v>
      </c>
      <c r="Q766" s="275">
        <v>0.42579</v>
      </c>
      <c r="R766" s="275">
        <v>0.84055999999999997</v>
      </c>
      <c r="S766" s="275">
        <v>0.89595000000000002</v>
      </c>
      <c r="T766" s="275">
        <v>0.97970999999999997</v>
      </c>
      <c r="U766" s="275"/>
      <c r="V766" s="275"/>
      <c r="W766" s="275"/>
      <c r="X766" s="275"/>
      <c r="Y766" s="275"/>
      <c r="Z766" s="275"/>
      <c r="AA766" s="275"/>
    </row>
    <row r="767" spans="1:27">
      <c r="A767" s="280"/>
      <c r="B767" s="274"/>
      <c r="C767" s="278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</row>
    <row r="768" spans="1:27">
      <c r="A768" s="280">
        <v>260</v>
      </c>
      <c r="B768" s="274">
        <v>83</v>
      </c>
      <c r="C768" s="278" t="s">
        <v>389</v>
      </c>
      <c r="D768" s="275" t="s">
        <v>434</v>
      </c>
      <c r="E768" s="275" t="s">
        <v>435</v>
      </c>
      <c r="F768" s="275" t="s">
        <v>436</v>
      </c>
      <c r="G768" s="275" t="s">
        <v>437</v>
      </c>
      <c r="H768" s="275" t="s">
        <v>438</v>
      </c>
      <c r="I768" s="275" t="s">
        <v>439</v>
      </c>
      <c r="J768" s="275" t="s">
        <v>440</v>
      </c>
      <c r="K768" s="275" t="s">
        <v>441</v>
      </c>
      <c r="L768" s="275" t="s">
        <v>442</v>
      </c>
      <c r="M768" s="275" t="s">
        <v>443</v>
      </c>
      <c r="N768" s="275" t="s">
        <v>444</v>
      </c>
      <c r="O768" s="275" t="s">
        <v>445</v>
      </c>
      <c r="P768" s="275" t="s">
        <v>446</v>
      </c>
      <c r="Q768" s="275" t="s">
        <v>447</v>
      </c>
      <c r="R768" s="275" t="s">
        <v>448</v>
      </c>
      <c r="S768" s="275" t="s">
        <v>449</v>
      </c>
      <c r="T768" s="275" t="s">
        <v>450</v>
      </c>
      <c r="U768" s="275"/>
      <c r="V768" s="275"/>
      <c r="W768" s="275"/>
      <c r="X768" s="275"/>
      <c r="Y768" s="275"/>
      <c r="Z768" s="275"/>
      <c r="AA768" s="275"/>
    </row>
    <row r="769" spans="1:27">
      <c r="A769" s="280"/>
      <c r="B769" s="274"/>
      <c r="C769" s="278"/>
      <c r="D769" s="275">
        <v>1.5810000000000001E-2</v>
      </c>
      <c r="E769" s="275">
        <v>6.5750000000000003E-2</v>
      </c>
      <c r="F769" s="275">
        <v>5.3969999999999997E-2</v>
      </c>
      <c r="G769" s="275">
        <v>6.2990000000000004E-2</v>
      </c>
      <c r="H769" s="275">
        <v>0.17075000000000001</v>
      </c>
      <c r="I769" s="275">
        <v>0.16150999999999999</v>
      </c>
      <c r="J769" s="275">
        <v>0.17782999999999999</v>
      </c>
      <c r="K769" s="275">
        <v>0.15465000000000001</v>
      </c>
      <c r="L769" s="275">
        <v>0.15961</v>
      </c>
      <c r="M769" s="275">
        <v>0.37678</v>
      </c>
      <c r="N769" s="275">
        <v>0.37797999999999998</v>
      </c>
      <c r="O769" s="275">
        <v>0.41094000000000003</v>
      </c>
      <c r="P769" s="275">
        <v>0.41489999999999999</v>
      </c>
      <c r="Q769" s="275">
        <v>0.42569000000000001</v>
      </c>
      <c r="R769" s="275">
        <v>0.84172000000000002</v>
      </c>
      <c r="S769" s="275">
        <v>0.89339999999999997</v>
      </c>
      <c r="T769" s="275">
        <v>0.97387000000000001</v>
      </c>
      <c r="U769" s="275"/>
      <c r="V769" s="275"/>
      <c r="W769" s="275"/>
      <c r="X769" s="275"/>
      <c r="Y769" s="275"/>
      <c r="Z769" s="275"/>
      <c r="AA769" s="275"/>
    </row>
    <row r="770" spans="1:27">
      <c r="A770" s="280"/>
      <c r="B770" s="274"/>
      <c r="C770" s="278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</row>
    <row r="771" spans="1:27">
      <c r="A771" s="280">
        <v>261</v>
      </c>
      <c r="B771" s="274">
        <v>84</v>
      </c>
      <c r="C771" s="278" t="s">
        <v>390</v>
      </c>
      <c r="D771" s="275" t="s">
        <v>434</v>
      </c>
      <c r="E771" s="275" t="s">
        <v>435</v>
      </c>
      <c r="F771" s="275" t="s">
        <v>436</v>
      </c>
      <c r="G771" s="275" t="s">
        <v>437</v>
      </c>
      <c r="H771" s="275" t="s">
        <v>438</v>
      </c>
      <c r="I771" s="275" t="s">
        <v>439</v>
      </c>
      <c r="J771" s="275" t="s">
        <v>440</v>
      </c>
      <c r="K771" s="275" t="s">
        <v>441</v>
      </c>
      <c r="L771" s="275" t="s">
        <v>442</v>
      </c>
      <c r="M771" s="275" t="s">
        <v>443</v>
      </c>
      <c r="N771" s="275" t="s">
        <v>444</v>
      </c>
      <c r="O771" s="275" t="s">
        <v>445</v>
      </c>
      <c r="P771" s="275" t="s">
        <v>446</v>
      </c>
      <c r="Q771" s="275" t="s">
        <v>447</v>
      </c>
      <c r="R771" s="275" t="s">
        <v>448</v>
      </c>
      <c r="S771" s="275" t="s">
        <v>449</v>
      </c>
      <c r="T771" s="275" t="s">
        <v>450</v>
      </c>
      <c r="U771" s="275"/>
      <c r="V771" s="275"/>
      <c r="W771" s="275"/>
      <c r="X771" s="275"/>
      <c r="Y771" s="275"/>
      <c r="Z771" s="275"/>
      <c r="AA771" s="275"/>
    </row>
    <row r="772" spans="1:27">
      <c r="A772" s="280"/>
      <c r="B772" s="274"/>
      <c r="C772" s="278"/>
      <c r="D772" s="275">
        <v>1.5559999999999999E-2</v>
      </c>
      <c r="E772" s="275">
        <v>6.4649999999999999E-2</v>
      </c>
      <c r="F772" s="275">
        <v>5.2999999999999999E-2</v>
      </c>
      <c r="G772" s="275">
        <v>6.2140000000000001E-2</v>
      </c>
      <c r="H772" s="275">
        <v>0.16786999999999999</v>
      </c>
      <c r="I772" s="275">
        <v>0.15869</v>
      </c>
      <c r="J772" s="275">
        <v>0.17521999999999999</v>
      </c>
      <c r="K772" s="275">
        <v>0.15226000000000001</v>
      </c>
      <c r="L772" s="275">
        <v>0.15726000000000001</v>
      </c>
      <c r="M772" s="275">
        <v>0.36971999999999999</v>
      </c>
      <c r="N772" s="275">
        <v>0.37060999999999999</v>
      </c>
      <c r="O772" s="275">
        <v>0.40379999999999999</v>
      </c>
      <c r="P772" s="275">
        <v>0.40679999999999999</v>
      </c>
      <c r="Q772" s="275">
        <v>0.41757</v>
      </c>
      <c r="R772" s="275">
        <v>0.81793000000000005</v>
      </c>
      <c r="S772" s="275">
        <v>0.86843000000000004</v>
      </c>
      <c r="T772" s="275">
        <v>0.95045999999999997</v>
      </c>
      <c r="U772" s="275"/>
      <c r="V772" s="275"/>
      <c r="W772" s="275"/>
      <c r="X772" s="275"/>
      <c r="Y772" s="275"/>
      <c r="Z772" s="275"/>
      <c r="AA772" s="275"/>
    </row>
    <row r="773" spans="1:27">
      <c r="A773" s="280"/>
      <c r="B773" s="274"/>
      <c r="C773" s="278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</row>
    <row r="774" spans="1:27">
      <c r="A774" s="280">
        <v>262</v>
      </c>
      <c r="B774" s="274">
        <v>84</v>
      </c>
      <c r="C774" s="278" t="s">
        <v>391</v>
      </c>
      <c r="D774" s="275" t="s">
        <v>434</v>
      </c>
      <c r="E774" s="275" t="s">
        <v>435</v>
      </c>
      <c r="F774" s="275" t="s">
        <v>436</v>
      </c>
      <c r="G774" s="275" t="s">
        <v>437</v>
      </c>
      <c r="H774" s="275" t="s">
        <v>438</v>
      </c>
      <c r="I774" s="275" t="s">
        <v>439</v>
      </c>
      <c r="J774" s="275" t="s">
        <v>440</v>
      </c>
      <c r="K774" s="275" t="s">
        <v>441</v>
      </c>
      <c r="L774" s="275" t="s">
        <v>442</v>
      </c>
      <c r="M774" s="275" t="s">
        <v>443</v>
      </c>
      <c r="N774" s="275" t="s">
        <v>444</v>
      </c>
      <c r="O774" s="275" t="s">
        <v>445</v>
      </c>
      <c r="P774" s="275" t="s">
        <v>446</v>
      </c>
      <c r="Q774" s="275" t="s">
        <v>447</v>
      </c>
      <c r="R774" s="275" t="s">
        <v>448</v>
      </c>
      <c r="S774" s="275" t="s">
        <v>449</v>
      </c>
      <c r="T774" s="275" t="s">
        <v>450</v>
      </c>
      <c r="U774" s="275"/>
      <c r="V774" s="275"/>
      <c r="W774" s="275"/>
      <c r="X774" s="275"/>
      <c r="Y774" s="275"/>
      <c r="Z774" s="275"/>
      <c r="AA774" s="275"/>
    </row>
    <row r="775" spans="1:27">
      <c r="A775" s="280"/>
      <c r="B775" s="274"/>
      <c r="C775" s="278"/>
      <c r="D775" s="275">
        <v>1.5559999999999999E-2</v>
      </c>
      <c r="E775" s="275">
        <v>6.4649999999999999E-2</v>
      </c>
      <c r="F775" s="275">
        <v>5.2999999999999999E-2</v>
      </c>
      <c r="G775" s="275">
        <v>6.2140000000000001E-2</v>
      </c>
      <c r="H775" s="275">
        <v>0.16786999999999999</v>
      </c>
      <c r="I775" s="275">
        <v>0.15869</v>
      </c>
      <c r="J775" s="275">
        <v>0.17521999999999999</v>
      </c>
      <c r="K775" s="275">
        <v>0.15225</v>
      </c>
      <c r="L775" s="275">
        <v>0.15726000000000001</v>
      </c>
      <c r="M775" s="275">
        <v>0.36969999999999997</v>
      </c>
      <c r="N775" s="275">
        <v>0.37060999999999999</v>
      </c>
      <c r="O775" s="275">
        <v>0.40379999999999999</v>
      </c>
      <c r="P775" s="275">
        <v>0.40675</v>
      </c>
      <c r="Q775" s="275">
        <v>0.41752</v>
      </c>
      <c r="R775" s="275">
        <v>0.81772</v>
      </c>
      <c r="S775" s="275">
        <v>0.86846999999999996</v>
      </c>
      <c r="T775" s="275">
        <v>0.94986999999999999</v>
      </c>
      <c r="U775" s="275"/>
      <c r="V775" s="275"/>
      <c r="W775" s="275"/>
      <c r="X775" s="275"/>
      <c r="Y775" s="275"/>
      <c r="Z775" s="275"/>
      <c r="AA775" s="275"/>
    </row>
    <row r="776" spans="1:27">
      <c r="A776" s="280"/>
      <c r="B776" s="274"/>
      <c r="C776" s="278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</row>
    <row r="777" spans="1:27">
      <c r="A777" s="280">
        <v>263</v>
      </c>
      <c r="B777" s="274">
        <v>84</v>
      </c>
      <c r="C777" s="278" t="s">
        <v>392</v>
      </c>
      <c r="D777" s="275" t="s">
        <v>434</v>
      </c>
      <c r="E777" s="275" t="s">
        <v>435</v>
      </c>
      <c r="F777" s="275" t="s">
        <v>436</v>
      </c>
      <c r="G777" s="275" t="s">
        <v>437</v>
      </c>
      <c r="H777" s="275" t="s">
        <v>438</v>
      </c>
      <c r="I777" s="275" t="s">
        <v>439</v>
      </c>
      <c r="J777" s="275" t="s">
        <v>440</v>
      </c>
      <c r="K777" s="275" t="s">
        <v>441</v>
      </c>
      <c r="L777" s="275" t="s">
        <v>442</v>
      </c>
      <c r="M777" s="275" t="s">
        <v>443</v>
      </c>
      <c r="N777" s="275" t="s">
        <v>444</v>
      </c>
      <c r="O777" s="275" t="s">
        <v>445</v>
      </c>
      <c r="P777" s="275" t="s">
        <v>446</v>
      </c>
      <c r="Q777" s="275" t="s">
        <v>447</v>
      </c>
      <c r="R777" s="275" t="s">
        <v>448</v>
      </c>
      <c r="S777" s="275" t="s">
        <v>449</v>
      </c>
      <c r="T777" s="275" t="s">
        <v>450</v>
      </c>
      <c r="U777" s="275"/>
      <c r="V777" s="275"/>
      <c r="W777" s="275"/>
      <c r="X777" s="275"/>
      <c r="Y777" s="275"/>
      <c r="Z777" s="275"/>
      <c r="AA777" s="275"/>
    </row>
    <row r="778" spans="1:27">
      <c r="A778" s="280"/>
      <c r="B778" s="274"/>
      <c r="C778" s="278"/>
      <c r="D778" s="275">
        <v>1.5559999999999999E-2</v>
      </c>
      <c r="E778" s="275">
        <v>6.4649999999999999E-2</v>
      </c>
      <c r="F778" s="275">
        <v>5.2999999999999999E-2</v>
      </c>
      <c r="G778" s="275">
        <v>6.2140000000000001E-2</v>
      </c>
      <c r="H778" s="275">
        <v>0.16786999999999999</v>
      </c>
      <c r="I778" s="275">
        <v>0.15869</v>
      </c>
      <c r="J778" s="275">
        <v>0.17521999999999999</v>
      </c>
      <c r="K778" s="275">
        <v>0.15225</v>
      </c>
      <c r="L778" s="275">
        <v>0.15726000000000001</v>
      </c>
      <c r="M778" s="275">
        <v>0.36975000000000002</v>
      </c>
      <c r="N778" s="275">
        <v>0.37057000000000001</v>
      </c>
      <c r="O778" s="275">
        <v>0.40372000000000002</v>
      </c>
      <c r="P778" s="275">
        <v>0.40665000000000001</v>
      </c>
      <c r="Q778" s="275">
        <v>0.41739999999999999</v>
      </c>
      <c r="R778" s="275">
        <v>0.81864999999999999</v>
      </c>
      <c r="S778" s="275">
        <v>0.86570999999999998</v>
      </c>
      <c r="T778" s="275">
        <v>0.94384000000000001</v>
      </c>
      <c r="U778" s="275"/>
      <c r="V778" s="275"/>
      <c r="W778" s="275"/>
      <c r="X778" s="275"/>
      <c r="Y778" s="275"/>
      <c r="Z778" s="275"/>
      <c r="AA778" s="275"/>
    </row>
    <row r="779" spans="1:27">
      <c r="A779" s="280"/>
      <c r="B779" s="274"/>
      <c r="C779" s="278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</row>
    <row r="780" spans="1:27">
      <c r="A780" s="280">
        <v>264</v>
      </c>
      <c r="B780" s="274">
        <v>85</v>
      </c>
      <c r="C780" s="278" t="s">
        <v>197</v>
      </c>
      <c r="D780" s="275" t="s">
        <v>434</v>
      </c>
      <c r="E780" s="275" t="s">
        <v>435</v>
      </c>
      <c r="F780" s="275" t="s">
        <v>436</v>
      </c>
      <c r="G780" s="275" t="s">
        <v>437</v>
      </c>
      <c r="H780" s="275" t="s">
        <v>438</v>
      </c>
      <c r="I780" s="275" t="s">
        <v>439</v>
      </c>
      <c r="J780" s="275" t="s">
        <v>440</v>
      </c>
      <c r="K780" s="275" t="s">
        <v>441</v>
      </c>
      <c r="L780" s="275" t="s">
        <v>442</v>
      </c>
      <c r="M780" s="275" t="s">
        <v>443</v>
      </c>
      <c r="N780" s="275" t="s">
        <v>444</v>
      </c>
      <c r="O780" s="275" t="s">
        <v>445</v>
      </c>
      <c r="P780" s="275" t="s">
        <v>446</v>
      </c>
      <c r="Q780" s="275" t="s">
        <v>447</v>
      </c>
      <c r="R780" s="275" t="s">
        <v>448</v>
      </c>
      <c r="S780" s="275" t="s">
        <v>449</v>
      </c>
      <c r="T780" s="275" t="s">
        <v>450</v>
      </c>
      <c r="U780" s="275"/>
      <c r="V780" s="275"/>
      <c r="W780" s="275"/>
      <c r="X780" s="275"/>
      <c r="Y780" s="275"/>
      <c r="Z780" s="275"/>
      <c r="AA780" s="275"/>
    </row>
    <row r="781" spans="1:27">
      <c r="A781" s="280"/>
      <c r="B781" s="274"/>
      <c r="C781" s="278"/>
      <c r="D781" s="275">
        <v>1.5299999999999999E-2</v>
      </c>
      <c r="E781" s="275">
        <v>6.3560000000000005E-2</v>
      </c>
      <c r="F781" s="275">
        <v>5.2049999999999999E-2</v>
      </c>
      <c r="G781" s="275">
        <v>6.132E-2</v>
      </c>
      <c r="H781" s="275">
        <v>0.16506000000000001</v>
      </c>
      <c r="I781" s="275">
        <v>0.15594</v>
      </c>
      <c r="J781" s="275">
        <v>0.17266999999999999</v>
      </c>
      <c r="K781" s="275">
        <v>0.14993000000000001</v>
      </c>
      <c r="L781" s="275">
        <v>0.15498000000000001</v>
      </c>
      <c r="M781" s="275">
        <v>0.36288999999999999</v>
      </c>
      <c r="N781" s="275">
        <v>0.36341000000000001</v>
      </c>
      <c r="O781" s="275">
        <v>0.39682000000000001</v>
      </c>
      <c r="P781" s="275">
        <v>0.39889000000000002</v>
      </c>
      <c r="Q781" s="275">
        <v>0.40965000000000001</v>
      </c>
      <c r="R781" s="275">
        <v>0.79637000000000002</v>
      </c>
      <c r="S781" s="275">
        <v>0.84250999999999998</v>
      </c>
      <c r="T781" s="275">
        <v>0.92301999999999995</v>
      </c>
      <c r="U781" s="275"/>
      <c r="V781" s="275"/>
      <c r="W781" s="275"/>
      <c r="X781" s="275"/>
      <c r="Y781" s="275"/>
      <c r="Z781" s="275"/>
      <c r="AA781" s="275"/>
    </row>
    <row r="782" spans="1:27">
      <c r="A782" s="280"/>
      <c r="B782" s="274"/>
      <c r="C782" s="278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</row>
    <row r="783" spans="1:27">
      <c r="A783" s="280">
        <v>265</v>
      </c>
      <c r="B783" s="274">
        <v>85</v>
      </c>
      <c r="C783" s="278" t="s">
        <v>393</v>
      </c>
      <c r="D783" s="275" t="s">
        <v>434</v>
      </c>
      <c r="E783" s="275" t="s">
        <v>435</v>
      </c>
      <c r="F783" s="275" t="s">
        <v>436</v>
      </c>
      <c r="G783" s="275" t="s">
        <v>437</v>
      </c>
      <c r="H783" s="275" t="s">
        <v>438</v>
      </c>
      <c r="I783" s="275" t="s">
        <v>439</v>
      </c>
      <c r="J783" s="275" t="s">
        <v>440</v>
      </c>
      <c r="K783" s="275" t="s">
        <v>441</v>
      </c>
      <c r="L783" s="275" t="s">
        <v>442</v>
      </c>
      <c r="M783" s="275" t="s">
        <v>443</v>
      </c>
      <c r="N783" s="275" t="s">
        <v>444</v>
      </c>
      <c r="O783" s="275" t="s">
        <v>445</v>
      </c>
      <c r="P783" s="275" t="s">
        <v>446</v>
      </c>
      <c r="Q783" s="275" t="s">
        <v>447</v>
      </c>
      <c r="R783" s="275" t="s">
        <v>448</v>
      </c>
      <c r="S783" s="275" t="s">
        <v>449</v>
      </c>
      <c r="T783" s="275" t="s">
        <v>450</v>
      </c>
      <c r="U783" s="275"/>
      <c r="V783" s="275"/>
      <c r="W783" s="275"/>
      <c r="X783" s="275"/>
      <c r="Y783" s="275"/>
      <c r="Z783" s="275"/>
      <c r="AA783" s="275"/>
    </row>
    <row r="784" spans="1:27">
      <c r="A784" s="280"/>
      <c r="B784" s="274"/>
      <c r="C784" s="278"/>
      <c r="D784" s="275">
        <v>1.5299999999999999E-2</v>
      </c>
      <c r="E784" s="275">
        <v>6.3560000000000005E-2</v>
      </c>
      <c r="F784" s="275">
        <v>5.2049999999999999E-2</v>
      </c>
      <c r="G784" s="275">
        <v>6.132E-2</v>
      </c>
      <c r="H784" s="275">
        <v>0.16506000000000001</v>
      </c>
      <c r="I784" s="275">
        <v>0.15594</v>
      </c>
      <c r="J784" s="275">
        <v>0.17266999999999999</v>
      </c>
      <c r="K784" s="275">
        <v>0.14992</v>
      </c>
      <c r="L784" s="275">
        <v>0.15498000000000001</v>
      </c>
      <c r="M784" s="275">
        <v>0.36287000000000003</v>
      </c>
      <c r="N784" s="275">
        <v>0.36342000000000002</v>
      </c>
      <c r="O784" s="275">
        <v>0.39682000000000001</v>
      </c>
      <c r="P784" s="275">
        <v>0.39885999999999999</v>
      </c>
      <c r="Q784" s="275">
        <v>0.40960999999999997</v>
      </c>
      <c r="R784" s="275">
        <v>0.79620999999999997</v>
      </c>
      <c r="S784" s="275">
        <v>0.84262000000000004</v>
      </c>
      <c r="T784" s="275">
        <v>0.92267999999999994</v>
      </c>
      <c r="U784" s="275"/>
      <c r="V784" s="275"/>
      <c r="W784" s="275"/>
      <c r="X784" s="275"/>
      <c r="Y784" s="275"/>
      <c r="Z784" s="275"/>
      <c r="AA784" s="275"/>
    </row>
    <row r="785" spans="1:27">
      <c r="A785" s="280"/>
      <c r="B785" s="274"/>
      <c r="C785" s="278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</row>
    <row r="786" spans="1:27">
      <c r="A786" s="280">
        <v>266</v>
      </c>
      <c r="B786" s="274">
        <v>85</v>
      </c>
      <c r="C786" s="278" t="s">
        <v>394</v>
      </c>
      <c r="D786" s="275" t="s">
        <v>434</v>
      </c>
      <c r="E786" s="275" t="s">
        <v>435</v>
      </c>
      <c r="F786" s="275" t="s">
        <v>436</v>
      </c>
      <c r="G786" s="275" t="s">
        <v>437</v>
      </c>
      <c r="H786" s="275" t="s">
        <v>438</v>
      </c>
      <c r="I786" s="275" t="s">
        <v>439</v>
      </c>
      <c r="J786" s="275" t="s">
        <v>440</v>
      </c>
      <c r="K786" s="275" t="s">
        <v>441</v>
      </c>
      <c r="L786" s="275" t="s">
        <v>442</v>
      </c>
      <c r="M786" s="275" t="s">
        <v>443</v>
      </c>
      <c r="N786" s="275" t="s">
        <v>444</v>
      </c>
      <c r="O786" s="275" t="s">
        <v>445</v>
      </c>
      <c r="P786" s="275" t="s">
        <v>446</v>
      </c>
      <c r="Q786" s="275" t="s">
        <v>447</v>
      </c>
      <c r="R786" s="275" t="s">
        <v>448</v>
      </c>
      <c r="S786" s="275" t="s">
        <v>449</v>
      </c>
      <c r="T786" s="275" t="s">
        <v>450</v>
      </c>
      <c r="U786" s="275"/>
      <c r="V786" s="275"/>
      <c r="W786" s="275"/>
      <c r="X786" s="275"/>
      <c r="Y786" s="275"/>
      <c r="Z786" s="275"/>
      <c r="AA786" s="275"/>
    </row>
    <row r="787" spans="1:27">
      <c r="A787" s="280"/>
      <c r="B787" s="274"/>
      <c r="C787" s="278"/>
      <c r="D787" s="275">
        <v>1.5299999999999999E-2</v>
      </c>
      <c r="E787" s="275">
        <v>6.3560000000000005E-2</v>
      </c>
      <c r="F787" s="275">
        <v>5.2049999999999999E-2</v>
      </c>
      <c r="G787" s="275">
        <v>6.1310000000000003E-2</v>
      </c>
      <c r="H787" s="275">
        <v>0.16506000000000001</v>
      </c>
      <c r="I787" s="275">
        <v>0.15594</v>
      </c>
      <c r="J787" s="275">
        <v>0.17266999999999999</v>
      </c>
      <c r="K787" s="275">
        <v>0.14992</v>
      </c>
      <c r="L787" s="275">
        <v>0.15498000000000001</v>
      </c>
      <c r="M787" s="275">
        <v>0.36286000000000002</v>
      </c>
      <c r="N787" s="275">
        <v>0.36342000000000002</v>
      </c>
      <c r="O787" s="275">
        <v>0.39681</v>
      </c>
      <c r="P787" s="275">
        <v>0.39878999999999998</v>
      </c>
      <c r="Q787" s="275">
        <v>0.40954000000000002</v>
      </c>
      <c r="R787" s="275">
        <v>0.79586999999999997</v>
      </c>
      <c r="S787" s="275">
        <v>0.84243000000000001</v>
      </c>
      <c r="T787" s="275">
        <v>0.92171999999999998</v>
      </c>
      <c r="U787" s="275"/>
      <c r="V787" s="275"/>
      <c r="W787" s="275"/>
      <c r="X787" s="275"/>
      <c r="Y787" s="275"/>
      <c r="Z787" s="275"/>
      <c r="AA787" s="275"/>
    </row>
    <row r="788" spans="1:27">
      <c r="A788" s="280"/>
      <c r="B788" s="274"/>
      <c r="C788" s="278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</row>
    <row r="789" spans="1:27">
      <c r="A789" s="280">
        <v>267</v>
      </c>
      <c r="B789" s="274">
        <v>85</v>
      </c>
      <c r="C789" s="278" t="s">
        <v>395</v>
      </c>
      <c r="D789" s="275" t="s">
        <v>434</v>
      </c>
      <c r="E789" s="275" t="s">
        <v>435</v>
      </c>
      <c r="F789" s="275" t="s">
        <v>436</v>
      </c>
      <c r="G789" s="275" t="s">
        <v>437</v>
      </c>
      <c r="H789" s="275" t="s">
        <v>438</v>
      </c>
      <c r="I789" s="275" t="s">
        <v>439</v>
      </c>
      <c r="J789" s="275" t="s">
        <v>440</v>
      </c>
      <c r="K789" s="275" t="s">
        <v>441</v>
      </c>
      <c r="L789" s="275" t="s">
        <v>442</v>
      </c>
      <c r="M789" s="275" t="s">
        <v>443</v>
      </c>
      <c r="N789" s="275" t="s">
        <v>444</v>
      </c>
      <c r="O789" s="275" t="s">
        <v>445</v>
      </c>
      <c r="P789" s="275" t="s">
        <v>446</v>
      </c>
      <c r="Q789" s="275" t="s">
        <v>447</v>
      </c>
      <c r="R789" s="275" t="s">
        <v>448</v>
      </c>
      <c r="S789" s="275" t="s">
        <v>449</v>
      </c>
      <c r="T789" s="275" t="s">
        <v>450</v>
      </c>
      <c r="U789" s="275"/>
      <c r="V789" s="275"/>
      <c r="W789" s="275"/>
      <c r="X789" s="275"/>
      <c r="Y789" s="275"/>
      <c r="Z789" s="275"/>
      <c r="AA789" s="275"/>
    </row>
    <row r="790" spans="1:27">
      <c r="A790" s="280"/>
      <c r="B790" s="274"/>
      <c r="C790" s="278"/>
      <c r="D790" s="275">
        <v>1.5299999999999999E-2</v>
      </c>
      <c r="E790" s="275">
        <v>6.3560000000000005E-2</v>
      </c>
      <c r="F790" s="275">
        <v>5.2049999999999999E-2</v>
      </c>
      <c r="G790" s="275">
        <v>6.1310000000000003E-2</v>
      </c>
      <c r="H790" s="275">
        <v>0.16506000000000001</v>
      </c>
      <c r="I790" s="275">
        <v>0.15594</v>
      </c>
      <c r="J790" s="275">
        <v>0.17266999999999999</v>
      </c>
      <c r="K790" s="275">
        <v>0.14992</v>
      </c>
      <c r="L790" s="275">
        <v>0.15498000000000001</v>
      </c>
      <c r="M790" s="275">
        <v>0.3629</v>
      </c>
      <c r="N790" s="275">
        <v>0.36337999999999998</v>
      </c>
      <c r="O790" s="275">
        <v>0.39672000000000002</v>
      </c>
      <c r="P790" s="275">
        <v>0.39867999999999998</v>
      </c>
      <c r="Q790" s="275">
        <v>0.40941</v>
      </c>
      <c r="R790" s="275">
        <v>0.79661000000000004</v>
      </c>
      <c r="S790" s="275">
        <v>0.83955999999999997</v>
      </c>
      <c r="T790" s="275">
        <v>0.91566000000000003</v>
      </c>
      <c r="U790" s="275"/>
      <c r="V790" s="275"/>
      <c r="W790" s="275"/>
      <c r="X790" s="275"/>
      <c r="Y790" s="275"/>
      <c r="Z790" s="275"/>
      <c r="AA790" s="275"/>
    </row>
    <row r="791" spans="1:27">
      <c r="A791" s="280"/>
      <c r="B791" s="274"/>
      <c r="C791" s="278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</row>
    <row r="792" spans="1:27">
      <c r="A792" s="280">
        <v>268</v>
      </c>
      <c r="B792" s="274">
        <v>85</v>
      </c>
      <c r="C792" s="278" t="s">
        <v>396</v>
      </c>
      <c r="D792" s="275" t="s">
        <v>434</v>
      </c>
      <c r="E792" s="275" t="s">
        <v>435</v>
      </c>
      <c r="F792" s="275" t="s">
        <v>436</v>
      </c>
      <c r="G792" s="275" t="s">
        <v>437</v>
      </c>
      <c r="H792" s="275" t="s">
        <v>438</v>
      </c>
      <c r="I792" s="275" t="s">
        <v>439</v>
      </c>
      <c r="J792" s="275" t="s">
        <v>440</v>
      </c>
      <c r="K792" s="275" t="s">
        <v>441</v>
      </c>
      <c r="L792" s="275" t="s">
        <v>442</v>
      </c>
      <c r="M792" s="275" t="s">
        <v>443</v>
      </c>
      <c r="N792" s="275" t="s">
        <v>444</v>
      </c>
      <c r="O792" s="275" t="s">
        <v>445</v>
      </c>
      <c r="P792" s="275" t="s">
        <v>446</v>
      </c>
      <c r="Q792" s="275" t="s">
        <v>447</v>
      </c>
      <c r="R792" s="275" t="s">
        <v>448</v>
      </c>
      <c r="S792" s="275" t="s">
        <v>449</v>
      </c>
      <c r="T792" s="275" t="s">
        <v>450</v>
      </c>
      <c r="U792" s="275"/>
      <c r="V792" s="275"/>
      <c r="W792" s="275"/>
      <c r="X792" s="275"/>
      <c r="Y792" s="275"/>
      <c r="Z792" s="275"/>
      <c r="AA792" s="275"/>
    </row>
    <row r="793" spans="1:27">
      <c r="A793" s="280"/>
      <c r="B793" s="274"/>
      <c r="C793" s="278"/>
      <c r="D793" s="275">
        <v>1.5299999999999999E-2</v>
      </c>
      <c r="E793" s="275">
        <v>6.3560000000000005E-2</v>
      </c>
      <c r="F793" s="275">
        <v>5.2049999999999999E-2</v>
      </c>
      <c r="G793" s="275">
        <v>6.132E-2</v>
      </c>
      <c r="H793" s="275">
        <v>0.16506000000000001</v>
      </c>
      <c r="I793" s="275">
        <v>0.15594</v>
      </c>
      <c r="J793" s="275">
        <v>0.17266999999999999</v>
      </c>
      <c r="K793" s="275">
        <v>0.14993000000000001</v>
      </c>
      <c r="L793" s="275">
        <v>0.15498000000000001</v>
      </c>
      <c r="M793" s="275">
        <v>0.36288999999999999</v>
      </c>
      <c r="N793" s="275">
        <v>0.36341000000000001</v>
      </c>
      <c r="O793" s="275">
        <v>0.39682000000000001</v>
      </c>
      <c r="P793" s="275">
        <v>0.39889999999999998</v>
      </c>
      <c r="Q793" s="275">
        <v>0.40965000000000001</v>
      </c>
      <c r="R793" s="275">
        <v>0.79642999999999997</v>
      </c>
      <c r="S793" s="275">
        <v>0.84218999999999999</v>
      </c>
      <c r="T793" s="275">
        <v>0.92303000000000002</v>
      </c>
      <c r="U793" s="275"/>
      <c r="V793" s="275"/>
      <c r="W793" s="275"/>
      <c r="X793" s="275"/>
      <c r="Y793" s="275"/>
      <c r="Z793" s="275"/>
      <c r="AA793" s="275"/>
    </row>
    <row r="794" spans="1:27">
      <c r="A794" s="280"/>
      <c r="B794" s="274"/>
      <c r="C794" s="278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</row>
    <row r="795" spans="1:27">
      <c r="A795" s="280">
        <v>269</v>
      </c>
      <c r="B795" s="274">
        <v>87</v>
      </c>
      <c r="C795" s="278" t="s">
        <v>198</v>
      </c>
      <c r="D795" s="275" t="s">
        <v>434</v>
      </c>
      <c r="E795" s="275" t="s">
        <v>435</v>
      </c>
      <c r="F795" s="275" t="s">
        <v>436</v>
      </c>
      <c r="G795" s="275" t="s">
        <v>437</v>
      </c>
      <c r="H795" s="275" t="s">
        <v>438</v>
      </c>
      <c r="I795" s="275" t="s">
        <v>439</v>
      </c>
      <c r="J795" s="275" t="s">
        <v>440</v>
      </c>
      <c r="K795" s="275" t="s">
        <v>441</v>
      </c>
      <c r="L795" s="275" t="s">
        <v>442</v>
      </c>
      <c r="M795" s="275" t="s">
        <v>443</v>
      </c>
      <c r="N795" s="275" t="s">
        <v>444</v>
      </c>
      <c r="O795" s="275" t="s">
        <v>445</v>
      </c>
      <c r="P795" s="275" t="s">
        <v>446</v>
      </c>
      <c r="Q795" s="275" t="s">
        <v>447</v>
      </c>
      <c r="R795" s="275" t="s">
        <v>448</v>
      </c>
      <c r="S795" s="275" t="s">
        <v>449</v>
      </c>
      <c r="T795" s="275" t="s">
        <v>450</v>
      </c>
      <c r="U795" s="275"/>
      <c r="V795" s="275"/>
      <c r="W795" s="275"/>
      <c r="X795" s="275"/>
      <c r="Y795" s="275"/>
      <c r="Z795" s="275"/>
      <c r="AA795" s="275"/>
    </row>
    <row r="796" spans="1:27">
      <c r="A796" s="280"/>
      <c r="B796" s="274"/>
      <c r="C796" s="278"/>
      <c r="D796" s="275">
        <v>1.482E-2</v>
      </c>
      <c r="E796" s="275">
        <v>6.1460000000000001E-2</v>
      </c>
      <c r="F796" s="275">
        <v>5.0189999999999999E-2</v>
      </c>
      <c r="G796" s="275">
        <v>5.9720000000000002E-2</v>
      </c>
      <c r="H796" s="275">
        <v>0.15962999999999999</v>
      </c>
      <c r="I796" s="275">
        <v>0.15060999999999999</v>
      </c>
      <c r="J796" s="275">
        <v>0.16777</v>
      </c>
      <c r="K796" s="275">
        <v>0.14545</v>
      </c>
      <c r="L796" s="275">
        <v>0.15060999999999999</v>
      </c>
      <c r="M796" s="275">
        <v>0.34976000000000002</v>
      </c>
      <c r="N796" s="275">
        <v>0.34964000000000001</v>
      </c>
      <c r="O796" s="275">
        <v>0.38346999999999998</v>
      </c>
      <c r="P796" s="275">
        <v>0.38388</v>
      </c>
      <c r="Q796" s="275">
        <v>0.39460000000000001</v>
      </c>
      <c r="R796" s="275">
        <v>0.75612000000000001</v>
      </c>
      <c r="S796" s="275">
        <v>0.79508999999999996</v>
      </c>
      <c r="T796" s="275">
        <v>0.87294000000000005</v>
      </c>
      <c r="U796" s="275"/>
      <c r="V796" s="275"/>
      <c r="W796" s="275"/>
      <c r="X796" s="275"/>
      <c r="Y796" s="275"/>
      <c r="Z796" s="275"/>
      <c r="AA796" s="275"/>
    </row>
    <row r="797" spans="1:27">
      <c r="A797" s="280"/>
      <c r="B797" s="274"/>
      <c r="C797" s="278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</row>
    <row r="798" spans="1:27">
      <c r="A798" s="280">
        <v>270</v>
      </c>
      <c r="B798" s="274">
        <v>88</v>
      </c>
      <c r="C798" s="278" t="s">
        <v>397</v>
      </c>
      <c r="D798" s="275" t="s">
        <v>434</v>
      </c>
      <c r="E798" s="275" t="s">
        <v>435</v>
      </c>
      <c r="F798" s="275" t="s">
        <v>436</v>
      </c>
      <c r="G798" s="275" t="s">
        <v>437</v>
      </c>
      <c r="H798" s="275" t="s">
        <v>438</v>
      </c>
      <c r="I798" s="275" t="s">
        <v>439</v>
      </c>
      <c r="J798" s="275" t="s">
        <v>440</v>
      </c>
      <c r="K798" s="275" t="s">
        <v>441</v>
      </c>
      <c r="L798" s="275" t="s">
        <v>442</v>
      </c>
      <c r="M798" s="275" t="s">
        <v>443</v>
      </c>
      <c r="N798" s="275" t="s">
        <v>444</v>
      </c>
      <c r="O798" s="275" t="s">
        <v>445</v>
      </c>
      <c r="P798" s="275" t="s">
        <v>446</v>
      </c>
      <c r="Q798" s="275" t="s">
        <v>447</v>
      </c>
      <c r="R798" s="275" t="s">
        <v>448</v>
      </c>
      <c r="S798" s="275" t="s">
        <v>449</v>
      </c>
      <c r="T798" s="275" t="s">
        <v>450</v>
      </c>
      <c r="U798" s="275"/>
      <c r="V798" s="275"/>
      <c r="W798" s="275"/>
      <c r="X798" s="275"/>
      <c r="Y798" s="275"/>
      <c r="Z798" s="275"/>
      <c r="AA798" s="275"/>
    </row>
    <row r="799" spans="1:27">
      <c r="A799" s="280"/>
      <c r="B799" s="274"/>
      <c r="C799" s="278"/>
      <c r="D799" s="275">
        <v>1.4579999999999999E-2</v>
      </c>
      <c r="E799" s="275">
        <v>6.0429999999999998E-2</v>
      </c>
      <c r="F799" s="275">
        <v>4.929E-2</v>
      </c>
      <c r="G799" s="275">
        <v>5.8950000000000002E-2</v>
      </c>
      <c r="H799" s="275">
        <v>0.15701000000000001</v>
      </c>
      <c r="I799" s="275">
        <v>0.14804</v>
      </c>
      <c r="J799" s="275">
        <v>0.16541</v>
      </c>
      <c r="K799" s="275">
        <v>0.14330000000000001</v>
      </c>
      <c r="L799" s="275">
        <v>0.14851</v>
      </c>
      <c r="M799" s="275">
        <v>0.34344999999999998</v>
      </c>
      <c r="N799" s="275">
        <v>0.34303</v>
      </c>
      <c r="O799" s="275">
        <v>0.37708999999999998</v>
      </c>
      <c r="P799" s="275">
        <v>0.37674000000000002</v>
      </c>
      <c r="Q799" s="275">
        <v>0.38745000000000002</v>
      </c>
      <c r="R799" s="275">
        <v>0.73729</v>
      </c>
      <c r="S799" s="275">
        <v>0.77331000000000005</v>
      </c>
      <c r="T799" s="275">
        <v>0.84989999999999999</v>
      </c>
      <c r="U799" s="275"/>
      <c r="V799" s="275"/>
      <c r="W799" s="275"/>
      <c r="X799" s="275"/>
      <c r="Y799" s="275"/>
      <c r="Z799" s="275"/>
      <c r="AA799" s="275"/>
    </row>
    <row r="800" spans="1:27">
      <c r="A800" s="280"/>
      <c r="B800" s="274"/>
      <c r="C800" s="278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</row>
    <row r="801" spans="1:27">
      <c r="A801" s="280">
        <v>271</v>
      </c>
      <c r="B801" s="274">
        <v>89</v>
      </c>
      <c r="C801" s="278" t="s">
        <v>398</v>
      </c>
      <c r="D801" s="275" t="s">
        <v>434</v>
      </c>
      <c r="E801" s="275" t="s">
        <v>435</v>
      </c>
      <c r="F801" s="275" t="s">
        <v>436</v>
      </c>
      <c r="G801" s="275" t="s">
        <v>437</v>
      </c>
      <c r="H801" s="275" t="s">
        <v>438</v>
      </c>
      <c r="I801" s="275" t="s">
        <v>439</v>
      </c>
      <c r="J801" s="275" t="s">
        <v>440</v>
      </c>
      <c r="K801" s="275" t="s">
        <v>441</v>
      </c>
      <c r="L801" s="275" t="s">
        <v>442</v>
      </c>
      <c r="M801" s="275" t="s">
        <v>443</v>
      </c>
      <c r="N801" s="275" t="s">
        <v>444</v>
      </c>
      <c r="O801" s="275" t="s">
        <v>445</v>
      </c>
      <c r="P801" s="275" t="s">
        <v>446</v>
      </c>
      <c r="Q801" s="275" t="s">
        <v>447</v>
      </c>
      <c r="R801" s="275" t="s">
        <v>448</v>
      </c>
      <c r="S801" s="275" t="s">
        <v>449</v>
      </c>
      <c r="T801" s="275" t="s">
        <v>450</v>
      </c>
      <c r="U801" s="275"/>
      <c r="V801" s="275"/>
      <c r="W801" s="275"/>
      <c r="X801" s="275"/>
      <c r="Y801" s="275"/>
      <c r="Z801" s="275"/>
      <c r="AA801" s="275"/>
    </row>
    <row r="802" spans="1:27">
      <c r="A802" s="280"/>
      <c r="B802" s="274"/>
      <c r="C802" s="278"/>
      <c r="D802" s="275">
        <v>1.435E-2</v>
      </c>
      <c r="E802" s="275">
        <v>5.9429999999999997E-2</v>
      </c>
      <c r="F802" s="275">
        <v>4.8410000000000002E-2</v>
      </c>
      <c r="G802" s="275">
        <v>5.8200000000000002E-2</v>
      </c>
      <c r="H802" s="275">
        <v>0.15443999999999999</v>
      </c>
      <c r="I802" s="275">
        <v>0.14552000000000001</v>
      </c>
      <c r="J802" s="275">
        <v>0.16311</v>
      </c>
      <c r="K802" s="275">
        <v>0.14119999999999999</v>
      </c>
      <c r="L802" s="275">
        <v>0.14646000000000001</v>
      </c>
      <c r="M802" s="275">
        <v>0.33729999999999999</v>
      </c>
      <c r="N802" s="275">
        <v>0.33661000000000002</v>
      </c>
      <c r="O802" s="275">
        <v>0.37090000000000001</v>
      </c>
      <c r="P802" s="275">
        <v>0.36984</v>
      </c>
      <c r="Q802" s="275">
        <v>0.38055</v>
      </c>
      <c r="R802" s="275">
        <v>0.71924999999999994</v>
      </c>
      <c r="S802" s="275">
        <v>0.75258000000000003</v>
      </c>
      <c r="T802" s="275">
        <v>0.82804</v>
      </c>
      <c r="U802" s="275"/>
      <c r="V802" s="275"/>
      <c r="W802" s="275"/>
      <c r="X802" s="275"/>
      <c r="Y802" s="275"/>
      <c r="Z802" s="275"/>
      <c r="AA802" s="275"/>
    </row>
    <row r="803" spans="1:27">
      <c r="A803" s="280"/>
      <c r="B803" s="274"/>
      <c r="C803" s="278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</row>
    <row r="804" spans="1:27">
      <c r="A804" s="280">
        <v>272</v>
      </c>
      <c r="B804" s="274">
        <v>90</v>
      </c>
      <c r="C804" s="278" t="s">
        <v>399</v>
      </c>
      <c r="D804" s="275" t="s">
        <v>434</v>
      </c>
      <c r="E804" s="275" t="s">
        <v>435</v>
      </c>
      <c r="F804" s="275" t="s">
        <v>436</v>
      </c>
      <c r="G804" s="275" t="s">
        <v>437</v>
      </c>
      <c r="H804" s="275" t="s">
        <v>438</v>
      </c>
      <c r="I804" s="275" t="s">
        <v>439</v>
      </c>
      <c r="J804" s="275" t="s">
        <v>440</v>
      </c>
      <c r="K804" s="275" t="s">
        <v>441</v>
      </c>
      <c r="L804" s="275" t="s">
        <v>442</v>
      </c>
      <c r="M804" s="275" t="s">
        <v>443</v>
      </c>
      <c r="N804" s="275" t="s">
        <v>444</v>
      </c>
      <c r="O804" s="275" t="s">
        <v>445</v>
      </c>
      <c r="P804" s="275" t="s">
        <v>446</v>
      </c>
      <c r="Q804" s="275" t="s">
        <v>447</v>
      </c>
      <c r="R804" s="275" t="s">
        <v>451</v>
      </c>
      <c r="S804" s="275" t="s">
        <v>452</v>
      </c>
      <c r="T804" s="275" t="s">
        <v>448</v>
      </c>
      <c r="U804" s="275" t="s">
        <v>449</v>
      </c>
      <c r="V804" s="275" t="s">
        <v>450</v>
      </c>
      <c r="W804" s="275" t="s">
        <v>453</v>
      </c>
      <c r="X804" s="275" t="s">
        <v>454</v>
      </c>
      <c r="Y804" s="275" t="s">
        <v>455</v>
      </c>
      <c r="Z804" s="275" t="s">
        <v>456</v>
      </c>
      <c r="AA804" s="275" t="s">
        <v>457</v>
      </c>
    </row>
    <row r="805" spans="1:27">
      <c r="A805" s="280"/>
      <c r="B805" s="274"/>
      <c r="C805" s="278"/>
      <c r="D805" s="275">
        <v>1.4120000000000001E-2</v>
      </c>
      <c r="E805" s="275">
        <v>5.8450000000000002E-2</v>
      </c>
      <c r="F805" s="275">
        <v>4.7539999999999999E-2</v>
      </c>
      <c r="G805" s="275">
        <v>5.747E-2</v>
      </c>
      <c r="H805" s="275">
        <v>0.15192</v>
      </c>
      <c r="I805" s="275">
        <v>0.14305999999999999</v>
      </c>
      <c r="J805" s="275">
        <v>0.16087000000000001</v>
      </c>
      <c r="K805" s="275">
        <v>0.13916000000000001</v>
      </c>
      <c r="L805" s="275">
        <v>0.14446999999999999</v>
      </c>
      <c r="M805" s="275">
        <v>0.33133000000000001</v>
      </c>
      <c r="N805" s="275">
        <v>0.33037</v>
      </c>
      <c r="O805" s="275">
        <v>0.3649</v>
      </c>
      <c r="P805" s="275">
        <v>0.36319000000000001</v>
      </c>
      <c r="Q805" s="275">
        <v>0.37389</v>
      </c>
      <c r="R805" s="275">
        <v>0.36697000000000002</v>
      </c>
      <c r="S805" s="275">
        <v>0.37236999999999998</v>
      </c>
      <c r="T805" s="275">
        <v>0.70279999999999998</v>
      </c>
      <c r="U805" s="275">
        <v>0.73395999999999995</v>
      </c>
      <c r="V805" s="275">
        <v>0.80908000000000002</v>
      </c>
      <c r="W805" s="275">
        <v>0.91730999999999996</v>
      </c>
      <c r="X805" s="275">
        <v>0.94574999999999998</v>
      </c>
      <c r="Y805" s="275">
        <v>1.58124</v>
      </c>
      <c r="Z805" s="275">
        <v>1.7517400000000001</v>
      </c>
      <c r="AA805" s="275">
        <v>1.96394</v>
      </c>
    </row>
    <row r="806" spans="1:27">
      <c r="A806" s="280"/>
      <c r="B806" s="274"/>
      <c r="C806" s="278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</row>
    <row r="807" spans="1:27">
      <c r="A807" s="280">
        <v>273</v>
      </c>
      <c r="B807" s="274">
        <v>90</v>
      </c>
      <c r="C807" s="278" t="s">
        <v>199</v>
      </c>
      <c r="D807" s="275" t="s">
        <v>434</v>
      </c>
      <c r="E807" s="275" t="s">
        <v>435</v>
      </c>
      <c r="F807" s="275" t="s">
        <v>436</v>
      </c>
      <c r="G807" s="275" t="s">
        <v>437</v>
      </c>
      <c r="H807" s="275" t="s">
        <v>438</v>
      </c>
      <c r="I807" s="275" t="s">
        <v>439</v>
      </c>
      <c r="J807" s="275" t="s">
        <v>440</v>
      </c>
      <c r="K807" s="275" t="s">
        <v>441</v>
      </c>
      <c r="L807" s="275" t="s">
        <v>442</v>
      </c>
      <c r="M807" s="275" t="s">
        <v>443</v>
      </c>
      <c r="N807" s="275" t="s">
        <v>444</v>
      </c>
      <c r="O807" s="275" t="s">
        <v>445</v>
      </c>
      <c r="P807" s="275" t="s">
        <v>446</v>
      </c>
      <c r="Q807" s="275" t="s">
        <v>447</v>
      </c>
      <c r="R807" s="275" t="s">
        <v>451</v>
      </c>
      <c r="S807" s="275" t="s">
        <v>452</v>
      </c>
      <c r="T807" s="275" t="s">
        <v>448</v>
      </c>
      <c r="U807" s="275" t="s">
        <v>449</v>
      </c>
      <c r="V807" s="275" t="s">
        <v>450</v>
      </c>
      <c r="W807" s="275" t="s">
        <v>453</v>
      </c>
      <c r="X807" s="275" t="s">
        <v>454</v>
      </c>
      <c r="Y807" s="275" t="s">
        <v>455</v>
      </c>
      <c r="Z807" s="275" t="s">
        <v>456</v>
      </c>
      <c r="AA807" s="275" t="s">
        <v>457</v>
      </c>
    </row>
    <row r="808" spans="1:27">
      <c r="A808" s="280"/>
      <c r="B808" s="274"/>
      <c r="C808" s="278"/>
      <c r="D808" s="275">
        <v>1.4120000000000001E-2</v>
      </c>
      <c r="E808" s="275">
        <v>5.8450000000000002E-2</v>
      </c>
      <c r="F808" s="275">
        <v>4.7539999999999999E-2</v>
      </c>
      <c r="G808" s="275">
        <v>5.747E-2</v>
      </c>
      <c r="H808" s="275">
        <v>0.15192</v>
      </c>
      <c r="I808" s="275">
        <v>0.14305999999999999</v>
      </c>
      <c r="J808" s="275">
        <v>0.16087000000000001</v>
      </c>
      <c r="K808" s="275">
        <v>0.13916000000000001</v>
      </c>
      <c r="L808" s="275">
        <v>0.14446999999999999</v>
      </c>
      <c r="M808" s="275">
        <v>0.33133000000000001</v>
      </c>
      <c r="N808" s="275">
        <v>0.33037</v>
      </c>
      <c r="O808" s="275">
        <v>0.3649</v>
      </c>
      <c r="P808" s="275">
        <v>0.36319000000000001</v>
      </c>
      <c r="Q808" s="275">
        <v>0.37389</v>
      </c>
      <c r="R808" s="275">
        <v>0.36695</v>
      </c>
      <c r="S808" s="275">
        <v>0.37235000000000001</v>
      </c>
      <c r="T808" s="275">
        <v>0.70272999999999997</v>
      </c>
      <c r="U808" s="275">
        <v>0.73392999999999997</v>
      </c>
      <c r="V808" s="275">
        <v>0.80906</v>
      </c>
      <c r="W808" s="275">
        <v>0.91746000000000005</v>
      </c>
      <c r="X808" s="275">
        <v>0.94589000000000001</v>
      </c>
      <c r="Y808" s="275">
        <v>1.5724899999999999</v>
      </c>
      <c r="Z808" s="275">
        <v>1.7337100000000001</v>
      </c>
      <c r="AA808" s="275">
        <v>1.9336800000000001</v>
      </c>
    </row>
    <row r="809" spans="1:27">
      <c r="A809" s="280"/>
      <c r="B809" s="274"/>
      <c r="C809" s="278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</row>
    <row r="810" spans="1:27">
      <c r="A810" s="280">
        <v>274</v>
      </c>
      <c r="B810" s="274">
        <v>90</v>
      </c>
      <c r="C810" s="278" t="s">
        <v>200</v>
      </c>
      <c r="D810" s="275" t="s">
        <v>434</v>
      </c>
      <c r="E810" s="275" t="s">
        <v>435</v>
      </c>
      <c r="F810" s="275" t="s">
        <v>436</v>
      </c>
      <c r="G810" s="275" t="s">
        <v>437</v>
      </c>
      <c r="H810" s="275" t="s">
        <v>438</v>
      </c>
      <c r="I810" s="275" t="s">
        <v>439</v>
      </c>
      <c r="J810" s="275" t="s">
        <v>440</v>
      </c>
      <c r="K810" s="275" t="s">
        <v>441</v>
      </c>
      <c r="L810" s="275" t="s">
        <v>442</v>
      </c>
      <c r="M810" s="275" t="s">
        <v>443</v>
      </c>
      <c r="N810" s="275" t="s">
        <v>444</v>
      </c>
      <c r="O810" s="275" t="s">
        <v>445</v>
      </c>
      <c r="P810" s="275" t="s">
        <v>446</v>
      </c>
      <c r="Q810" s="275" t="s">
        <v>447</v>
      </c>
      <c r="R810" s="275" t="s">
        <v>448</v>
      </c>
      <c r="S810" s="275" t="s">
        <v>449</v>
      </c>
      <c r="T810" s="275" t="s">
        <v>450</v>
      </c>
      <c r="U810" s="275"/>
      <c r="V810" s="275"/>
      <c r="W810" s="275"/>
      <c r="X810" s="275"/>
      <c r="Y810" s="275"/>
      <c r="Z810" s="275"/>
      <c r="AA810" s="275"/>
    </row>
    <row r="811" spans="1:27">
      <c r="A811" s="280"/>
      <c r="B811" s="274"/>
      <c r="C811" s="278"/>
      <c r="D811" s="275">
        <v>1.4120000000000001E-2</v>
      </c>
      <c r="E811" s="275">
        <v>5.8450000000000002E-2</v>
      </c>
      <c r="F811" s="275">
        <v>4.7539999999999999E-2</v>
      </c>
      <c r="G811" s="275">
        <v>5.747E-2</v>
      </c>
      <c r="H811" s="275">
        <v>0.15192</v>
      </c>
      <c r="I811" s="275">
        <v>0.14305999999999999</v>
      </c>
      <c r="J811" s="275">
        <v>0.16087000000000001</v>
      </c>
      <c r="K811" s="275">
        <v>0.13916000000000001</v>
      </c>
      <c r="L811" s="275">
        <v>0.14446999999999999</v>
      </c>
      <c r="M811" s="275">
        <v>0.33130999999999999</v>
      </c>
      <c r="N811" s="275">
        <v>0.33034999999999998</v>
      </c>
      <c r="O811" s="275">
        <v>0.36487000000000003</v>
      </c>
      <c r="P811" s="275">
        <v>0.36316999999999999</v>
      </c>
      <c r="Q811" s="275">
        <v>0.37386000000000003</v>
      </c>
      <c r="R811" s="275">
        <v>0.70198000000000005</v>
      </c>
      <c r="S811" s="275">
        <v>0.73282999999999998</v>
      </c>
      <c r="T811" s="275">
        <v>0.80728</v>
      </c>
      <c r="U811" s="275"/>
      <c r="V811" s="275"/>
      <c r="W811" s="275"/>
      <c r="X811" s="275"/>
      <c r="Y811" s="275"/>
      <c r="Z811" s="275"/>
      <c r="AA811" s="275"/>
    </row>
    <row r="812" spans="1:27">
      <c r="A812" s="280"/>
      <c r="B812" s="274"/>
      <c r="C812" s="278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</row>
    <row r="813" spans="1:27">
      <c r="A813" s="280">
        <v>275</v>
      </c>
      <c r="B813" s="274">
        <v>91</v>
      </c>
      <c r="C813" s="278" t="s">
        <v>400</v>
      </c>
      <c r="D813" s="275" t="s">
        <v>434</v>
      </c>
      <c r="E813" s="275" t="s">
        <v>435</v>
      </c>
      <c r="F813" s="275" t="s">
        <v>436</v>
      </c>
      <c r="G813" s="275" t="s">
        <v>437</v>
      </c>
      <c r="H813" s="275" t="s">
        <v>438</v>
      </c>
      <c r="I813" s="275" t="s">
        <v>439</v>
      </c>
      <c r="J813" s="275" t="s">
        <v>440</v>
      </c>
      <c r="K813" s="275" t="s">
        <v>441</v>
      </c>
      <c r="L813" s="275" t="s">
        <v>442</v>
      </c>
      <c r="M813" s="275" t="s">
        <v>443</v>
      </c>
      <c r="N813" s="275" t="s">
        <v>444</v>
      </c>
      <c r="O813" s="275" t="s">
        <v>445</v>
      </c>
      <c r="P813" s="275" t="s">
        <v>446</v>
      </c>
      <c r="Q813" s="275" t="s">
        <v>447</v>
      </c>
      <c r="R813" s="275" t="s">
        <v>451</v>
      </c>
      <c r="S813" s="275" t="s">
        <v>452</v>
      </c>
      <c r="T813" s="275" t="s">
        <v>448</v>
      </c>
      <c r="U813" s="275" t="s">
        <v>449</v>
      </c>
      <c r="V813" s="275" t="s">
        <v>450</v>
      </c>
      <c r="W813" s="275" t="s">
        <v>453</v>
      </c>
      <c r="X813" s="275" t="s">
        <v>454</v>
      </c>
      <c r="Y813" s="275" t="s">
        <v>455</v>
      </c>
      <c r="Z813" s="275" t="s">
        <v>456</v>
      </c>
      <c r="AA813" s="275" t="s">
        <v>457</v>
      </c>
    </row>
    <row r="814" spans="1:27">
      <c r="A814" s="280"/>
      <c r="B814" s="274"/>
      <c r="C814" s="278"/>
      <c r="D814" s="275">
        <v>1.389E-2</v>
      </c>
      <c r="E814" s="275">
        <v>5.7480000000000003E-2</v>
      </c>
      <c r="F814" s="275">
        <v>4.6690000000000002E-2</v>
      </c>
      <c r="G814" s="275">
        <v>5.6750000000000002E-2</v>
      </c>
      <c r="H814" s="275">
        <v>0.14946000000000001</v>
      </c>
      <c r="I814" s="275">
        <v>0.14065</v>
      </c>
      <c r="J814" s="275">
        <v>0.15867999999999999</v>
      </c>
      <c r="K814" s="275">
        <v>0.13716999999999999</v>
      </c>
      <c r="L814" s="275">
        <v>0.14252999999999999</v>
      </c>
      <c r="M814" s="275">
        <v>0.32550000000000001</v>
      </c>
      <c r="N814" s="275">
        <v>0.32429999999999998</v>
      </c>
      <c r="O814" s="275">
        <v>0.35908000000000001</v>
      </c>
      <c r="P814" s="275">
        <v>0.35676999999999998</v>
      </c>
      <c r="Q814" s="275">
        <v>0.36747000000000002</v>
      </c>
      <c r="R814" s="275">
        <v>0.35898000000000002</v>
      </c>
      <c r="S814" s="275">
        <v>0.36434</v>
      </c>
      <c r="T814" s="275">
        <v>0.68701000000000001</v>
      </c>
      <c r="U814" s="275">
        <v>0.71631</v>
      </c>
      <c r="V814" s="275">
        <v>0.7913</v>
      </c>
      <c r="W814" s="275">
        <v>0.89290000000000003</v>
      </c>
      <c r="X814" s="275">
        <v>0.92096999999999996</v>
      </c>
      <c r="Y814" s="275">
        <v>1.5309600000000001</v>
      </c>
      <c r="Z814" s="275">
        <v>1.6855899999999999</v>
      </c>
      <c r="AA814" s="275">
        <v>1.8880399999999999</v>
      </c>
    </row>
    <row r="815" spans="1:27">
      <c r="A815" s="280"/>
      <c r="B815" s="274"/>
      <c r="C815" s="278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</row>
    <row r="816" spans="1:27">
      <c r="A816" s="280">
        <v>276</v>
      </c>
      <c r="B816" s="274">
        <v>91</v>
      </c>
      <c r="C816" s="278" t="s">
        <v>201</v>
      </c>
      <c r="D816" s="275" t="s">
        <v>434</v>
      </c>
      <c r="E816" s="275" t="s">
        <v>435</v>
      </c>
      <c r="F816" s="275" t="s">
        <v>436</v>
      </c>
      <c r="G816" s="275" t="s">
        <v>437</v>
      </c>
      <c r="H816" s="275" t="s">
        <v>438</v>
      </c>
      <c r="I816" s="275" t="s">
        <v>439</v>
      </c>
      <c r="J816" s="275" t="s">
        <v>440</v>
      </c>
      <c r="K816" s="275" t="s">
        <v>441</v>
      </c>
      <c r="L816" s="275" t="s">
        <v>442</v>
      </c>
      <c r="M816" s="275" t="s">
        <v>443</v>
      </c>
      <c r="N816" s="275" t="s">
        <v>444</v>
      </c>
      <c r="O816" s="275" t="s">
        <v>445</v>
      </c>
      <c r="P816" s="275" t="s">
        <v>446</v>
      </c>
      <c r="Q816" s="275" t="s">
        <v>447</v>
      </c>
      <c r="R816" s="275" t="s">
        <v>451</v>
      </c>
      <c r="S816" s="275" t="s">
        <v>452</v>
      </c>
      <c r="T816" s="275" t="s">
        <v>448</v>
      </c>
      <c r="U816" s="275" t="s">
        <v>449</v>
      </c>
      <c r="V816" s="275" t="s">
        <v>450</v>
      </c>
      <c r="W816" s="275" t="s">
        <v>453</v>
      </c>
      <c r="X816" s="275" t="s">
        <v>454</v>
      </c>
      <c r="Y816" s="275" t="s">
        <v>455</v>
      </c>
      <c r="Z816" s="275" t="s">
        <v>456</v>
      </c>
      <c r="AA816" s="275" t="s">
        <v>457</v>
      </c>
    </row>
    <row r="817" spans="1:27">
      <c r="A817" s="280"/>
      <c r="B817" s="274"/>
      <c r="C817" s="278"/>
      <c r="D817" s="275">
        <v>1.389E-2</v>
      </c>
      <c r="E817" s="275">
        <v>5.7480000000000003E-2</v>
      </c>
      <c r="F817" s="275">
        <v>4.6690000000000002E-2</v>
      </c>
      <c r="G817" s="275">
        <v>5.6750000000000002E-2</v>
      </c>
      <c r="H817" s="275">
        <v>0.14946000000000001</v>
      </c>
      <c r="I817" s="275">
        <v>0.14065</v>
      </c>
      <c r="J817" s="275">
        <v>0.15867999999999999</v>
      </c>
      <c r="K817" s="275">
        <v>0.13716999999999999</v>
      </c>
      <c r="L817" s="275">
        <v>0.14252999999999999</v>
      </c>
      <c r="M817" s="275">
        <v>0.32547999999999999</v>
      </c>
      <c r="N817" s="275">
        <v>0.32428000000000001</v>
      </c>
      <c r="O817" s="275">
        <v>0.35905999999999999</v>
      </c>
      <c r="P817" s="275">
        <v>0.35674</v>
      </c>
      <c r="Q817" s="275">
        <v>0.36745</v>
      </c>
      <c r="R817" s="275">
        <v>0.35896</v>
      </c>
      <c r="S817" s="275">
        <v>0.36431999999999998</v>
      </c>
      <c r="T817" s="275">
        <v>0.68630999999999998</v>
      </c>
      <c r="U817" s="275">
        <v>0.71531</v>
      </c>
      <c r="V817" s="275">
        <v>0.78964999999999996</v>
      </c>
      <c r="W817" s="275">
        <v>0.88868000000000003</v>
      </c>
      <c r="X817" s="275">
        <v>0.91608999999999996</v>
      </c>
      <c r="Y817" s="275">
        <v>1.5036099999999999</v>
      </c>
      <c r="Z817" s="275">
        <v>1.64279</v>
      </c>
      <c r="AA817" s="275">
        <v>1.82552</v>
      </c>
    </row>
    <row r="818" spans="1:27">
      <c r="A818" s="280"/>
      <c r="B818" s="274"/>
      <c r="C818" s="278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</row>
    <row r="819" spans="1:27">
      <c r="A819" s="280">
        <v>277</v>
      </c>
      <c r="B819" s="274">
        <v>91</v>
      </c>
      <c r="C819" s="278" t="s">
        <v>202</v>
      </c>
      <c r="D819" s="275" t="s">
        <v>434</v>
      </c>
      <c r="E819" s="275" t="s">
        <v>435</v>
      </c>
      <c r="F819" s="275" t="s">
        <v>436</v>
      </c>
      <c r="G819" s="275" t="s">
        <v>437</v>
      </c>
      <c r="H819" s="275" t="s">
        <v>438</v>
      </c>
      <c r="I819" s="275" t="s">
        <v>439</v>
      </c>
      <c r="J819" s="275" t="s">
        <v>440</v>
      </c>
      <c r="K819" s="275" t="s">
        <v>441</v>
      </c>
      <c r="L819" s="275" t="s">
        <v>442</v>
      </c>
      <c r="M819" s="275" t="s">
        <v>443</v>
      </c>
      <c r="N819" s="275" t="s">
        <v>444</v>
      </c>
      <c r="O819" s="275" t="s">
        <v>445</v>
      </c>
      <c r="P819" s="275" t="s">
        <v>446</v>
      </c>
      <c r="Q819" s="275" t="s">
        <v>447</v>
      </c>
      <c r="R819" s="275" t="s">
        <v>448</v>
      </c>
      <c r="S819" s="275" t="s">
        <v>449</v>
      </c>
      <c r="T819" s="275" t="s">
        <v>450</v>
      </c>
      <c r="U819" s="275"/>
      <c r="V819" s="275"/>
      <c r="W819" s="275"/>
      <c r="X819" s="275"/>
      <c r="Y819" s="275"/>
      <c r="Z819" s="275"/>
      <c r="AA819" s="275"/>
    </row>
    <row r="820" spans="1:27">
      <c r="A820" s="280"/>
      <c r="B820" s="274"/>
      <c r="C820" s="278"/>
      <c r="D820" s="275">
        <v>1.389E-2</v>
      </c>
      <c r="E820" s="275">
        <v>5.7480000000000003E-2</v>
      </c>
      <c r="F820" s="275">
        <v>4.6690000000000002E-2</v>
      </c>
      <c r="G820" s="275">
        <v>5.6750000000000002E-2</v>
      </c>
      <c r="H820" s="275">
        <v>0.14946000000000001</v>
      </c>
      <c r="I820" s="275">
        <v>0.14065</v>
      </c>
      <c r="J820" s="275">
        <v>0.15867999999999999</v>
      </c>
      <c r="K820" s="275">
        <v>0.13716999999999999</v>
      </c>
      <c r="L820" s="275">
        <v>0.14252999999999999</v>
      </c>
      <c r="M820" s="275">
        <v>0.32546000000000003</v>
      </c>
      <c r="N820" s="275">
        <v>0.32425999999999999</v>
      </c>
      <c r="O820" s="275">
        <v>0.35902000000000001</v>
      </c>
      <c r="P820" s="275">
        <v>0.35670000000000002</v>
      </c>
      <c r="Q820" s="275">
        <v>0.3674</v>
      </c>
      <c r="R820" s="275">
        <v>0.68537999999999999</v>
      </c>
      <c r="S820" s="275">
        <v>0.71399000000000001</v>
      </c>
      <c r="T820" s="275">
        <v>0.78754000000000002</v>
      </c>
      <c r="U820" s="275"/>
      <c r="V820" s="275"/>
      <c r="W820" s="275"/>
      <c r="X820" s="275"/>
      <c r="Y820" s="275"/>
      <c r="Z820" s="275"/>
      <c r="AA820" s="275"/>
    </row>
    <row r="821" spans="1:27">
      <c r="A821" s="280"/>
      <c r="B821" s="274"/>
      <c r="C821" s="278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</row>
    <row r="822" spans="1:27">
      <c r="A822" s="280">
        <v>278</v>
      </c>
      <c r="B822" s="274">
        <v>92</v>
      </c>
      <c r="C822" s="278" t="s">
        <v>401</v>
      </c>
      <c r="D822" s="275" t="s">
        <v>434</v>
      </c>
      <c r="E822" s="275" t="s">
        <v>435</v>
      </c>
      <c r="F822" s="275" t="s">
        <v>436</v>
      </c>
      <c r="G822" s="275" t="s">
        <v>437</v>
      </c>
      <c r="H822" s="275" t="s">
        <v>438</v>
      </c>
      <c r="I822" s="275" t="s">
        <v>439</v>
      </c>
      <c r="J822" s="275" t="s">
        <v>440</v>
      </c>
      <c r="K822" s="275" t="s">
        <v>441</v>
      </c>
      <c r="L822" s="275" t="s">
        <v>442</v>
      </c>
      <c r="M822" s="275" t="s">
        <v>443</v>
      </c>
      <c r="N822" s="275" t="s">
        <v>444</v>
      </c>
      <c r="O822" s="275" t="s">
        <v>445</v>
      </c>
      <c r="P822" s="275" t="s">
        <v>446</v>
      </c>
      <c r="Q822" s="275" t="s">
        <v>447</v>
      </c>
      <c r="R822" s="275" t="s">
        <v>451</v>
      </c>
      <c r="S822" s="275" t="s">
        <v>452</v>
      </c>
      <c r="T822" s="275" t="s">
        <v>448</v>
      </c>
      <c r="U822" s="275" t="s">
        <v>449</v>
      </c>
      <c r="V822" s="275" t="s">
        <v>450</v>
      </c>
      <c r="W822" s="275" t="s">
        <v>453</v>
      </c>
      <c r="X822" s="275" t="s">
        <v>454</v>
      </c>
      <c r="Y822" s="275" t="s">
        <v>455</v>
      </c>
      <c r="Z822" s="275" t="s">
        <v>456</v>
      </c>
      <c r="AA822" s="275" t="s">
        <v>457</v>
      </c>
    </row>
    <row r="823" spans="1:27">
      <c r="A823" s="280"/>
      <c r="B823" s="274"/>
      <c r="C823" s="278"/>
      <c r="D823" s="275">
        <v>1.367E-2</v>
      </c>
      <c r="E823" s="275">
        <v>5.6529999999999997E-2</v>
      </c>
      <c r="F823" s="275">
        <v>4.5850000000000002E-2</v>
      </c>
      <c r="G823" s="275">
        <v>5.6050000000000003E-2</v>
      </c>
      <c r="H823" s="275">
        <v>0.14704999999999999</v>
      </c>
      <c r="I823" s="275">
        <v>0.13827999999999999</v>
      </c>
      <c r="J823" s="275">
        <v>0.15654000000000001</v>
      </c>
      <c r="K823" s="275">
        <v>0.13522999999999999</v>
      </c>
      <c r="L823" s="275">
        <v>0.14065</v>
      </c>
      <c r="M823" s="275">
        <v>0.31983</v>
      </c>
      <c r="N823" s="275">
        <v>0.31840000000000002</v>
      </c>
      <c r="O823" s="275">
        <v>0.35343000000000002</v>
      </c>
      <c r="P823" s="275">
        <v>0.35055999999999998</v>
      </c>
      <c r="Q823" s="275">
        <v>0.36127999999999999</v>
      </c>
      <c r="R823" s="275">
        <v>0.35138999999999998</v>
      </c>
      <c r="S823" s="275">
        <v>0.35671000000000003</v>
      </c>
      <c r="T823" s="275">
        <v>0.67203999999999997</v>
      </c>
      <c r="U823" s="275">
        <v>0.6996</v>
      </c>
      <c r="V823" s="275">
        <v>0.77458000000000005</v>
      </c>
      <c r="W823" s="275">
        <v>0.87021000000000004</v>
      </c>
      <c r="X823" s="275">
        <v>0.89800999999999997</v>
      </c>
      <c r="Y823" s="275">
        <v>1.4931000000000001</v>
      </c>
      <c r="Z823" s="275">
        <v>1.64201</v>
      </c>
      <c r="AA823" s="275">
        <v>1.8475200000000001</v>
      </c>
    </row>
    <row r="824" spans="1:27">
      <c r="A824" s="280"/>
      <c r="B824" s="274"/>
      <c r="C824" s="278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</row>
    <row r="825" spans="1:27">
      <c r="A825" s="280">
        <v>279</v>
      </c>
      <c r="B825" s="274">
        <v>92</v>
      </c>
      <c r="C825" s="278" t="s">
        <v>203</v>
      </c>
      <c r="D825" s="275" t="s">
        <v>434</v>
      </c>
      <c r="E825" s="275" t="s">
        <v>435</v>
      </c>
      <c r="F825" s="275" t="s">
        <v>436</v>
      </c>
      <c r="G825" s="275" t="s">
        <v>437</v>
      </c>
      <c r="H825" s="275" t="s">
        <v>438</v>
      </c>
      <c r="I825" s="275" t="s">
        <v>439</v>
      </c>
      <c r="J825" s="275" t="s">
        <v>440</v>
      </c>
      <c r="K825" s="275" t="s">
        <v>441</v>
      </c>
      <c r="L825" s="275" t="s">
        <v>442</v>
      </c>
      <c r="M825" s="275" t="s">
        <v>443</v>
      </c>
      <c r="N825" s="275" t="s">
        <v>444</v>
      </c>
      <c r="O825" s="275" t="s">
        <v>445</v>
      </c>
      <c r="P825" s="275" t="s">
        <v>446</v>
      </c>
      <c r="Q825" s="275" t="s">
        <v>447</v>
      </c>
      <c r="R825" s="275" t="s">
        <v>451</v>
      </c>
      <c r="S825" s="275" t="s">
        <v>452</v>
      </c>
      <c r="T825" s="275" t="s">
        <v>448</v>
      </c>
      <c r="U825" s="275" t="s">
        <v>449</v>
      </c>
      <c r="V825" s="275" t="s">
        <v>450</v>
      </c>
      <c r="W825" s="275" t="s">
        <v>453</v>
      </c>
      <c r="X825" s="275" t="s">
        <v>454</v>
      </c>
      <c r="Y825" s="275" t="s">
        <v>455</v>
      </c>
      <c r="Z825" s="275" t="s">
        <v>456</v>
      </c>
      <c r="AA825" s="275" t="s">
        <v>457</v>
      </c>
    </row>
    <row r="826" spans="1:27">
      <c r="A826" s="280"/>
      <c r="B826" s="274"/>
      <c r="C826" s="278"/>
      <c r="D826" s="275">
        <v>1.367E-2</v>
      </c>
      <c r="E826" s="275">
        <v>5.6529999999999997E-2</v>
      </c>
      <c r="F826" s="275">
        <v>4.5850000000000002E-2</v>
      </c>
      <c r="G826" s="275">
        <v>5.6050000000000003E-2</v>
      </c>
      <c r="H826" s="275">
        <v>0.14704999999999999</v>
      </c>
      <c r="I826" s="275">
        <v>0.13827999999999999</v>
      </c>
      <c r="J826" s="275">
        <v>0.15654000000000001</v>
      </c>
      <c r="K826" s="275">
        <v>0.13522999999999999</v>
      </c>
      <c r="L826" s="275">
        <v>0.14065</v>
      </c>
      <c r="M826" s="275">
        <v>0.31980999999999998</v>
      </c>
      <c r="N826" s="275">
        <v>0.31838</v>
      </c>
      <c r="O826" s="275">
        <v>0.35341</v>
      </c>
      <c r="P826" s="275">
        <v>0.35054000000000002</v>
      </c>
      <c r="Q826" s="275">
        <v>0.36125000000000002</v>
      </c>
      <c r="R826" s="275">
        <v>0.35138000000000003</v>
      </c>
      <c r="S826" s="275">
        <v>0.35670000000000002</v>
      </c>
      <c r="T826" s="275">
        <v>0.67137999999999998</v>
      </c>
      <c r="U826" s="275">
        <v>0.69867000000000001</v>
      </c>
      <c r="V826" s="275">
        <v>0.77303999999999995</v>
      </c>
      <c r="W826" s="275">
        <v>0.86634</v>
      </c>
      <c r="X826" s="275">
        <v>0.89351999999999998</v>
      </c>
      <c r="Y826" s="275">
        <v>1.46746</v>
      </c>
      <c r="Z826" s="275">
        <v>1.60182</v>
      </c>
      <c r="AA826" s="275">
        <v>1.7875799999999999</v>
      </c>
    </row>
    <row r="827" spans="1:27">
      <c r="A827" s="280"/>
      <c r="B827" s="274"/>
      <c r="C827" s="278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</row>
    <row r="828" spans="1:27">
      <c r="A828" s="280">
        <v>280</v>
      </c>
      <c r="B828" s="274">
        <v>92</v>
      </c>
      <c r="C828" s="278" t="s">
        <v>204</v>
      </c>
      <c r="D828" s="275" t="s">
        <v>434</v>
      </c>
      <c r="E828" s="275" t="s">
        <v>435</v>
      </c>
      <c r="F828" s="275" t="s">
        <v>436</v>
      </c>
      <c r="G828" s="275" t="s">
        <v>437</v>
      </c>
      <c r="H828" s="275" t="s">
        <v>438</v>
      </c>
      <c r="I828" s="275" t="s">
        <v>439</v>
      </c>
      <c r="J828" s="275" t="s">
        <v>440</v>
      </c>
      <c r="K828" s="275" t="s">
        <v>441</v>
      </c>
      <c r="L828" s="275" t="s">
        <v>442</v>
      </c>
      <c r="M828" s="275" t="s">
        <v>443</v>
      </c>
      <c r="N828" s="275" t="s">
        <v>444</v>
      </c>
      <c r="O828" s="275" t="s">
        <v>445</v>
      </c>
      <c r="P828" s="275" t="s">
        <v>446</v>
      </c>
      <c r="Q828" s="275" t="s">
        <v>447</v>
      </c>
      <c r="R828" s="275" t="s">
        <v>451</v>
      </c>
      <c r="S828" s="275" t="s">
        <v>452</v>
      </c>
      <c r="T828" s="275" t="s">
        <v>448</v>
      </c>
      <c r="U828" s="275" t="s">
        <v>449</v>
      </c>
      <c r="V828" s="275" t="s">
        <v>450</v>
      </c>
      <c r="W828" s="275" t="s">
        <v>453</v>
      </c>
      <c r="X828" s="275" t="s">
        <v>454</v>
      </c>
      <c r="Y828" s="275" t="s">
        <v>455</v>
      </c>
      <c r="Z828" s="275" t="s">
        <v>456</v>
      </c>
      <c r="AA828" s="275" t="s">
        <v>457</v>
      </c>
    </row>
    <row r="829" spans="1:27">
      <c r="A829" s="280"/>
      <c r="B829" s="274"/>
      <c r="C829" s="278"/>
      <c r="D829" s="275">
        <v>1.367E-2</v>
      </c>
      <c r="E829" s="275">
        <v>5.6529999999999997E-2</v>
      </c>
      <c r="F829" s="275">
        <v>4.5850000000000002E-2</v>
      </c>
      <c r="G829" s="275">
        <v>5.6050000000000003E-2</v>
      </c>
      <c r="H829" s="275">
        <v>0.14704999999999999</v>
      </c>
      <c r="I829" s="275">
        <v>0.13827999999999999</v>
      </c>
      <c r="J829" s="275">
        <v>0.15654000000000001</v>
      </c>
      <c r="K829" s="275">
        <v>0.13522999999999999</v>
      </c>
      <c r="L829" s="275">
        <v>0.14065</v>
      </c>
      <c r="M829" s="275">
        <v>0.31979000000000002</v>
      </c>
      <c r="N829" s="275">
        <v>0.31835000000000002</v>
      </c>
      <c r="O829" s="275">
        <v>0.35338000000000003</v>
      </c>
      <c r="P829" s="275">
        <v>0.35049999999999998</v>
      </c>
      <c r="Q829" s="275">
        <v>0.36120999999999998</v>
      </c>
      <c r="R829" s="275">
        <v>0.35132999999999998</v>
      </c>
      <c r="S829" s="275">
        <v>0.35665000000000002</v>
      </c>
      <c r="T829" s="275">
        <v>0.67052999999999996</v>
      </c>
      <c r="U829" s="275">
        <v>0.69745999999999997</v>
      </c>
      <c r="V829" s="275">
        <v>0.77107999999999999</v>
      </c>
      <c r="W829" s="275">
        <v>0.86168</v>
      </c>
      <c r="X829" s="275">
        <v>0.88815</v>
      </c>
      <c r="Y829" s="275">
        <v>1.4409099999999999</v>
      </c>
      <c r="Z829" s="275">
        <v>1.5624199999999999</v>
      </c>
      <c r="AA829" s="275">
        <v>1.7318899999999999</v>
      </c>
    </row>
    <row r="830" spans="1:27">
      <c r="A830" s="280"/>
      <c r="B830" s="274"/>
      <c r="C830" s="278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</row>
    <row r="831" spans="1:27">
      <c r="A831" s="280">
        <v>281</v>
      </c>
      <c r="B831" s="274">
        <v>92</v>
      </c>
      <c r="C831" s="278" t="s">
        <v>205</v>
      </c>
      <c r="D831" s="275" t="s">
        <v>434</v>
      </c>
      <c r="E831" s="275" t="s">
        <v>435</v>
      </c>
      <c r="F831" s="275" t="s">
        <v>436</v>
      </c>
      <c r="G831" s="275" t="s">
        <v>437</v>
      </c>
      <c r="H831" s="275" t="s">
        <v>438</v>
      </c>
      <c r="I831" s="275" t="s">
        <v>439</v>
      </c>
      <c r="J831" s="275" t="s">
        <v>440</v>
      </c>
      <c r="K831" s="275" t="s">
        <v>441</v>
      </c>
      <c r="L831" s="275" t="s">
        <v>442</v>
      </c>
      <c r="M831" s="275" t="s">
        <v>443</v>
      </c>
      <c r="N831" s="275" t="s">
        <v>444</v>
      </c>
      <c r="O831" s="275" t="s">
        <v>445</v>
      </c>
      <c r="P831" s="275" t="s">
        <v>446</v>
      </c>
      <c r="Q831" s="275" t="s">
        <v>447</v>
      </c>
      <c r="R831" s="275" t="s">
        <v>448</v>
      </c>
      <c r="S831" s="275" t="s">
        <v>449</v>
      </c>
      <c r="T831" s="275" t="s">
        <v>450</v>
      </c>
      <c r="U831" s="275"/>
      <c r="V831" s="275"/>
      <c r="W831" s="275"/>
      <c r="X831" s="275"/>
      <c r="Y831" s="275"/>
      <c r="Z831" s="275"/>
      <c r="AA831" s="275"/>
    </row>
    <row r="832" spans="1:27">
      <c r="A832" s="280"/>
      <c r="B832" s="274"/>
      <c r="C832" s="278"/>
      <c r="D832" s="275">
        <v>1.367E-2</v>
      </c>
      <c r="E832" s="275">
        <v>5.6529999999999997E-2</v>
      </c>
      <c r="F832" s="275">
        <v>4.5850000000000002E-2</v>
      </c>
      <c r="G832" s="275">
        <v>5.6050000000000003E-2</v>
      </c>
      <c r="H832" s="275">
        <v>0.14704999999999999</v>
      </c>
      <c r="I832" s="275">
        <v>0.13827999999999999</v>
      </c>
      <c r="J832" s="275">
        <v>0.15654000000000001</v>
      </c>
      <c r="K832" s="275">
        <v>0.13522999999999999</v>
      </c>
      <c r="L832" s="275">
        <v>0.14063999999999999</v>
      </c>
      <c r="M832" s="275">
        <v>0.31975999999999999</v>
      </c>
      <c r="N832" s="275">
        <v>0.31831999999999999</v>
      </c>
      <c r="O832" s="275">
        <v>0.35332999999999998</v>
      </c>
      <c r="P832" s="275">
        <v>0.35044999999999998</v>
      </c>
      <c r="Q832" s="275">
        <v>0.36114000000000002</v>
      </c>
      <c r="R832" s="275">
        <v>0.66947999999999996</v>
      </c>
      <c r="S832" s="275">
        <v>0.69599999999999995</v>
      </c>
      <c r="T832" s="275">
        <v>0.76875000000000004</v>
      </c>
      <c r="U832" s="275"/>
      <c r="V832" s="275"/>
      <c r="W832" s="275"/>
      <c r="X832" s="275"/>
      <c r="Y832" s="275"/>
      <c r="Z832" s="275"/>
      <c r="AA832" s="275"/>
    </row>
    <row r="833" spans="1:27">
      <c r="A833" s="280"/>
      <c r="B833" s="274"/>
      <c r="C833" s="278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</row>
    <row r="834" spans="1:27">
      <c r="A834" s="280">
        <v>282</v>
      </c>
      <c r="B834" s="274">
        <v>93</v>
      </c>
      <c r="C834" s="278" t="s">
        <v>402</v>
      </c>
      <c r="D834" s="275" t="s">
        <v>434</v>
      </c>
      <c r="E834" s="275" t="s">
        <v>435</v>
      </c>
      <c r="F834" s="275" t="s">
        <v>436</v>
      </c>
      <c r="G834" s="275" t="s">
        <v>437</v>
      </c>
      <c r="H834" s="275" t="s">
        <v>438</v>
      </c>
      <c r="I834" s="275" t="s">
        <v>439</v>
      </c>
      <c r="J834" s="275" t="s">
        <v>440</v>
      </c>
      <c r="K834" s="275" t="s">
        <v>441</v>
      </c>
      <c r="L834" s="275" t="s">
        <v>442</v>
      </c>
      <c r="M834" s="275" t="s">
        <v>443</v>
      </c>
      <c r="N834" s="275" t="s">
        <v>444</v>
      </c>
      <c r="O834" s="275" t="s">
        <v>445</v>
      </c>
      <c r="P834" s="275" t="s">
        <v>446</v>
      </c>
      <c r="Q834" s="275" t="s">
        <v>447</v>
      </c>
      <c r="R834" s="275" t="s">
        <v>451</v>
      </c>
      <c r="S834" s="275" t="s">
        <v>452</v>
      </c>
      <c r="T834" s="275" t="s">
        <v>448</v>
      </c>
      <c r="U834" s="275" t="s">
        <v>449</v>
      </c>
      <c r="V834" s="275" t="s">
        <v>450</v>
      </c>
      <c r="W834" s="275" t="s">
        <v>453</v>
      </c>
      <c r="X834" s="275" t="s">
        <v>454</v>
      </c>
      <c r="Y834" s="275" t="s">
        <v>455</v>
      </c>
      <c r="Z834" s="275" t="s">
        <v>456</v>
      </c>
      <c r="AA834" s="275" t="s">
        <v>457</v>
      </c>
    </row>
    <row r="835" spans="1:27">
      <c r="A835" s="280"/>
      <c r="B835" s="274"/>
      <c r="C835" s="278"/>
      <c r="D835" s="275">
        <v>1.346E-2</v>
      </c>
      <c r="E835" s="275">
        <v>5.5590000000000001E-2</v>
      </c>
      <c r="F835" s="275">
        <v>4.5019999999999998E-2</v>
      </c>
      <c r="G835" s="275">
        <v>5.5359999999999999E-2</v>
      </c>
      <c r="H835" s="275">
        <v>0.14466999999999999</v>
      </c>
      <c r="I835" s="275">
        <v>0.13596</v>
      </c>
      <c r="J835" s="275">
        <v>0.15445999999999999</v>
      </c>
      <c r="K835" s="275">
        <v>0.13333999999999999</v>
      </c>
      <c r="L835" s="275">
        <v>0.13880000000000001</v>
      </c>
      <c r="M835" s="275">
        <v>0.31429000000000001</v>
      </c>
      <c r="N835" s="275">
        <v>0.31263999999999997</v>
      </c>
      <c r="O835" s="275">
        <v>0.34794000000000003</v>
      </c>
      <c r="P835" s="275">
        <v>0.34455999999999998</v>
      </c>
      <c r="Q835" s="275">
        <v>0.35528999999999999</v>
      </c>
      <c r="R835" s="275">
        <v>0.34416999999999998</v>
      </c>
      <c r="S835" s="275">
        <v>0.34945999999999999</v>
      </c>
      <c r="T835" s="275">
        <v>0.65768000000000004</v>
      </c>
      <c r="U835" s="275">
        <v>0.68369000000000002</v>
      </c>
      <c r="V835" s="275">
        <v>0.75876999999999994</v>
      </c>
      <c r="W835" s="275">
        <v>0.84907999999999995</v>
      </c>
      <c r="X835" s="275">
        <v>0.87668000000000001</v>
      </c>
      <c r="Y835" s="275">
        <v>1.45797</v>
      </c>
      <c r="Z835" s="275">
        <v>1.60189</v>
      </c>
      <c r="AA835" s="275">
        <v>1.81091</v>
      </c>
    </row>
    <row r="836" spans="1:27">
      <c r="A836" s="280"/>
      <c r="B836" s="274"/>
      <c r="C836" s="278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</row>
    <row r="837" spans="1:27">
      <c r="A837" s="280">
        <v>283</v>
      </c>
      <c r="B837" s="274">
        <v>93</v>
      </c>
      <c r="C837" s="278" t="s">
        <v>206</v>
      </c>
      <c r="D837" s="275" t="s">
        <v>434</v>
      </c>
      <c r="E837" s="275" t="s">
        <v>435</v>
      </c>
      <c r="F837" s="275" t="s">
        <v>436</v>
      </c>
      <c r="G837" s="275" t="s">
        <v>437</v>
      </c>
      <c r="H837" s="275" t="s">
        <v>438</v>
      </c>
      <c r="I837" s="275" t="s">
        <v>439</v>
      </c>
      <c r="J837" s="275" t="s">
        <v>440</v>
      </c>
      <c r="K837" s="275" t="s">
        <v>441</v>
      </c>
      <c r="L837" s="275" t="s">
        <v>442</v>
      </c>
      <c r="M837" s="275" t="s">
        <v>443</v>
      </c>
      <c r="N837" s="275" t="s">
        <v>444</v>
      </c>
      <c r="O837" s="275" t="s">
        <v>445</v>
      </c>
      <c r="P837" s="275" t="s">
        <v>446</v>
      </c>
      <c r="Q837" s="275" t="s">
        <v>447</v>
      </c>
      <c r="R837" s="275" t="s">
        <v>451</v>
      </c>
      <c r="S837" s="275" t="s">
        <v>452</v>
      </c>
      <c r="T837" s="275" t="s">
        <v>448</v>
      </c>
      <c r="U837" s="275" t="s">
        <v>449</v>
      </c>
      <c r="V837" s="275" t="s">
        <v>450</v>
      </c>
      <c r="W837" s="275" t="s">
        <v>453</v>
      </c>
      <c r="X837" s="275" t="s">
        <v>454</v>
      </c>
      <c r="Y837" s="275" t="s">
        <v>455</v>
      </c>
      <c r="Z837" s="275" t="s">
        <v>456</v>
      </c>
      <c r="AA837" s="275" t="s">
        <v>457</v>
      </c>
    </row>
    <row r="838" spans="1:27">
      <c r="A838" s="280"/>
      <c r="B838" s="274"/>
      <c r="C838" s="278"/>
      <c r="D838" s="275">
        <v>1.346E-2</v>
      </c>
      <c r="E838" s="275">
        <v>5.5590000000000001E-2</v>
      </c>
      <c r="F838" s="275">
        <v>4.5019999999999998E-2</v>
      </c>
      <c r="G838" s="275">
        <v>5.5359999999999999E-2</v>
      </c>
      <c r="H838" s="275">
        <v>0.14466999999999999</v>
      </c>
      <c r="I838" s="275">
        <v>0.13596</v>
      </c>
      <c r="J838" s="275">
        <v>0.15445999999999999</v>
      </c>
      <c r="K838" s="275">
        <v>0.13333999999999999</v>
      </c>
      <c r="L838" s="275">
        <v>0.13880000000000001</v>
      </c>
      <c r="M838" s="275">
        <v>0.31426999999999999</v>
      </c>
      <c r="N838" s="275">
        <v>0.31263000000000002</v>
      </c>
      <c r="O838" s="275">
        <v>0.34792000000000001</v>
      </c>
      <c r="P838" s="275">
        <v>0.34454000000000001</v>
      </c>
      <c r="Q838" s="275">
        <v>0.35526000000000002</v>
      </c>
      <c r="R838" s="275">
        <v>0.34415000000000001</v>
      </c>
      <c r="S838" s="275">
        <v>0.34943999999999997</v>
      </c>
      <c r="T838" s="275">
        <v>0.65707000000000004</v>
      </c>
      <c r="U838" s="275">
        <v>0.68283000000000005</v>
      </c>
      <c r="V838" s="275">
        <v>0.75731999999999999</v>
      </c>
      <c r="W838" s="275">
        <v>0.84550999999999998</v>
      </c>
      <c r="X838" s="275">
        <v>0.87251999999999996</v>
      </c>
      <c r="Y838" s="275">
        <v>1.43374</v>
      </c>
      <c r="Z838" s="275">
        <v>1.5638300000000001</v>
      </c>
      <c r="AA838" s="275">
        <v>1.7529600000000001</v>
      </c>
    </row>
    <row r="839" spans="1:27">
      <c r="A839" s="280"/>
      <c r="B839" s="274"/>
      <c r="C839" s="278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</row>
    <row r="840" spans="1:27">
      <c r="A840" s="280">
        <v>284</v>
      </c>
      <c r="B840" s="274">
        <v>93</v>
      </c>
      <c r="C840" s="278" t="s">
        <v>207</v>
      </c>
      <c r="D840" s="275" t="s">
        <v>434</v>
      </c>
      <c r="E840" s="275" t="s">
        <v>435</v>
      </c>
      <c r="F840" s="275" t="s">
        <v>436</v>
      </c>
      <c r="G840" s="275" t="s">
        <v>437</v>
      </c>
      <c r="H840" s="275" t="s">
        <v>438</v>
      </c>
      <c r="I840" s="275" t="s">
        <v>439</v>
      </c>
      <c r="J840" s="275" t="s">
        <v>440</v>
      </c>
      <c r="K840" s="275" t="s">
        <v>441</v>
      </c>
      <c r="L840" s="275" t="s">
        <v>442</v>
      </c>
      <c r="M840" s="275" t="s">
        <v>443</v>
      </c>
      <c r="N840" s="275" t="s">
        <v>444</v>
      </c>
      <c r="O840" s="275" t="s">
        <v>445</v>
      </c>
      <c r="P840" s="275" t="s">
        <v>446</v>
      </c>
      <c r="Q840" s="275" t="s">
        <v>447</v>
      </c>
      <c r="R840" s="275" t="s">
        <v>451</v>
      </c>
      <c r="S840" s="275" t="s">
        <v>452</v>
      </c>
      <c r="T840" s="275" t="s">
        <v>448</v>
      </c>
      <c r="U840" s="275" t="s">
        <v>449</v>
      </c>
      <c r="V840" s="275" t="s">
        <v>450</v>
      </c>
      <c r="W840" s="275" t="s">
        <v>453</v>
      </c>
      <c r="X840" s="275" t="s">
        <v>454</v>
      </c>
      <c r="Y840" s="275" t="s">
        <v>455</v>
      </c>
      <c r="Z840" s="275" t="s">
        <v>456</v>
      </c>
      <c r="AA840" s="275" t="s">
        <v>457</v>
      </c>
    </row>
    <row r="841" spans="1:27">
      <c r="A841" s="280"/>
      <c r="B841" s="274"/>
      <c r="C841" s="278"/>
      <c r="D841" s="275">
        <v>1.346E-2</v>
      </c>
      <c r="E841" s="275">
        <v>5.5590000000000001E-2</v>
      </c>
      <c r="F841" s="275">
        <v>4.5019999999999998E-2</v>
      </c>
      <c r="G841" s="275">
        <v>5.5359999999999999E-2</v>
      </c>
      <c r="H841" s="275">
        <v>0.14466999999999999</v>
      </c>
      <c r="I841" s="275">
        <v>0.13596</v>
      </c>
      <c r="J841" s="275">
        <v>0.15445999999999999</v>
      </c>
      <c r="K841" s="275">
        <v>0.13333999999999999</v>
      </c>
      <c r="L841" s="275">
        <v>0.13880000000000001</v>
      </c>
      <c r="M841" s="275">
        <v>0.31424999999999997</v>
      </c>
      <c r="N841" s="275">
        <v>0.31259999999999999</v>
      </c>
      <c r="O841" s="275">
        <v>0.34788999999999998</v>
      </c>
      <c r="P841" s="275">
        <v>0.34450999999999998</v>
      </c>
      <c r="Q841" s="275">
        <v>0.35521999999999998</v>
      </c>
      <c r="R841" s="275">
        <v>0.34411000000000003</v>
      </c>
      <c r="S841" s="275">
        <v>0.34939999999999999</v>
      </c>
      <c r="T841" s="275">
        <v>0.65627999999999997</v>
      </c>
      <c r="U841" s="275">
        <v>0.68171000000000004</v>
      </c>
      <c r="V841" s="275">
        <v>0.75548999999999999</v>
      </c>
      <c r="W841" s="275">
        <v>0.84121000000000001</v>
      </c>
      <c r="X841" s="275">
        <v>0.86756</v>
      </c>
      <c r="Y841" s="275">
        <v>1.40869</v>
      </c>
      <c r="Z841" s="275">
        <v>1.52658</v>
      </c>
      <c r="AA841" s="275">
        <v>1.6992799999999999</v>
      </c>
    </row>
    <row r="842" spans="1:27">
      <c r="A842" s="280"/>
      <c r="B842" s="274"/>
      <c r="C842" s="278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</row>
    <row r="843" spans="1:27">
      <c r="A843" s="280">
        <v>285</v>
      </c>
      <c r="B843" s="274">
        <v>93</v>
      </c>
      <c r="C843" s="278" t="s">
        <v>208</v>
      </c>
      <c r="D843" s="275" t="s">
        <v>434</v>
      </c>
      <c r="E843" s="275" t="s">
        <v>435</v>
      </c>
      <c r="F843" s="275" t="s">
        <v>436</v>
      </c>
      <c r="G843" s="275" t="s">
        <v>437</v>
      </c>
      <c r="H843" s="275" t="s">
        <v>438</v>
      </c>
      <c r="I843" s="275" t="s">
        <v>439</v>
      </c>
      <c r="J843" s="275" t="s">
        <v>440</v>
      </c>
      <c r="K843" s="275" t="s">
        <v>441</v>
      </c>
      <c r="L843" s="275" t="s">
        <v>442</v>
      </c>
      <c r="M843" s="275" t="s">
        <v>443</v>
      </c>
      <c r="N843" s="275" t="s">
        <v>444</v>
      </c>
      <c r="O843" s="275" t="s">
        <v>445</v>
      </c>
      <c r="P843" s="275" t="s">
        <v>446</v>
      </c>
      <c r="Q843" s="275" t="s">
        <v>447</v>
      </c>
      <c r="R843" s="275" t="s">
        <v>451</v>
      </c>
      <c r="S843" s="275" t="s">
        <v>452</v>
      </c>
      <c r="T843" s="275" t="s">
        <v>448</v>
      </c>
      <c r="U843" s="275" t="s">
        <v>449</v>
      </c>
      <c r="V843" s="275" t="s">
        <v>450</v>
      </c>
      <c r="W843" s="275" t="s">
        <v>453</v>
      </c>
      <c r="X843" s="275" t="s">
        <v>454</v>
      </c>
      <c r="Y843" s="275" t="s">
        <v>455</v>
      </c>
      <c r="Z843" s="275" t="s">
        <v>456</v>
      </c>
      <c r="AA843" s="275" t="s">
        <v>457</v>
      </c>
    </row>
    <row r="844" spans="1:27">
      <c r="A844" s="280"/>
      <c r="B844" s="274"/>
      <c r="C844" s="278"/>
      <c r="D844" s="275">
        <v>1.346E-2</v>
      </c>
      <c r="E844" s="275">
        <v>5.5590000000000001E-2</v>
      </c>
      <c r="F844" s="275">
        <v>4.5019999999999998E-2</v>
      </c>
      <c r="G844" s="275">
        <v>5.5359999999999999E-2</v>
      </c>
      <c r="H844" s="275">
        <v>0.14466999999999999</v>
      </c>
      <c r="I844" s="275">
        <v>0.13596</v>
      </c>
      <c r="J844" s="275">
        <v>0.15445999999999999</v>
      </c>
      <c r="K844" s="275">
        <v>0.13333999999999999</v>
      </c>
      <c r="L844" s="275">
        <v>0.13880000000000001</v>
      </c>
      <c r="M844" s="275">
        <v>0.31422</v>
      </c>
      <c r="N844" s="275">
        <v>0.31257000000000001</v>
      </c>
      <c r="O844" s="275">
        <v>0.34784999999999999</v>
      </c>
      <c r="P844" s="275">
        <v>0.34444999999999998</v>
      </c>
      <c r="Q844" s="275">
        <v>0.35515999999999998</v>
      </c>
      <c r="R844" s="275">
        <v>0.34405000000000002</v>
      </c>
      <c r="S844" s="275">
        <v>0.34932999999999997</v>
      </c>
      <c r="T844" s="275">
        <v>0.65529999999999999</v>
      </c>
      <c r="U844" s="275">
        <v>0.68035999999999996</v>
      </c>
      <c r="V844" s="275">
        <v>0.75331000000000004</v>
      </c>
      <c r="W844" s="275">
        <v>0.83635999999999999</v>
      </c>
      <c r="X844" s="275">
        <v>0.86199999999999999</v>
      </c>
      <c r="Y844" s="275">
        <v>1.3837699999999999</v>
      </c>
      <c r="Z844" s="275">
        <v>1.49102</v>
      </c>
      <c r="AA844" s="275">
        <v>1.65008</v>
      </c>
    </row>
    <row r="845" spans="1:27">
      <c r="A845" s="280"/>
      <c r="B845" s="274"/>
      <c r="C845" s="278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</row>
    <row r="846" spans="1:27">
      <c r="A846" s="280">
        <v>286</v>
      </c>
      <c r="B846" s="274">
        <v>93</v>
      </c>
      <c r="C846" s="278" t="s">
        <v>209</v>
      </c>
      <c r="D846" s="275" t="s">
        <v>434</v>
      </c>
      <c r="E846" s="275" t="s">
        <v>435</v>
      </c>
      <c r="F846" s="275" t="s">
        <v>436</v>
      </c>
      <c r="G846" s="275" t="s">
        <v>437</v>
      </c>
      <c r="H846" s="275" t="s">
        <v>438</v>
      </c>
      <c r="I846" s="275" t="s">
        <v>439</v>
      </c>
      <c r="J846" s="275" t="s">
        <v>440</v>
      </c>
      <c r="K846" s="275" t="s">
        <v>441</v>
      </c>
      <c r="L846" s="275" t="s">
        <v>442</v>
      </c>
      <c r="M846" s="275" t="s">
        <v>443</v>
      </c>
      <c r="N846" s="275" t="s">
        <v>444</v>
      </c>
      <c r="O846" s="275" t="s">
        <v>445</v>
      </c>
      <c r="P846" s="275" t="s">
        <v>446</v>
      </c>
      <c r="Q846" s="275" t="s">
        <v>447</v>
      </c>
      <c r="R846" s="275" t="s">
        <v>448</v>
      </c>
      <c r="S846" s="275" t="s">
        <v>449</v>
      </c>
      <c r="T846" s="275" t="s">
        <v>450</v>
      </c>
      <c r="U846" s="275"/>
      <c r="V846" s="275"/>
      <c r="W846" s="275"/>
      <c r="X846" s="275"/>
      <c r="Y846" s="275"/>
      <c r="Z846" s="275"/>
      <c r="AA846" s="275"/>
    </row>
    <row r="847" spans="1:27">
      <c r="A847" s="280"/>
      <c r="B847" s="274"/>
      <c r="C847" s="278"/>
      <c r="D847" s="275">
        <v>1.346E-2</v>
      </c>
      <c r="E847" s="275">
        <v>5.5599999999999997E-2</v>
      </c>
      <c r="F847" s="275">
        <v>4.5019999999999998E-2</v>
      </c>
      <c r="G847" s="275">
        <v>5.5359999999999999E-2</v>
      </c>
      <c r="H847" s="275">
        <v>0.14466999999999999</v>
      </c>
      <c r="I847" s="275">
        <v>0.13596</v>
      </c>
      <c r="J847" s="275">
        <v>0.15445</v>
      </c>
      <c r="K847" s="275">
        <v>0.13333999999999999</v>
      </c>
      <c r="L847" s="275">
        <v>0.13880000000000001</v>
      </c>
      <c r="M847" s="275">
        <v>0.31418000000000001</v>
      </c>
      <c r="N847" s="275">
        <v>0.31252999999999997</v>
      </c>
      <c r="O847" s="275">
        <v>0.3478</v>
      </c>
      <c r="P847" s="275">
        <v>0.34438000000000002</v>
      </c>
      <c r="Q847" s="275">
        <v>0.35508000000000001</v>
      </c>
      <c r="R847" s="275">
        <v>0.65417000000000003</v>
      </c>
      <c r="S847" s="275">
        <v>0.67879999999999996</v>
      </c>
      <c r="T847" s="275">
        <v>0.75083999999999995</v>
      </c>
      <c r="U847" s="275"/>
      <c r="V847" s="275"/>
      <c r="W847" s="275"/>
      <c r="X847" s="275"/>
      <c r="Y847" s="275"/>
      <c r="Z847" s="275"/>
      <c r="AA847" s="275"/>
    </row>
    <row r="848" spans="1:27">
      <c r="A848" s="280"/>
      <c r="B848" s="274"/>
      <c r="C848" s="278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</row>
    <row r="849" spans="1:27">
      <c r="A849" s="280">
        <v>287</v>
      </c>
      <c r="B849" s="274">
        <v>94</v>
      </c>
      <c r="C849" s="278" t="s">
        <v>403</v>
      </c>
      <c r="D849" s="275" t="s">
        <v>434</v>
      </c>
      <c r="E849" s="275" t="s">
        <v>435</v>
      </c>
      <c r="F849" s="275" t="s">
        <v>436</v>
      </c>
      <c r="G849" s="275" t="s">
        <v>437</v>
      </c>
      <c r="H849" s="275" t="s">
        <v>438</v>
      </c>
      <c r="I849" s="275" t="s">
        <v>439</v>
      </c>
      <c r="J849" s="275" t="s">
        <v>440</v>
      </c>
      <c r="K849" s="275" t="s">
        <v>441</v>
      </c>
      <c r="L849" s="275" t="s">
        <v>442</v>
      </c>
      <c r="M849" s="275" t="s">
        <v>443</v>
      </c>
      <c r="N849" s="275" t="s">
        <v>444</v>
      </c>
      <c r="O849" s="275" t="s">
        <v>445</v>
      </c>
      <c r="P849" s="275" t="s">
        <v>446</v>
      </c>
      <c r="Q849" s="275" t="s">
        <v>447</v>
      </c>
      <c r="R849" s="275" t="s">
        <v>451</v>
      </c>
      <c r="S849" s="275" t="s">
        <v>452</v>
      </c>
      <c r="T849" s="275" t="s">
        <v>448</v>
      </c>
      <c r="U849" s="275" t="s">
        <v>449</v>
      </c>
      <c r="V849" s="275" t="s">
        <v>450</v>
      </c>
      <c r="W849" s="275" t="s">
        <v>453</v>
      </c>
      <c r="X849" s="275" t="s">
        <v>454</v>
      </c>
      <c r="Y849" s="275" t="s">
        <v>455</v>
      </c>
      <c r="Z849" s="275" t="s">
        <v>456</v>
      </c>
      <c r="AA849" s="275" t="s">
        <v>457</v>
      </c>
    </row>
    <row r="850" spans="1:27">
      <c r="A850" s="280"/>
      <c r="B850" s="274"/>
      <c r="C850" s="278"/>
      <c r="D850" s="275">
        <v>1.324E-2</v>
      </c>
      <c r="E850" s="275">
        <v>5.4679999999999999E-2</v>
      </c>
      <c r="F850" s="275">
        <v>4.4209999999999999E-2</v>
      </c>
      <c r="G850" s="275">
        <v>5.4690000000000003E-2</v>
      </c>
      <c r="H850" s="275">
        <v>0.14235999999999999</v>
      </c>
      <c r="I850" s="275">
        <v>0.13369</v>
      </c>
      <c r="J850" s="275">
        <v>0.15242</v>
      </c>
      <c r="K850" s="275">
        <v>0.13149</v>
      </c>
      <c r="L850" s="275">
        <v>0.13700999999999999</v>
      </c>
      <c r="M850" s="275">
        <v>0.30889</v>
      </c>
      <c r="N850" s="275">
        <v>0.30703999999999998</v>
      </c>
      <c r="O850" s="275">
        <v>0.34261000000000003</v>
      </c>
      <c r="P850" s="275">
        <v>0.33876000000000001</v>
      </c>
      <c r="Q850" s="275">
        <v>0.34949999999999998</v>
      </c>
      <c r="R850" s="275">
        <v>0.33727000000000001</v>
      </c>
      <c r="S850" s="275">
        <v>0.34254000000000001</v>
      </c>
      <c r="T850" s="275">
        <v>0.64395000000000002</v>
      </c>
      <c r="U850" s="275">
        <v>0.66849000000000003</v>
      </c>
      <c r="V850" s="275">
        <v>0.74377000000000004</v>
      </c>
      <c r="W850" s="275">
        <v>0.82928999999999997</v>
      </c>
      <c r="X850" s="275">
        <v>0.85675999999999997</v>
      </c>
      <c r="Y850" s="275">
        <v>1.4251799999999999</v>
      </c>
      <c r="Z850" s="275">
        <v>1.56453</v>
      </c>
      <c r="AA850" s="275">
        <v>1.77738</v>
      </c>
    </row>
    <row r="851" spans="1:27">
      <c r="A851" s="280"/>
      <c r="B851" s="274"/>
      <c r="C851" s="278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</row>
    <row r="852" spans="1:27">
      <c r="A852" s="280">
        <v>288</v>
      </c>
      <c r="B852" s="274">
        <v>94</v>
      </c>
      <c r="C852" s="278" t="s">
        <v>210</v>
      </c>
      <c r="D852" s="275" t="s">
        <v>434</v>
      </c>
      <c r="E852" s="275" t="s">
        <v>435</v>
      </c>
      <c r="F852" s="275" t="s">
        <v>436</v>
      </c>
      <c r="G852" s="275" t="s">
        <v>437</v>
      </c>
      <c r="H852" s="275" t="s">
        <v>438</v>
      </c>
      <c r="I852" s="275" t="s">
        <v>439</v>
      </c>
      <c r="J852" s="275" t="s">
        <v>440</v>
      </c>
      <c r="K852" s="275" t="s">
        <v>441</v>
      </c>
      <c r="L852" s="275" t="s">
        <v>442</v>
      </c>
      <c r="M852" s="275" t="s">
        <v>443</v>
      </c>
      <c r="N852" s="275" t="s">
        <v>444</v>
      </c>
      <c r="O852" s="275" t="s">
        <v>445</v>
      </c>
      <c r="P852" s="275" t="s">
        <v>446</v>
      </c>
      <c r="Q852" s="275" t="s">
        <v>447</v>
      </c>
      <c r="R852" s="275" t="s">
        <v>451</v>
      </c>
      <c r="S852" s="275" t="s">
        <v>452</v>
      </c>
      <c r="T852" s="275" t="s">
        <v>448</v>
      </c>
      <c r="U852" s="275" t="s">
        <v>449</v>
      </c>
      <c r="V852" s="275" t="s">
        <v>450</v>
      </c>
      <c r="W852" s="275" t="s">
        <v>453</v>
      </c>
      <c r="X852" s="275" t="s">
        <v>454</v>
      </c>
      <c r="Y852" s="275" t="s">
        <v>455</v>
      </c>
      <c r="Z852" s="275" t="s">
        <v>456</v>
      </c>
      <c r="AA852" s="275" t="s">
        <v>457</v>
      </c>
    </row>
    <row r="853" spans="1:27">
      <c r="A853" s="280"/>
      <c r="B853" s="274"/>
      <c r="C853" s="278"/>
      <c r="D853" s="275">
        <v>1.324E-2</v>
      </c>
      <c r="E853" s="275">
        <v>5.4679999999999999E-2</v>
      </c>
      <c r="F853" s="275">
        <v>4.4209999999999999E-2</v>
      </c>
      <c r="G853" s="275">
        <v>5.4690000000000003E-2</v>
      </c>
      <c r="H853" s="275">
        <v>0.14235999999999999</v>
      </c>
      <c r="I853" s="275">
        <v>0.13369</v>
      </c>
      <c r="J853" s="275">
        <v>0.15242</v>
      </c>
      <c r="K853" s="275">
        <v>0.13149</v>
      </c>
      <c r="L853" s="275">
        <v>0.13700999999999999</v>
      </c>
      <c r="M853" s="275">
        <v>0.30887999999999999</v>
      </c>
      <c r="N853" s="275">
        <v>0.30702000000000002</v>
      </c>
      <c r="O853" s="275">
        <v>0.34260000000000002</v>
      </c>
      <c r="P853" s="275">
        <v>0.33873999999999999</v>
      </c>
      <c r="Q853" s="275">
        <v>0.34948000000000001</v>
      </c>
      <c r="R853" s="275">
        <v>0.33724999999999999</v>
      </c>
      <c r="S853" s="275">
        <v>0.34251999999999999</v>
      </c>
      <c r="T853" s="275">
        <v>0.64337</v>
      </c>
      <c r="U853" s="275">
        <v>0.66769000000000001</v>
      </c>
      <c r="V853" s="275">
        <v>0.74239999999999995</v>
      </c>
      <c r="W853" s="275">
        <v>0.82596000000000003</v>
      </c>
      <c r="X853" s="275">
        <v>0.85287000000000002</v>
      </c>
      <c r="Y853" s="275">
        <v>1.40215</v>
      </c>
      <c r="Z853" s="275">
        <v>1.5283100000000001</v>
      </c>
      <c r="AA853" s="275">
        <v>1.72102</v>
      </c>
    </row>
    <row r="854" spans="1:27">
      <c r="A854" s="280"/>
      <c r="B854" s="274"/>
      <c r="C854" s="278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</row>
    <row r="855" spans="1:27">
      <c r="A855" s="280">
        <v>289</v>
      </c>
      <c r="B855" s="274">
        <v>94</v>
      </c>
      <c r="C855" s="278" t="s">
        <v>211</v>
      </c>
      <c r="D855" s="275" t="s">
        <v>434</v>
      </c>
      <c r="E855" s="275" t="s">
        <v>435</v>
      </c>
      <c r="F855" s="275" t="s">
        <v>436</v>
      </c>
      <c r="G855" s="275" t="s">
        <v>437</v>
      </c>
      <c r="H855" s="275" t="s">
        <v>438</v>
      </c>
      <c r="I855" s="275" t="s">
        <v>439</v>
      </c>
      <c r="J855" s="275" t="s">
        <v>440</v>
      </c>
      <c r="K855" s="275" t="s">
        <v>441</v>
      </c>
      <c r="L855" s="275" t="s">
        <v>442</v>
      </c>
      <c r="M855" s="275" t="s">
        <v>443</v>
      </c>
      <c r="N855" s="275" t="s">
        <v>444</v>
      </c>
      <c r="O855" s="275" t="s">
        <v>445</v>
      </c>
      <c r="P855" s="275" t="s">
        <v>446</v>
      </c>
      <c r="Q855" s="275" t="s">
        <v>447</v>
      </c>
      <c r="R855" s="275" t="s">
        <v>451</v>
      </c>
      <c r="S855" s="275" t="s">
        <v>452</v>
      </c>
      <c r="T855" s="275" t="s">
        <v>448</v>
      </c>
      <c r="U855" s="275" t="s">
        <v>449</v>
      </c>
      <c r="V855" s="275" t="s">
        <v>450</v>
      </c>
      <c r="W855" s="275" t="s">
        <v>453</v>
      </c>
      <c r="X855" s="275" t="s">
        <v>454</v>
      </c>
      <c r="Y855" s="275" t="s">
        <v>455</v>
      </c>
      <c r="Z855" s="275" t="s">
        <v>456</v>
      </c>
      <c r="AA855" s="275" t="s">
        <v>457</v>
      </c>
    </row>
    <row r="856" spans="1:27">
      <c r="A856" s="280"/>
      <c r="B856" s="274"/>
      <c r="C856" s="278"/>
      <c r="D856" s="275">
        <v>1.324E-2</v>
      </c>
      <c r="E856" s="275">
        <v>5.4679999999999999E-2</v>
      </c>
      <c r="F856" s="275">
        <v>4.4209999999999999E-2</v>
      </c>
      <c r="G856" s="275">
        <v>5.4690000000000003E-2</v>
      </c>
      <c r="H856" s="275">
        <v>0.14235999999999999</v>
      </c>
      <c r="I856" s="275">
        <v>0.13369</v>
      </c>
      <c r="J856" s="275">
        <v>0.15242</v>
      </c>
      <c r="K856" s="275">
        <v>0.13149</v>
      </c>
      <c r="L856" s="275">
        <v>0.13700999999999999</v>
      </c>
      <c r="M856" s="275">
        <v>0.30886000000000002</v>
      </c>
      <c r="N856" s="275">
        <v>0.307</v>
      </c>
      <c r="O856" s="275">
        <v>0.34256999999999999</v>
      </c>
      <c r="P856" s="275">
        <v>0.33871000000000001</v>
      </c>
      <c r="Q856" s="275">
        <v>0.34943999999999997</v>
      </c>
      <c r="R856" s="275">
        <v>0.33722000000000002</v>
      </c>
      <c r="S856" s="275">
        <v>0.34248000000000001</v>
      </c>
      <c r="T856" s="275">
        <v>0.64263000000000003</v>
      </c>
      <c r="U856" s="275">
        <v>0.66664999999999996</v>
      </c>
      <c r="V856" s="275">
        <v>0.74067000000000005</v>
      </c>
      <c r="W856" s="275">
        <v>0.82199</v>
      </c>
      <c r="X856" s="275">
        <v>0.84826000000000001</v>
      </c>
      <c r="Y856" s="275">
        <v>1.3784000000000001</v>
      </c>
      <c r="Z856" s="275">
        <v>1.4928900000000001</v>
      </c>
      <c r="AA856" s="275">
        <v>1.6690100000000001</v>
      </c>
    </row>
    <row r="857" spans="1:27">
      <c r="A857" s="280"/>
      <c r="B857" s="274"/>
      <c r="C857" s="278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</row>
    <row r="858" spans="1:27">
      <c r="A858" s="280">
        <v>290</v>
      </c>
      <c r="B858" s="274">
        <v>94</v>
      </c>
      <c r="C858" s="278" t="s">
        <v>212</v>
      </c>
      <c r="D858" s="275" t="s">
        <v>434</v>
      </c>
      <c r="E858" s="275" t="s">
        <v>435</v>
      </c>
      <c r="F858" s="275" t="s">
        <v>436</v>
      </c>
      <c r="G858" s="275" t="s">
        <v>437</v>
      </c>
      <c r="H858" s="275" t="s">
        <v>438</v>
      </c>
      <c r="I858" s="275" t="s">
        <v>439</v>
      </c>
      <c r="J858" s="275" t="s">
        <v>440</v>
      </c>
      <c r="K858" s="275" t="s">
        <v>441</v>
      </c>
      <c r="L858" s="275" t="s">
        <v>442</v>
      </c>
      <c r="M858" s="275" t="s">
        <v>443</v>
      </c>
      <c r="N858" s="275" t="s">
        <v>444</v>
      </c>
      <c r="O858" s="275" t="s">
        <v>445</v>
      </c>
      <c r="P858" s="275" t="s">
        <v>446</v>
      </c>
      <c r="Q858" s="275" t="s">
        <v>447</v>
      </c>
      <c r="R858" s="275" t="s">
        <v>451</v>
      </c>
      <c r="S858" s="275" t="s">
        <v>452</v>
      </c>
      <c r="T858" s="275" t="s">
        <v>448</v>
      </c>
      <c r="U858" s="275" t="s">
        <v>449</v>
      </c>
      <c r="V858" s="275" t="s">
        <v>450</v>
      </c>
      <c r="W858" s="275" t="s">
        <v>453</v>
      </c>
      <c r="X858" s="275" t="s">
        <v>454</v>
      </c>
      <c r="Y858" s="275" t="s">
        <v>455</v>
      </c>
      <c r="Z858" s="275" t="s">
        <v>456</v>
      </c>
      <c r="AA858" s="275" t="s">
        <v>457</v>
      </c>
    </row>
    <row r="859" spans="1:27">
      <c r="A859" s="280"/>
      <c r="B859" s="274"/>
      <c r="C859" s="278"/>
      <c r="D859" s="275">
        <v>1.324E-2</v>
      </c>
      <c r="E859" s="275">
        <v>5.4679999999999999E-2</v>
      </c>
      <c r="F859" s="275">
        <v>4.4209999999999999E-2</v>
      </c>
      <c r="G859" s="275">
        <v>5.4690000000000003E-2</v>
      </c>
      <c r="H859" s="275">
        <v>0.14235999999999999</v>
      </c>
      <c r="I859" s="275">
        <v>0.13369</v>
      </c>
      <c r="J859" s="275">
        <v>0.15242</v>
      </c>
      <c r="K859" s="275">
        <v>0.13149</v>
      </c>
      <c r="L859" s="275">
        <v>0.13700999999999999</v>
      </c>
      <c r="M859" s="275">
        <v>0.30882999999999999</v>
      </c>
      <c r="N859" s="275">
        <v>0.30697000000000002</v>
      </c>
      <c r="O859" s="275">
        <v>0.34253</v>
      </c>
      <c r="P859" s="275">
        <v>0.33866000000000002</v>
      </c>
      <c r="Q859" s="275">
        <v>0.34938000000000002</v>
      </c>
      <c r="R859" s="275">
        <v>0.33716000000000002</v>
      </c>
      <c r="S859" s="275">
        <v>0.34240999999999999</v>
      </c>
      <c r="T859" s="275">
        <v>0.64173000000000002</v>
      </c>
      <c r="U859" s="275">
        <v>0.66540999999999995</v>
      </c>
      <c r="V859" s="275">
        <v>0.73863999999999996</v>
      </c>
      <c r="W859" s="275">
        <v>0.81749000000000005</v>
      </c>
      <c r="X859" s="275">
        <v>0.84309000000000001</v>
      </c>
      <c r="Y859" s="275">
        <v>1.3547499999999999</v>
      </c>
      <c r="Z859" s="275">
        <v>1.45906</v>
      </c>
      <c r="AA859" s="275">
        <v>1.6213900000000001</v>
      </c>
    </row>
    <row r="860" spans="1:27">
      <c r="A860" s="280"/>
      <c r="B860" s="274"/>
      <c r="C860" s="278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</row>
    <row r="861" spans="1:27">
      <c r="A861" s="280">
        <v>291</v>
      </c>
      <c r="B861" s="274">
        <v>94</v>
      </c>
      <c r="C861" s="278" t="s">
        <v>213</v>
      </c>
      <c r="D861" s="275" t="s">
        <v>434</v>
      </c>
      <c r="E861" s="275" t="s">
        <v>435</v>
      </c>
      <c r="F861" s="275" t="s">
        <v>436</v>
      </c>
      <c r="G861" s="275" t="s">
        <v>437</v>
      </c>
      <c r="H861" s="275" t="s">
        <v>438</v>
      </c>
      <c r="I861" s="275" t="s">
        <v>439</v>
      </c>
      <c r="J861" s="275" t="s">
        <v>440</v>
      </c>
      <c r="K861" s="275" t="s">
        <v>441</v>
      </c>
      <c r="L861" s="275" t="s">
        <v>442</v>
      </c>
      <c r="M861" s="275" t="s">
        <v>443</v>
      </c>
      <c r="N861" s="275" t="s">
        <v>444</v>
      </c>
      <c r="O861" s="275" t="s">
        <v>445</v>
      </c>
      <c r="P861" s="275" t="s">
        <v>446</v>
      </c>
      <c r="Q861" s="275" t="s">
        <v>447</v>
      </c>
      <c r="R861" s="275" t="s">
        <v>451</v>
      </c>
      <c r="S861" s="275" t="s">
        <v>452</v>
      </c>
      <c r="T861" s="275" t="s">
        <v>448</v>
      </c>
      <c r="U861" s="275" t="s">
        <v>449</v>
      </c>
      <c r="V861" s="275" t="s">
        <v>450</v>
      </c>
      <c r="W861" s="275" t="s">
        <v>453</v>
      </c>
      <c r="X861" s="275" t="s">
        <v>454</v>
      </c>
      <c r="Y861" s="275" t="s">
        <v>455</v>
      </c>
      <c r="Z861" s="275" t="s">
        <v>456</v>
      </c>
      <c r="AA861" s="275" t="s">
        <v>457</v>
      </c>
    </row>
    <row r="862" spans="1:27">
      <c r="A862" s="280"/>
      <c r="B862" s="274"/>
      <c r="C862" s="278"/>
      <c r="D862" s="275">
        <v>1.324E-2</v>
      </c>
      <c r="E862" s="275">
        <v>5.4679999999999999E-2</v>
      </c>
      <c r="F862" s="275">
        <v>4.4209999999999999E-2</v>
      </c>
      <c r="G862" s="275">
        <v>5.4690000000000003E-2</v>
      </c>
      <c r="H862" s="275">
        <v>0.14235999999999999</v>
      </c>
      <c r="I862" s="275">
        <v>0.13369</v>
      </c>
      <c r="J862" s="275">
        <v>0.15242</v>
      </c>
      <c r="K862" s="275">
        <v>0.13149</v>
      </c>
      <c r="L862" s="275">
        <v>0.13700999999999999</v>
      </c>
      <c r="M862" s="275">
        <v>0.30880000000000002</v>
      </c>
      <c r="N862" s="275">
        <v>0.30692999999999998</v>
      </c>
      <c r="O862" s="275">
        <v>0.34248000000000001</v>
      </c>
      <c r="P862" s="275">
        <v>0.33859</v>
      </c>
      <c r="Q862" s="275">
        <v>0.34931000000000001</v>
      </c>
      <c r="R862" s="275">
        <v>0.33706999999999998</v>
      </c>
      <c r="S862" s="275">
        <v>0.34232000000000001</v>
      </c>
      <c r="T862" s="275">
        <v>0.64066999999999996</v>
      </c>
      <c r="U862" s="275">
        <v>0.66396999999999995</v>
      </c>
      <c r="V862" s="275">
        <v>0.73633000000000004</v>
      </c>
      <c r="W862" s="275">
        <v>0.81259000000000003</v>
      </c>
      <c r="X862" s="275">
        <v>0.83748999999999996</v>
      </c>
      <c r="Y862" s="275">
        <v>1.3315999999999999</v>
      </c>
      <c r="Z862" s="275">
        <v>1.42706</v>
      </c>
      <c r="AA862" s="275">
        <v>1.57775</v>
      </c>
    </row>
    <row r="863" spans="1:27">
      <c r="A863" s="280"/>
      <c r="B863" s="274"/>
      <c r="C863" s="278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</row>
    <row r="864" spans="1:27">
      <c r="A864" s="280">
        <v>292</v>
      </c>
      <c r="B864" s="274">
        <v>95</v>
      </c>
      <c r="C864" s="278" t="s">
        <v>404</v>
      </c>
      <c r="D864" s="275" t="s">
        <v>434</v>
      </c>
      <c r="E864" s="275" t="s">
        <v>435</v>
      </c>
      <c r="F864" s="275" t="s">
        <v>436</v>
      </c>
      <c r="G864" s="275" t="s">
        <v>437</v>
      </c>
      <c r="H864" s="275" t="s">
        <v>438</v>
      </c>
      <c r="I864" s="275" t="s">
        <v>439</v>
      </c>
      <c r="J864" s="275" t="s">
        <v>440</v>
      </c>
      <c r="K864" s="275" t="s">
        <v>441</v>
      </c>
      <c r="L864" s="275" t="s">
        <v>442</v>
      </c>
      <c r="M864" s="275" t="s">
        <v>443</v>
      </c>
      <c r="N864" s="275" t="s">
        <v>444</v>
      </c>
      <c r="O864" s="275" t="s">
        <v>445</v>
      </c>
      <c r="P864" s="275" t="s">
        <v>446</v>
      </c>
      <c r="Q864" s="275" t="s">
        <v>447</v>
      </c>
      <c r="R864" s="275" t="s">
        <v>451</v>
      </c>
      <c r="S864" s="275" t="s">
        <v>452</v>
      </c>
      <c r="T864" s="275" t="s">
        <v>448</v>
      </c>
      <c r="U864" s="275" t="s">
        <v>449</v>
      </c>
      <c r="V864" s="275" t="s">
        <v>450</v>
      </c>
      <c r="W864" s="275" t="s">
        <v>453</v>
      </c>
      <c r="X864" s="275" t="s">
        <v>454</v>
      </c>
      <c r="Y864" s="275" t="s">
        <v>455</v>
      </c>
      <c r="Z864" s="275" t="s">
        <v>456</v>
      </c>
      <c r="AA864" s="275" t="s">
        <v>457</v>
      </c>
    </row>
    <row r="865" spans="1:27">
      <c r="A865" s="280"/>
      <c r="B865" s="274"/>
      <c r="C865" s="278"/>
      <c r="D865" s="275">
        <v>1.303E-2</v>
      </c>
      <c r="E865" s="275">
        <v>5.3769999999999998E-2</v>
      </c>
      <c r="F865" s="275">
        <v>4.3409999999999997E-2</v>
      </c>
      <c r="G865" s="275">
        <v>5.4030000000000002E-2</v>
      </c>
      <c r="H865" s="275">
        <v>0.14008000000000001</v>
      </c>
      <c r="I865" s="275">
        <v>0.13145999999999999</v>
      </c>
      <c r="J865" s="275">
        <v>0.15043000000000001</v>
      </c>
      <c r="K865" s="275">
        <v>0.12969</v>
      </c>
      <c r="L865" s="275">
        <v>0.13525999999999999</v>
      </c>
      <c r="M865" s="275">
        <v>0.30363000000000001</v>
      </c>
      <c r="N865" s="275">
        <v>0.30158000000000001</v>
      </c>
      <c r="O865" s="275">
        <v>0.33745000000000003</v>
      </c>
      <c r="P865" s="275">
        <v>0.33315</v>
      </c>
      <c r="Q865" s="275">
        <v>0.34390999999999999</v>
      </c>
      <c r="R865" s="275">
        <v>0.33067000000000002</v>
      </c>
      <c r="S865" s="275">
        <v>0.33592</v>
      </c>
      <c r="T865" s="275">
        <v>0.63110999999999995</v>
      </c>
      <c r="U865" s="275">
        <v>0.65447</v>
      </c>
      <c r="V865" s="275">
        <v>0.73043000000000002</v>
      </c>
      <c r="W865" s="275">
        <v>0.81301999999999996</v>
      </c>
      <c r="X865" s="275">
        <v>0.84082999999999997</v>
      </c>
      <c r="Y865" s="275">
        <v>1.41418</v>
      </c>
      <c r="Z865" s="275">
        <v>1.56304</v>
      </c>
      <c r="AA865" s="275">
        <v>1.8046599999999999</v>
      </c>
    </row>
    <row r="866" spans="1:27">
      <c r="A866" s="280"/>
      <c r="B866" s="274"/>
      <c r="C866" s="278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</row>
    <row r="867" spans="1:27">
      <c r="A867" s="280">
        <v>293</v>
      </c>
      <c r="B867" s="274">
        <v>95</v>
      </c>
      <c r="C867" s="278" t="s">
        <v>214</v>
      </c>
      <c r="D867" s="275" t="s">
        <v>434</v>
      </c>
      <c r="E867" s="275" t="s">
        <v>435</v>
      </c>
      <c r="F867" s="275" t="s">
        <v>436</v>
      </c>
      <c r="G867" s="275" t="s">
        <v>437</v>
      </c>
      <c r="H867" s="275" t="s">
        <v>438</v>
      </c>
      <c r="I867" s="275" t="s">
        <v>439</v>
      </c>
      <c r="J867" s="275" t="s">
        <v>440</v>
      </c>
      <c r="K867" s="275" t="s">
        <v>441</v>
      </c>
      <c r="L867" s="275" t="s">
        <v>442</v>
      </c>
      <c r="M867" s="275" t="s">
        <v>443</v>
      </c>
      <c r="N867" s="275" t="s">
        <v>444</v>
      </c>
      <c r="O867" s="275" t="s">
        <v>445</v>
      </c>
      <c r="P867" s="275" t="s">
        <v>446</v>
      </c>
      <c r="Q867" s="275" t="s">
        <v>447</v>
      </c>
      <c r="R867" s="275" t="s">
        <v>451</v>
      </c>
      <c r="S867" s="275" t="s">
        <v>452</v>
      </c>
      <c r="T867" s="275" t="s">
        <v>448</v>
      </c>
      <c r="U867" s="275" t="s">
        <v>449</v>
      </c>
      <c r="V867" s="275" t="s">
        <v>450</v>
      </c>
      <c r="W867" s="275" t="s">
        <v>453</v>
      </c>
      <c r="X867" s="275" t="s">
        <v>454</v>
      </c>
      <c r="Y867" s="275" t="s">
        <v>455</v>
      </c>
      <c r="Z867" s="275" t="s">
        <v>456</v>
      </c>
      <c r="AA867" s="275" t="s">
        <v>457</v>
      </c>
    </row>
    <row r="868" spans="1:27">
      <c r="A868" s="280"/>
      <c r="B868" s="274"/>
      <c r="C868" s="278"/>
      <c r="D868" s="275">
        <v>1.303E-2</v>
      </c>
      <c r="E868" s="275">
        <v>5.3769999999999998E-2</v>
      </c>
      <c r="F868" s="275">
        <v>4.3409999999999997E-2</v>
      </c>
      <c r="G868" s="275">
        <v>5.4030000000000002E-2</v>
      </c>
      <c r="H868" s="275">
        <v>0.14008000000000001</v>
      </c>
      <c r="I868" s="275">
        <v>0.13145999999999999</v>
      </c>
      <c r="J868" s="275">
        <v>0.15043000000000001</v>
      </c>
      <c r="K868" s="275">
        <v>0.12969</v>
      </c>
      <c r="L868" s="275">
        <v>0.13525999999999999</v>
      </c>
      <c r="M868" s="275">
        <v>0.30363000000000001</v>
      </c>
      <c r="N868" s="275">
        <v>0.30157</v>
      </c>
      <c r="O868" s="275">
        <v>0.33744000000000002</v>
      </c>
      <c r="P868" s="275">
        <v>0.33313999999999999</v>
      </c>
      <c r="Q868" s="275">
        <v>0.34389999999999998</v>
      </c>
      <c r="R868" s="275">
        <v>0.33067000000000002</v>
      </c>
      <c r="S868" s="275">
        <v>0.33592</v>
      </c>
      <c r="T868" s="275">
        <v>0.63073999999999997</v>
      </c>
      <c r="U868" s="275">
        <v>0.65393999999999997</v>
      </c>
      <c r="V868" s="275">
        <v>0.72948999999999997</v>
      </c>
      <c r="W868" s="275">
        <v>0.81066000000000005</v>
      </c>
      <c r="X868" s="275">
        <v>0.83804000000000001</v>
      </c>
      <c r="Y868" s="275">
        <v>1.39425</v>
      </c>
      <c r="Z868" s="275">
        <v>1.5294399999999999</v>
      </c>
      <c r="AA868" s="275">
        <v>1.7464</v>
      </c>
    </row>
    <row r="869" spans="1:27">
      <c r="A869" s="280"/>
      <c r="B869" s="274"/>
      <c r="C869" s="278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</row>
    <row r="870" spans="1:27">
      <c r="A870" s="280">
        <v>294</v>
      </c>
      <c r="B870" s="274">
        <v>95</v>
      </c>
      <c r="C870" s="278" t="s">
        <v>215</v>
      </c>
      <c r="D870" s="275" t="s">
        <v>434</v>
      </c>
      <c r="E870" s="275" t="s">
        <v>435</v>
      </c>
      <c r="F870" s="275" t="s">
        <v>436</v>
      </c>
      <c r="G870" s="275" t="s">
        <v>437</v>
      </c>
      <c r="H870" s="275" t="s">
        <v>438</v>
      </c>
      <c r="I870" s="275" t="s">
        <v>439</v>
      </c>
      <c r="J870" s="275" t="s">
        <v>440</v>
      </c>
      <c r="K870" s="275" t="s">
        <v>441</v>
      </c>
      <c r="L870" s="275" t="s">
        <v>442</v>
      </c>
      <c r="M870" s="275" t="s">
        <v>443</v>
      </c>
      <c r="N870" s="275" t="s">
        <v>444</v>
      </c>
      <c r="O870" s="275" t="s">
        <v>445</v>
      </c>
      <c r="P870" s="275" t="s">
        <v>446</v>
      </c>
      <c r="Q870" s="275" t="s">
        <v>447</v>
      </c>
      <c r="R870" s="275" t="s">
        <v>451</v>
      </c>
      <c r="S870" s="275" t="s">
        <v>452</v>
      </c>
      <c r="T870" s="275" t="s">
        <v>448</v>
      </c>
      <c r="U870" s="275" t="s">
        <v>449</v>
      </c>
      <c r="V870" s="275" t="s">
        <v>450</v>
      </c>
      <c r="W870" s="275" t="s">
        <v>453</v>
      </c>
      <c r="X870" s="275" t="s">
        <v>454</v>
      </c>
      <c r="Y870" s="275" t="s">
        <v>455</v>
      </c>
      <c r="Z870" s="275" t="s">
        <v>456</v>
      </c>
      <c r="AA870" s="275" t="s">
        <v>457</v>
      </c>
    </row>
    <row r="871" spans="1:27">
      <c r="A871" s="280"/>
      <c r="B871" s="274"/>
      <c r="C871" s="278"/>
      <c r="D871" s="275">
        <v>1.303E-2</v>
      </c>
      <c r="E871" s="275">
        <v>5.3769999999999998E-2</v>
      </c>
      <c r="F871" s="275">
        <v>4.3409999999999997E-2</v>
      </c>
      <c r="G871" s="275">
        <v>5.4030000000000002E-2</v>
      </c>
      <c r="H871" s="275">
        <v>0.14008000000000001</v>
      </c>
      <c r="I871" s="275">
        <v>0.13145999999999999</v>
      </c>
      <c r="J871" s="275">
        <v>0.15043000000000001</v>
      </c>
      <c r="K871" s="275">
        <v>0.12969</v>
      </c>
      <c r="L871" s="275">
        <v>0.13525999999999999</v>
      </c>
      <c r="M871" s="275">
        <v>0.30360999999999999</v>
      </c>
      <c r="N871" s="275">
        <v>0.30155999999999999</v>
      </c>
      <c r="O871" s="275">
        <v>0.33742</v>
      </c>
      <c r="P871" s="275">
        <v>0.33312000000000003</v>
      </c>
      <c r="Q871" s="275">
        <v>0.34388000000000002</v>
      </c>
      <c r="R871" s="275">
        <v>0.33066000000000001</v>
      </c>
      <c r="S871" s="275">
        <v>0.33590999999999999</v>
      </c>
      <c r="T871" s="275">
        <v>0.63019999999999998</v>
      </c>
      <c r="U871" s="275">
        <v>0.65319000000000005</v>
      </c>
      <c r="V871" s="275">
        <v>0.72819</v>
      </c>
      <c r="W871" s="275">
        <v>0.80755999999999994</v>
      </c>
      <c r="X871" s="275">
        <v>0.83438999999999997</v>
      </c>
      <c r="Y871" s="275">
        <v>1.3722799999999999</v>
      </c>
      <c r="Z871" s="275">
        <v>1.49482</v>
      </c>
      <c r="AA871" s="275">
        <v>1.6913499999999999</v>
      </c>
    </row>
    <row r="872" spans="1:27">
      <c r="A872" s="280"/>
      <c r="B872" s="274"/>
      <c r="C872" s="278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</row>
    <row r="873" spans="1:27">
      <c r="A873" s="280">
        <v>295</v>
      </c>
      <c r="B873" s="274">
        <v>95</v>
      </c>
      <c r="C873" s="278" t="s">
        <v>216</v>
      </c>
      <c r="D873" s="275" t="s">
        <v>434</v>
      </c>
      <c r="E873" s="275" t="s">
        <v>435</v>
      </c>
      <c r="F873" s="275" t="s">
        <v>436</v>
      </c>
      <c r="G873" s="275" t="s">
        <v>437</v>
      </c>
      <c r="H873" s="275" t="s">
        <v>438</v>
      </c>
      <c r="I873" s="275" t="s">
        <v>439</v>
      </c>
      <c r="J873" s="275" t="s">
        <v>440</v>
      </c>
      <c r="K873" s="275" t="s">
        <v>441</v>
      </c>
      <c r="L873" s="275" t="s">
        <v>442</v>
      </c>
      <c r="M873" s="275" t="s">
        <v>443</v>
      </c>
      <c r="N873" s="275" t="s">
        <v>444</v>
      </c>
      <c r="O873" s="275" t="s">
        <v>445</v>
      </c>
      <c r="P873" s="275" t="s">
        <v>446</v>
      </c>
      <c r="Q873" s="275" t="s">
        <v>447</v>
      </c>
      <c r="R873" s="275" t="s">
        <v>451</v>
      </c>
      <c r="S873" s="275" t="s">
        <v>452</v>
      </c>
      <c r="T873" s="275" t="s">
        <v>448</v>
      </c>
      <c r="U873" s="275" t="s">
        <v>449</v>
      </c>
      <c r="V873" s="275" t="s">
        <v>450</v>
      </c>
      <c r="W873" s="275" t="s">
        <v>453</v>
      </c>
      <c r="X873" s="275" t="s">
        <v>454</v>
      </c>
      <c r="Y873" s="275" t="s">
        <v>455</v>
      </c>
      <c r="Z873" s="275" t="s">
        <v>456</v>
      </c>
      <c r="AA873" s="275" t="s">
        <v>457</v>
      </c>
    </row>
    <row r="874" spans="1:27">
      <c r="A874" s="280"/>
      <c r="B874" s="274"/>
      <c r="C874" s="278"/>
      <c r="D874" s="275">
        <v>1.303E-2</v>
      </c>
      <c r="E874" s="275">
        <v>5.3769999999999998E-2</v>
      </c>
      <c r="F874" s="275">
        <v>4.3409999999999997E-2</v>
      </c>
      <c r="G874" s="275">
        <v>5.4030000000000002E-2</v>
      </c>
      <c r="H874" s="275">
        <v>0.14008000000000001</v>
      </c>
      <c r="I874" s="275">
        <v>0.13145999999999999</v>
      </c>
      <c r="J874" s="275">
        <v>0.15043000000000001</v>
      </c>
      <c r="K874" s="275">
        <v>0.12969</v>
      </c>
      <c r="L874" s="275">
        <v>0.13525999999999999</v>
      </c>
      <c r="M874" s="275">
        <v>0.30359000000000003</v>
      </c>
      <c r="N874" s="275">
        <v>0.30153999999999997</v>
      </c>
      <c r="O874" s="275">
        <v>0.33739000000000002</v>
      </c>
      <c r="P874" s="275">
        <v>0.33309</v>
      </c>
      <c r="Q874" s="275">
        <v>0.34384999999999999</v>
      </c>
      <c r="R874" s="275">
        <v>0.33062999999999998</v>
      </c>
      <c r="S874" s="275">
        <v>0.33587</v>
      </c>
      <c r="T874" s="275">
        <v>0.62951000000000001</v>
      </c>
      <c r="U874" s="275">
        <v>0.65222999999999998</v>
      </c>
      <c r="V874" s="275">
        <v>0.72655999999999998</v>
      </c>
      <c r="W874" s="275">
        <v>0.80386000000000002</v>
      </c>
      <c r="X874" s="275">
        <v>0.83008000000000004</v>
      </c>
      <c r="Y874" s="275">
        <v>1.3496699999999999</v>
      </c>
      <c r="Z874" s="275">
        <v>1.4610300000000001</v>
      </c>
      <c r="AA874" s="275">
        <v>1.6407400000000001</v>
      </c>
    </row>
    <row r="875" spans="1:27">
      <c r="A875" s="280"/>
      <c r="B875" s="274"/>
      <c r="C875" s="278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</row>
    <row r="876" spans="1:27">
      <c r="A876" s="280">
        <v>296</v>
      </c>
      <c r="B876" s="274">
        <v>95</v>
      </c>
      <c r="C876" s="278" t="s">
        <v>217</v>
      </c>
      <c r="D876" s="275" t="s">
        <v>434</v>
      </c>
      <c r="E876" s="275" t="s">
        <v>435</v>
      </c>
      <c r="F876" s="275" t="s">
        <v>436</v>
      </c>
      <c r="G876" s="275" t="s">
        <v>437</v>
      </c>
      <c r="H876" s="275" t="s">
        <v>438</v>
      </c>
      <c r="I876" s="275" t="s">
        <v>439</v>
      </c>
      <c r="J876" s="275" t="s">
        <v>440</v>
      </c>
      <c r="K876" s="275" t="s">
        <v>441</v>
      </c>
      <c r="L876" s="275" t="s">
        <v>442</v>
      </c>
      <c r="M876" s="275" t="s">
        <v>443</v>
      </c>
      <c r="N876" s="275" t="s">
        <v>444</v>
      </c>
      <c r="O876" s="275" t="s">
        <v>445</v>
      </c>
      <c r="P876" s="275" t="s">
        <v>446</v>
      </c>
      <c r="Q876" s="275" t="s">
        <v>447</v>
      </c>
      <c r="R876" s="275" t="s">
        <v>451</v>
      </c>
      <c r="S876" s="275" t="s">
        <v>452</v>
      </c>
      <c r="T876" s="275" t="s">
        <v>448</v>
      </c>
      <c r="U876" s="275" t="s">
        <v>449</v>
      </c>
      <c r="V876" s="275" t="s">
        <v>450</v>
      </c>
      <c r="W876" s="275" t="s">
        <v>453</v>
      </c>
      <c r="X876" s="275" t="s">
        <v>454</v>
      </c>
      <c r="Y876" s="275" t="s">
        <v>455</v>
      </c>
      <c r="Z876" s="275" t="s">
        <v>456</v>
      </c>
      <c r="AA876" s="275" t="s">
        <v>457</v>
      </c>
    </row>
    <row r="877" spans="1:27">
      <c r="A877" s="280"/>
      <c r="B877" s="274"/>
      <c r="C877" s="278"/>
      <c r="D877" s="275">
        <v>1.303E-2</v>
      </c>
      <c r="E877" s="275">
        <v>5.3780000000000001E-2</v>
      </c>
      <c r="F877" s="275">
        <v>4.3409999999999997E-2</v>
      </c>
      <c r="G877" s="275">
        <v>5.4030000000000002E-2</v>
      </c>
      <c r="H877" s="275">
        <v>0.14008000000000001</v>
      </c>
      <c r="I877" s="275">
        <v>0.13145999999999999</v>
      </c>
      <c r="J877" s="275">
        <v>0.15043000000000001</v>
      </c>
      <c r="K877" s="275">
        <v>0.12969</v>
      </c>
      <c r="L877" s="275">
        <v>0.13525999999999999</v>
      </c>
      <c r="M877" s="275">
        <v>0.30357000000000001</v>
      </c>
      <c r="N877" s="275">
        <v>0.30151</v>
      </c>
      <c r="O877" s="275">
        <v>0.33735999999999999</v>
      </c>
      <c r="P877" s="275">
        <v>0.33305000000000001</v>
      </c>
      <c r="Q877" s="275">
        <v>0.34378999999999998</v>
      </c>
      <c r="R877" s="275">
        <v>0.33056999999999997</v>
      </c>
      <c r="S877" s="275">
        <v>0.33581</v>
      </c>
      <c r="T877" s="275">
        <v>0.62866999999999995</v>
      </c>
      <c r="U877" s="275">
        <v>0.65107000000000004</v>
      </c>
      <c r="V877" s="275">
        <v>0.72465000000000002</v>
      </c>
      <c r="W877" s="275">
        <v>0.79967999999999995</v>
      </c>
      <c r="X877" s="275">
        <v>0.82525000000000004</v>
      </c>
      <c r="Y877" s="275">
        <v>1.3271500000000001</v>
      </c>
      <c r="Z877" s="275">
        <v>1.4287399999999999</v>
      </c>
      <c r="AA877" s="275">
        <v>1.5944700000000001</v>
      </c>
    </row>
    <row r="878" spans="1:27">
      <c r="A878" s="280"/>
      <c r="B878" s="274"/>
      <c r="C878" s="278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</row>
    <row r="879" spans="1:27">
      <c r="A879" s="280">
        <v>297</v>
      </c>
      <c r="B879" s="274">
        <v>96</v>
      </c>
      <c r="C879" s="278" t="s">
        <v>405</v>
      </c>
      <c r="D879" s="275" t="s">
        <v>434</v>
      </c>
      <c r="E879" s="275" t="s">
        <v>435</v>
      </c>
      <c r="F879" s="275" t="s">
        <v>436</v>
      </c>
      <c r="G879" s="275" t="s">
        <v>437</v>
      </c>
      <c r="H879" s="275" t="s">
        <v>438</v>
      </c>
      <c r="I879" s="275" t="s">
        <v>439</v>
      </c>
      <c r="J879" s="275" t="s">
        <v>440</v>
      </c>
      <c r="K879" s="275" t="s">
        <v>441</v>
      </c>
      <c r="L879" s="275" t="s">
        <v>442</v>
      </c>
      <c r="M879" s="275" t="s">
        <v>443</v>
      </c>
      <c r="N879" s="275" t="s">
        <v>444</v>
      </c>
      <c r="O879" s="275" t="s">
        <v>445</v>
      </c>
      <c r="P879" s="275" t="s">
        <v>446</v>
      </c>
      <c r="Q879" s="275" t="s">
        <v>447</v>
      </c>
      <c r="R879" s="275" t="s">
        <v>451</v>
      </c>
      <c r="S879" s="275" t="s">
        <v>452</v>
      </c>
      <c r="T879" s="275" t="s">
        <v>448</v>
      </c>
      <c r="U879" s="275" t="s">
        <v>449</v>
      </c>
      <c r="V879" s="275" t="s">
        <v>450</v>
      </c>
      <c r="W879" s="275" t="s">
        <v>453</v>
      </c>
      <c r="X879" s="275" t="s">
        <v>454</v>
      </c>
      <c r="Y879" s="275" t="s">
        <v>455</v>
      </c>
      <c r="Z879" s="275" t="s">
        <v>456</v>
      </c>
      <c r="AA879" s="275" t="s">
        <v>457</v>
      </c>
    </row>
    <row r="880" spans="1:27">
      <c r="A880" s="280"/>
      <c r="B880" s="274"/>
      <c r="C880" s="278"/>
      <c r="D880" s="275">
        <v>1.282E-2</v>
      </c>
      <c r="E880" s="275">
        <v>5.2880000000000003E-2</v>
      </c>
      <c r="F880" s="275">
        <v>4.2619999999999998E-2</v>
      </c>
      <c r="G880" s="275">
        <v>5.3379999999999997E-2</v>
      </c>
      <c r="H880" s="275">
        <v>0.13783999999999999</v>
      </c>
      <c r="I880" s="275">
        <v>0.12928000000000001</v>
      </c>
      <c r="J880" s="275">
        <v>0.14848</v>
      </c>
      <c r="K880" s="275">
        <v>0.12792999999999999</v>
      </c>
      <c r="L880" s="275">
        <v>0.13355</v>
      </c>
      <c r="M880" s="275">
        <v>0.29847000000000001</v>
      </c>
      <c r="N880" s="275">
        <v>0.29624</v>
      </c>
      <c r="O880" s="275">
        <v>0.33239999999999997</v>
      </c>
      <c r="P880" s="275">
        <v>0.32769999999999999</v>
      </c>
      <c r="Q880" s="275">
        <v>0.33849000000000001</v>
      </c>
      <c r="R880" s="275">
        <v>0.32435999999999998</v>
      </c>
      <c r="S880" s="275">
        <v>0.3296</v>
      </c>
      <c r="T880" s="275">
        <v>0.61800999999999995</v>
      </c>
      <c r="U880" s="275">
        <v>0.63997000000000004</v>
      </c>
      <c r="V880" s="275">
        <v>0.71587000000000001</v>
      </c>
      <c r="W880" s="275">
        <v>0.79307000000000005</v>
      </c>
      <c r="X880" s="275">
        <v>0.82038999999999995</v>
      </c>
      <c r="Y880" s="275">
        <v>1.3648899999999999</v>
      </c>
      <c r="Z880" s="275">
        <v>1.49624</v>
      </c>
      <c r="AA880" s="275">
        <v>1.7175499999999999</v>
      </c>
    </row>
    <row r="881" spans="1:27">
      <c r="A881" s="280"/>
      <c r="B881" s="274"/>
      <c r="C881" s="278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</row>
    <row r="882" spans="1:27">
      <c r="A882" s="280">
        <v>298</v>
      </c>
      <c r="B882" s="274">
        <v>96</v>
      </c>
      <c r="C882" s="278" t="s">
        <v>218</v>
      </c>
      <c r="D882" s="275" t="s">
        <v>434</v>
      </c>
      <c r="E882" s="275" t="s">
        <v>435</v>
      </c>
      <c r="F882" s="275" t="s">
        <v>436</v>
      </c>
      <c r="G882" s="275" t="s">
        <v>437</v>
      </c>
      <c r="H882" s="275" t="s">
        <v>438</v>
      </c>
      <c r="I882" s="275" t="s">
        <v>439</v>
      </c>
      <c r="J882" s="275" t="s">
        <v>440</v>
      </c>
      <c r="K882" s="275" t="s">
        <v>441</v>
      </c>
      <c r="L882" s="275" t="s">
        <v>442</v>
      </c>
      <c r="M882" s="275" t="s">
        <v>443</v>
      </c>
      <c r="N882" s="275" t="s">
        <v>444</v>
      </c>
      <c r="O882" s="275" t="s">
        <v>445</v>
      </c>
      <c r="P882" s="275" t="s">
        <v>446</v>
      </c>
      <c r="Q882" s="275" t="s">
        <v>447</v>
      </c>
      <c r="R882" s="275" t="s">
        <v>451</v>
      </c>
      <c r="S882" s="275" t="s">
        <v>452</v>
      </c>
      <c r="T882" s="275" t="s">
        <v>448</v>
      </c>
      <c r="U882" s="275" t="s">
        <v>449</v>
      </c>
      <c r="V882" s="275" t="s">
        <v>450</v>
      </c>
      <c r="W882" s="275" t="s">
        <v>453</v>
      </c>
      <c r="X882" s="275" t="s">
        <v>454</v>
      </c>
      <c r="Y882" s="275" t="s">
        <v>455</v>
      </c>
      <c r="Z882" s="275" t="s">
        <v>456</v>
      </c>
      <c r="AA882" s="275" t="s">
        <v>457</v>
      </c>
    </row>
    <row r="883" spans="1:27">
      <c r="A883" s="280"/>
      <c r="B883" s="274"/>
      <c r="C883" s="278"/>
      <c r="D883" s="275">
        <v>1.282E-2</v>
      </c>
      <c r="E883" s="275">
        <v>5.2880000000000003E-2</v>
      </c>
      <c r="F883" s="275">
        <v>4.2619999999999998E-2</v>
      </c>
      <c r="G883" s="275">
        <v>5.3379999999999997E-2</v>
      </c>
      <c r="H883" s="275">
        <v>0.13783999999999999</v>
      </c>
      <c r="I883" s="275">
        <v>0.12928000000000001</v>
      </c>
      <c r="J883" s="275">
        <v>0.14848</v>
      </c>
      <c r="K883" s="275">
        <v>0.12792999999999999</v>
      </c>
      <c r="L883" s="275">
        <v>0.13355</v>
      </c>
      <c r="M883" s="275">
        <v>0.29846</v>
      </c>
      <c r="N883" s="275">
        <v>0.29621999999999998</v>
      </c>
      <c r="O883" s="275">
        <v>0.33239000000000002</v>
      </c>
      <c r="P883" s="275">
        <v>0.32768000000000003</v>
      </c>
      <c r="Q883" s="275">
        <v>0.33846999999999999</v>
      </c>
      <c r="R883" s="275">
        <v>0.32435000000000003</v>
      </c>
      <c r="S883" s="275">
        <v>0.32957999999999998</v>
      </c>
      <c r="T883" s="275">
        <v>0.61750000000000005</v>
      </c>
      <c r="U883" s="275">
        <v>0.63927</v>
      </c>
      <c r="V883" s="275">
        <v>0.71462999999999999</v>
      </c>
      <c r="W883" s="275">
        <v>0.79015999999999997</v>
      </c>
      <c r="X883" s="275">
        <v>0.81694999999999995</v>
      </c>
      <c r="Y883" s="275">
        <v>1.3438600000000001</v>
      </c>
      <c r="Z883" s="275">
        <v>1.4630700000000001</v>
      </c>
      <c r="AA883" s="275">
        <v>1.6636</v>
      </c>
    </row>
    <row r="884" spans="1:27">
      <c r="A884" s="280"/>
      <c r="B884" s="274"/>
      <c r="C884" s="278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</row>
    <row r="885" spans="1:27">
      <c r="A885" s="280">
        <v>299</v>
      </c>
      <c r="B885" s="274">
        <v>97</v>
      </c>
      <c r="C885" s="278" t="s">
        <v>406</v>
      </c>
      <c r="D885" s="275" t="s">
        <v>434</v>
      </c>
      <c r="E885" s="275" t="s">
        <v>435</v>
      </c>
      <c r="F885" s="275" t="s">
        <v>436</v>
      </c>
      <c r="G885" s="275" t="s">
        <v>437</v>
      </c>
      <c r="H885" s="275" t="s">
        <v>438</v>
      </c>
      <c r="I885" s="275" t="s">
        <v>439</v>
      </c>
      <c r="J885" s="275" t="s">
        <v>440</v>
      </c>
      <c r="K885" s="275" t="s">
        <v>441</v>
      </c>
      <c r="L885" s="275" t="s">
        <v>442</v>
      </c>
      <c r="M885" s="275" t="s">
        <v>443</v>
      </c>
      <c r="N885" s="275" t="s">
        <v>444</v>
      </c>
      <c r="O885" s="275" t="s">
        <v>445</v>
      </c>
      <c r="P885" s="275" t="s">
        <v>446</v>
      </c>
      <c r="Q885" s="275" t="s">
        <v>447</v>
      </c>
      <c r="R885" s="275" t="s">
        <v>451</v>
      </c>
      <c r="S885" s="275" t="s">
        <v>452</v>
      </c>
      <c r="T885" s="275" t="s">
        <v>448</v>
      </c>
      <c r="U885" s="275" t="s">
        <v>449</v>
      </c>
      <c r="V885" s="275" t="s">
        <v>450</v>
      </c>
      <c r="W885" s="275" t="s">
        <v>453</v>
      </c>
      <c r="X885" s="275" t="s">
        <v>454</v>
      </c>
      <c r="Y885" s="275" t="s">
        <v>455</v>
      </c>
      <c r="Z885" s="275" t="s">
        <v>456</v>
      </c>
      <c r="AA885" s="275" t="s">
        <v>457</v>
      </c>
    </row>
    <row r="886" spans="1:27">
      <c r="A886" s="280"/>
      <c r="B886" s="274"/>
      <c r="C886" s="278"/>
      <c r="D886" s="275">
        <v>1.2619999999999999E-2</v>
      </c>
      <c r="E886" s="275">
        <v>5.2010000000000001E-2</v>
      </c>
      <c r="F886" s="275">
        <v>4.1849999999999998E-2</v>
      </c>
      <c r="G886" s="275">
        <v>5.2749999999999998E-2</v>
      </c>
      <c r="H886" s="275">
        <v>0.13564999999999999</v>
      </c>
      <c r="I886" s="275">
        <v>0.12712999999999999</v>
      </c>
      <c r="J886" s="275">
        <v>0.14657999999999999</v>
      </c>
      <c r="K886" s="275">
        <v>0.12620999999999999</v>
      </c>
      <c r="L886" s="275">
        <v>0.13188</v>
      </c>
      <c r="M886" s="275">
        <v>0.29343999999999998</v>
      </c>
      <c r="N886" s="275">
        <v>0.29103000000000001</v>
      </c>
      <c r="O886" s="275">
        <v>0.32751000000000002</v>
      </c>
      <c r="P886" s="275">
        <v>0.32242999999999999</v>
      </c>
      <c r="Q886" s="275">
        <v>0.33323999999999998</v>
      </c>
      <c r="R886" s="275">
        <v>0.31830999999999998</v>
      </c>
      <c r="S886" s="275">
        <v>0.32352999999999998</v>
      </c>
      <c r="T886" s="275">
        <v>0.60572999999999999</v>
      </c>
      <c r="U886" s="275">
        <v>0.62653999999999999</v>
      </c>
      <c r="V886" s="275">
        <v>0.70284000000000002</v>
      </c>
      <c r="W886" s="275">
        <v>0.77639999999999998</v>
      </c>
      <c r="X886" s="275">
        <v>0.80369999999999997</v>
      </c>
      <c r="Y886" s="275">
        <v>1.3369</v>
      </c>
      <c r="Z886" s="275">
        <v>1.46465</v>
      </c>
      <c r="AA886" s="275">
        <v>1.69052</v>
      </c>
    </row>
    <row r="887" spans="1:27">
      <c r="A887" s="280"/>
      <c r="B887" s="274"/>
      <c r="C887" s="278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</row>
    <row r="888" spans="1:27">
      <c r="A888" s="280">
        <v>300</v>
      </c>
      <c r="B888" s="274">
        <v>97</v>
      </c>
      <c r="C888" s="278" t="s">
        <v>219</v>
      </c>
      <c r="D888" s="275" t="s">
        <v>434</v>
      </c>
      <c r="E888" s="275" t="s">
        <v>435</v>
      </c>
      <c r="F888" s="275" t="s">
        <v>436</v>
      </c>
      <c r="G888" s="275" t="s">
        <v>437</v>
      </c>
      <c r="H888" s="275" t="s">
        <v>438</v>
      </c>
      <c r="I888" s="275" t="s">
        <v>439</v>
      </c>
      <c r="J888" s="275" t="s">
        <v>440</v>
      </c>
      <c r="K888" s="275" t="s">
        <v>441</v>
      </c>
      <c r="L888" s="275" t="s">
        <v>442</v>
      </c>
      <c r="M888" s="275" t="s">
        <v>443</v>
      </c>
      <c r="N888" s="275" t="s">
        <v>444</v>
      </c>
      <c r="O888" s="275" t="s">
        <v>445</v>
      </c>
      <c r="P888" s="275" t="s">
        <v>446</v>
      </c>
      <c r="Q888" s="275" t="s">
        <v>447</v>
      </c>
      <c r="R888" s="275" t="s">
        <v>451</v>
      </c>
      <c r="S888" s="275" t="s">
        <v>452</v>
      </c>
      <c r="T888" s="275" t="s">
        <v>448</v>
      </c>
      <c r="U888" s="275" t="s">
        <v>449</v>
      </c>
      <c r="V888" s="275" t="s">
        <v>450</v>
      </c>
      <c r="W888" s="275" t="s">
        <v>453</v>
      </c>
      <c r="X888" s="275" t="s">
        <v>454</v>
      </c>
      <c r="Y888" s="275" t="s">
        <v>455</v>
      </c>
      <c r="Z888" s="275" t="s">
        <v>456</v>
      </c>
      <c r="AA888" s="275" t="s">
        <v>457</v>
      </c>
    </row>
    <row r="889" spans="1:27">
      <c r="A889" s="280"/>
      <c r="B889" s="274"/>
      <c r="C889" s="278"/>
      <c r="D889" s="275">
        <v>1.2619999999999999E-2</v>
      </c>
      <c r="E889" s="275">
        <v>5.2010000000000001E-2</v>
      </c>
      <c r="F889" s="275">
        <v>4.1849999999999998E-2</v>
      </c>
      <c r="G889" s="275">
        <v>5.2749999999999998E-2</v>
      </c>
      <c r="H889" s="275">
        <v>0.13564999999999999</v>
      </c>
      <c r="I889" s="275">
        <v>0.12712999999999999</v>
      </c>
      <c r="J889" s="275">
        <v>0.14657999999999999</v>
      </c>
      <c r="K889" s="275">
        <v>0.12620999999999999</v>
      </c>
      <c r="L889" s="275">
        <v>0.13188</v>
      </c>
      <c r="M889" s="275">
        <v>0.29343000000000002</v>
      </c>
      <c r="N889" s="275">
        <v>0.29102</v>
      </c>
      <c r="O889" s="275">
        <v>0.32749</v>
      </c>
      <c r="P889" s="275">
        <v>0.32240999999999997</v>
      </c>
      <c r="Q889" s="275">
        <v>0.33322000000000002</v>
      </c>
      <c r="R889" s="275">
        <v>0.31830000000000003</v>
      </c>
      <c r="S889" s="275">
        <v>0.32351999999999997</v>
      </c>
      <c r="T889" s="275">
        <v>0.60526000000000002</v>
      </c>
      <c r="U889" s="275">
        <v>0.62587999999999999</v>
      </c>
      <c r="V889" s="275">
        <v>0.70165999999999995</v>
      </c>
      <c r="W889" s="275">
        <v>0.77366000000000001</v>
      </c>
      <c r="X889" s="275">
        <v>0.80044000000000004</v>
      </c>
      <c r="Y889" s="275">
        <v>1.3167599999999999</v>
      </c>
      <c r="Z889" s="275">
        <v>1.4328099999999999</v>
      </c>
      <c r="AA889" s="275">
        <v>1.6375299999999999</v>
      </c>
    </row>
    <row r="890" spans="1:27">
      <c r="A890" s="280"/>
      <c r="B890" s="274"/>
      <c r="C890" s="278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</row>
    <row r="891" spans="1:27">
      <c r="A891" s="280">
        <v>301</v>
      </c>
      <c r="B891" s="274">
        <v>98</v>
      </c>
      <c r="C891" s="278" t="s">
        <v>407</v>
      </c>
      <c r="D891" s="275" t="s">
        <v>434</v>
      </c>
      <c r="E891" s="275" t="s">
        <v>435</v>
      </c>
      <c r="F891" s="275" t="s">
        <v>436</v>
      </c>
      <c r="G891" s="275" t="s">
        <v>437</v>
      </c>
      <c r="H891" s="275" t="s">
        <v>438</v>
      </c>
      <c r="I891" s="275" t="s">
        <v>439</v>
      </c>
      <c r="J891" s="275" t="s">
        <v>440</v>
      </c>
      <c r="K891" s="275" t="s">
        <v>441</v>
      </c>
      <c r="L891" s="275" t="s">
        <v>442</v>
      </c>
      <c r="M891" s="275" t="s">
        <v>443</v>
      </c>
      <c r="N891" s="275" t="s">
        <v>444</v>
      </c>
      <c r="O891" s="275" t="s">
        <v>445</v>
      </c>
      <c r="P891" s="275" t="s">
        <v>446</v>
      </c>
      <c r="Q891" s="275" t="s">
        <v>447</v>
      </c>
      <c r="R891" s="275" t="s">
        <v>451</v>
      </c>
      <c r="S891" s="275" t="s">
        <v>452</v>
      </c>
      <c r="T891" s="275" t="s">
        <v>448</v>
      </c>
      <c r="U891" s="275" t="s">
        <v>449</v>
      </c>
      <c r="V891" s="275" t="s">
        <v>450</v>
      </c>
      <c r="W891" s="275" t="s">
        <v>453</v>
      </c>
      <c r="X891" s="275" t="s">
        <v>454</v>
      </c>
      <c r="Y891" s="275" t="s">
        <v>455</v>
      </c>
      <c r="Z891" s="275" t="s">
        <v>456</v>
      </c>
      <c r="AA891" s="275" t="s">
        <v>457</v>
      </c>
    </row>
    <row r="892" spans="1:27">
      <c r="A892" s="280"/>
      <c r="B892" s="274"/>
      <c r="C892" s="278"/>
      <c r="D892" s="275">
        <v>1.242E-2</v>
      </c>
      <c r="E892" s="275">
        <v>5.1150000000000001E-2</v>
      </c>
      <c r="F892" s="275">
        <v>4.1079999999999998E-2</v>
      </c>
      <c r="G892" s="275">
        <v>5.2139999999999999E-2</v>
      </c>
      <c r="H892" s="275">
        <v>0.13349</v>
      </c>
      <c r="I892" s="275">
        <v>0.12501999999999999</v>
      </c>
      <c r="J892" s="275">
        <v>0.14471999999999999</v>
      </c>
      <c r="K892" s="275">
        <v>0.12453</v>
      </c>
      <c r="L892" s="275">
        <v>0.13025999999999999</v>
      </c>
      <c r="M892" s="275">
        <v>0.28853000000000001</v>
      </c>
      <c r="N892" s="275">
        <v>0.28594999999999998</v>
      </c>
      <c r="O892" s="275">
        <v>0.32274999999999998</v>
      </c>
      <c r="P892" s="275">
        <v>0.31733</v>
      </c>
      <c r="Q892" s="275">
        <v>0.32817000000000002</v>
      </c>
      <c r="R892" s="275">
        <v>0.31248999999999999</v>
      </c>
      <c r="S892" s="275">
        <v>0.31772</v>
      </c>
      <c r="T892" s="275">
        <v>0.59421999999999997</v>
      </c>
      <c r="U892" s="275">
        <v>0.61404999999999998</v>
      </c>
      <c r="V892" s="275">
        <v>0.69120000000000004</v>
      </c>
      <c r="W892" s="275">
        <v>0.76259999999999994</v>
      </c>
      <c r="X892" s="275">
        <v>0.7903</v>
      </c>
      <c r="Y892" s="275">
        <v>1.3280400000000001</v>
      </c>
      <c r="Z892" s="275">
        <v>1.46469</v>
      </c>
      <c r="AA892" s="275">
        <v>1.7217499999999999</v>
      </c>
    </row>
    <row r="893" spans="1:27">
      <c r="A893" s="280"/>
      <c r="B893" s="274"/>
      <c r="C893" s="278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</row>
    <row r="894" spans="1:27">
      <c r="A894" s="280">
        <v>302</v>
      </c>
      <c r="B894" s="274">
        <v>98</v>
      </c>
      <c r="C894" s="278" t="s">
        <v>220</v>
      </c>
      <c r="D894" s="275" t="s">
        <v>434</v>
      </c>
      <c r="E894" s="275" t="s">
        <v>435</v>
      </c>
      <c r="F894" s="275" t="s">
        <v>436</v>
      </c>
      <c r="G894" s="275" t="s">
        <v>437</v>
      </c>
      <c r="H894" s="275" t="s">
        <v>438</v>
      </c>
      <c r="I894" s="275" t="s">
        <v>439</v>
      </c>
      <c r="J894" s="275" t="s">
        <v>440</v>
      </c>
      <c r="K894" s="275" t="s">
        <v>441</v>
      </c>
      <c r="L894" s="275" t="s">
        <v>442</v>
      </c>
      <c r="M894" s="275" t="s">
        <v>443</v>
      </c>
      <c r="N894" s="275" t="s">
        <v>444</v>
      </c>
      <c r="O894" s="275" t="s">
        <v>445</v>
      </c>
      <c r="P894" s="275" t="s">
        <v>446</v>
      </c>
      <c r="Q894" s="275" t="s">
        <v>447</v>
      </c>
      <c r="R894" s="275" t="s">
        <v>451</v>
      </c>
      <c r="S894" s="275" t="s">
        <v>452</v>
      </c>
      <c r="T894" s="275" t="s">
        <v>448</v>
      </c>
      <c r="U894" s="275" t="s">
        <v>449</v>
      </c>
      <c r="V894" s="275" t="s">
        <v>450</v>
      </c>
      <c r="W894" s="275" t="s">
        <v>453</v>
      </c>
      <c r="X894" s="275" t="s">
        <v>454</v>
      </c>
      <c r="Y894" s="275" t="s">
        <v>455</v>
      </c>
      <c r="Z894" s="275" t="s">
        <v>456</v>
      </c>
      <c r="AA894" s="275" t="s">
        <v>457</v>
      </c>
    </row>
    <row r="895" spans="1:27">
      <c r="A895" s="280"/>
      <c r="B895" s="274"/>
      <c r="C895" s="278"/>
      <c r="D895" s="275">
        <v>1.242E-2</v>
      </c>
      <c r="E895" s="275">
        <v>5.1150000000000001E-2</v>
      </c>
      <c r="F895" s="275">
        <v>4.1079999999999998E-2</v>
      </c>
      <c r="G895" s="275">
        <v>5.2139999999999999E-2</v>
      </c>
      <c r="H895" s="275">
        <v>0.13349</v>
      </c>
      <c r="I895" s="275">
        <v>0.12501999999999999</v>
      </c>
      <c r="J895" s="275">
        <v>0.14471999999999999</v>
      </c>
      <c r="K895" s="275">
        <v>0.12453</v>
      </c>
      <c r="L895" s="275">
        <v>0.13025999999999999</v>
      </c>
      <c r="M895" s="275">
        <v>0.28852</v>
      </c>
      <c r="N895" s="275">
        <v>0.28594999999999998</v>
      </c>
      <c r="O895" s="275">
        <v>0.32274999999999998</v>
      </c>
      <c r="P895" s="275">
        <v>0.31731999999999999</v>
      </c>
      <c r="Q895" s="275">
        <v>0.32816000000000001</v>
      </c>
      <c r="R895" s="275">
        <v>0.3125</v>
      </c>
      <c r="S895" s="275">
        <v>0.31772</v>
      </c>
      <c r="T895" s="275">
        <v>0.59389000000000003</v>
      </c>
      <c r="U895" s="275">
        <v>0.61360000000000003</v>
      </c>
      <c r="V895" s="275">
        <v>0.69035999999999997</v>
      </c>
      <c r="W895" s="275">
        <v>0.76056000000000001</v>
      </c>
      <c r="X895" s="275">
        <v>0.78785000000000005</v>
      </c>
      <c r="Y895" s="275">
        <v>1.3101400000000001</v>
      </c>
      <c r="Z895" s="275">
        <v>1.4344699999999999</v>
      </c>
      <c r="AA895" s="275">
        <v>1.6650799999999999</v>
      </c>
    </row>
    <row r="896" spans="1:27">
      <c r="A896" s="280"/>
      <c r="B896" s="274"/>
      <c r="C896" s="278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</row>
    <row r="897" spans="1:27">
      <c r="A897" s="280">
        <v>303</v>
      </c>
      <c r="B897" s="274">
        <v>98</v>
      </c>
      <c r="C897" s="278" t="s">
        <v>221</v>
      </c>
      <c r="D897" s="275" t="s">
        <v>434</v>
      </c>
      <c r="E897" s="275" t="s">
        <v>435</v>
      </c>
      <c r="F897" s="275" t="s">
        <v>436</v>
      </c>
      <c r="G897" s="275" t="s">
        <v>437</v>
      </c>
      <c r="H897" s="275" t="s">
        <v>438</v>
      </c>
      <c r="I897" s="275" t="s">
        <v>439</v>
      </c>
      <c r="J897" s="275" t="s">
        <v>440</v>
      </c>
      <c r="K897" s="275" t="s">
        <v>441</v>
      </c>
      <c r="L897" s="275" t="s">
        <v>442</v>
      </c>
      <c r="M897" s="275" t="s">
        <v>443</v>
      </c>
      <c r="N897" s="275" t="s">
        <v>444</v>
      </c>
      <c r="O897" s="275" t="s">
        <v>445</v>
      </c>
      <c r="P897" s="275" t="s">
        <v>446</v>
      </c>
      <c r="Q897" s="275" t="s">
        <v>447</v>
      </c>
      <c r="R897" s="275" t="s">
        <v>451</v>
      </c>
      <c r="S897" s="275" t="s">
        <v>452</v>
      </c>
      <c r="T897" s="275" t="s">
        <v>448</v>
      </c>
      <c r="U897" s="275" t="s">
        <v>449</v>
      </c>
      <c r="V897" s="275" t="s">
        <v>450</v>
      </c>
      <c r="W897" s="275" t="s">
        <v>453</v>
      </c>
      <c r="X897" s="275" t="s">
        <v>454</v>
      </c>
      <c r="Y897" s="275" t="s">
        <v>455</v>
      </c>
      <c r="Z897" s="275" t="s">
        <v>456</v>
      </c>
      <c r="AA897" s="275" t="s">
        <v>457</v>
      </c>
    </row>
    <row r="898" spans="1:27">
      <c r="A898" s="280"/>
      <c r="B898" s="274"/>
      <c r="C898" s="278"/>
      <c r="D898" s="275">
        <v>1.242E-2</v>
      </c>
      <c r="E898" s="275">
        <v>5.1150000000000001E-2</v>
      </c>
      <c r="F898" s="275">
        <v>4.1079999999999998E-2</v>
      </c>
      <c r="G898" s="275">
        <v>5.2139999999999999E-2</v>
      </c>
      <c r="H898" s="275">
        <v>0.13349</v>
      </c>
      <c r="I898" s="275">
        <v>0.12501999999999999</v>
      </c>
      <c r="J898" s="275">
        <v>0.14471999999999999</v>
      </c>
      <c r="K898" s="275">
        <v>0.12453</v>
      </c>
      <c r="L898" s="275">
        <v>0.13025999999999999</v>
      </c>
      <c r="M898" s="275">
        <v>0.28850999999999999</v>
      </c>
      <c r="N898" s="275">
        <v>0.28594000000000003</v>
      </c>
      <c r="O898" s="275">
        <v>0.32273000000000002</v>
      </c>
      <c r="P898" s="275">
        <v>0.31730000000000003</v>
      </c>
      <c r="Q898" s="275">
        <v>0.32813999999999999</v>
      </c>
      <c r="R898" s="275">
        <v>0.31248999999999999</v>
      </c>
      <c r="S898" s="275">
        <v>0.31770999999999999</v>
      </c>
      <c r="T898" s="275">
        <v>0.59343999999999997</v>
      </c>
      <c r="U898" s="275">
        <v>0.61297999999999997</v>
      </c>
      <c r="V898" s="275">
        <v>0.68923000000000001</v>
      </c>
      <c r="W898" s="275">
        <v>0.75795999999999997</v>
      </c>
      <c r="X898" s="275">
        <v>0.78476000000000001</v>
      </c>
      <c r="Y898" s="275">
        <v>1.29081</v>
      </c>
      <c r="Z898" s="275">
        <v>1.4038600000000001</v>
      </c>
      <c r="AA898" s="275">
        <v>1.6129100000000001</v>
      </c>
    </row>
    <row r="899" spans="1:27">
      <c r="A899" s="280"/>
      <c r="B899" s="274"/>
      <c r="C899" s="278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</row>
    <row r="900" spans="1:27">
      <c r="A900" s="280">
        <v>304</v>
      </c>
      <c r="B900" s="274">
        <v>99</v>
      </c>
      <c r="C900" s="278" t="s">
        <v>408</v>
      </c>
      <c r="D900" s="275" t="s">
        <v>434</v>
      </c>
      <c r="E900" s="275" t="s">
        <v>435</v>
      </c>
      <c r="F900" s="275" t="s">
        <v>436</v>
      </c>
      <c r="G900" s="275" t="s">
        <v>437</v>
      </c>
      <c r="H900" s="275" t="s">
        <v>438</v>
      </c>
      <c r="I900" s="275" t="s">
        <v>439</v>
      </c>
      <c r="J900" s="275" t="s">
        <v>440</v>
      </c>
      <c r="K900" s="275" t="s">
        <v>441</v>
      </c>
      <c r="L900" s="275" t="s">
        <v>442</v>
      </c>
      <c r="M900" s="275" t="s">
        <v>443</v>
      </c>
      <c r="N900" s="275" t="s">
        <v>444</v>
      </c>
      <c r="O900" s="275" t="s">
        <v>445</v>
      </c>
      <c r="P900" s="275" t="s">
        <v>446</v>
      </c>
      <c r="Q900" s="275" t="s">
        <v>447</v>
      </c>
      <c r="R900" s="275" t="s">
        <v>451</v>
      </c>
      <c r="S900" s="275" t="s">
        <v>452</v>
      </c>
      <c r="T900" s="275" t="s">
        <v>448</v>
      </c>
      <c r="U900" s="275" t="s">
        <v>449</v>
      </c>
      <c r="V900" s="275" t="s">
        <v>450</v>
      </c>
      <c r="W900" s="275" t="s">
        <v>453</v>
      </c>
      <c r="X900" s="275" t="s">
        <v>454</v>
      </c>
      <c r="Y900" s="275" t="s">
        <v>455</v>
      </c>
      <c r="Z900" s="275" t="s">
        <v>456</v>
      </c>
      <c r="AA900" s="275" t="s">
        <v>457</v>
      </c>
    </row>
    <row r="901" spans="1:27">
      <c r="A901" s="280"/>
      <c r="B901" s="274"/>
      <c r="C901" s="278"/>
      <c r="D901" s="275">
        <v>1.222E-2</v>
      </c>
      <c r="E901" s="275">
        <v>5.0299999999999997E-2</v>
      </c>
      <c r="F901" s="275">
        <v>4.0329999999999998E-2</v>
      </c>
      <c r="G901" s="275">
        <v>5.1529999999999999E-2</v>
      </c>
      <c r="H901" s="275">
        <v>0.13136999999999999</v>
      </c>
      <c r="I901" s="275">
        <v>0.12295</v>
      </c>
      <c r="J901" s="275">
        <v>0.1429</v>
      </c>
      <c r="K901" s="275">
        <v>0.12289</v>
      </c>
      <c r="L901" s="275">
        <v>0.12867000000000001</v>
      </c>
      <c r="M901" s="275">
        <v>0.28372000000000003</v>
      </c>
      <c r="N901" s="275">
        <v>0.28099000000000002</v>
      </c>
      <c r="O901" s="275">
        <v>0.31812000000000001</v>
      </c>
      <c r="P901" s="275">
        <v>0.31236999999999998</v>
      </c>
      <c r="Q901" s="275">
        <v>0.32324000000000003</v>
      </c>
      <c r="R901" s="275">
        <v>0.30691000000000002</v>
      </c>
      <c r="S901" s="275">
        <v>0.31213999999999997</v>
      </c>
      <c r="T901" s="275">
        <v>0.58274000000000004</v>
      </c>
      <c r="U901" s="275">
        <v>0.60153999999999996</v>
      </c>
      <c r="V901" s="275">
        <v>0.67920000000000003</v>
      </c>
      <c r="W901" s="275">
        <v>0.74741000000000002</v>
      </c>
      <c r="X901" s="275">
        <v>0.77512999999999999</v>
      </c>
      <c r="Y901" s="275">
        <v>1.3017000000000001</v>
      </c>
      <c r="Z901" s="275">
        <v>1.43468</v>
      </c>
      <c r="AA901" s="275">
        <v>1.6973</v>
      </c>
    </row>
    <row r="902" spans="1:27">
      <c r="A902" s="280"/>
      <c r="B902" s="274"/>
      <c r="C902" s="278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</row>
    <row r="903" spans="1:27">
      <c r="A903" s="280">
        <v>305</v>
      </c>
      <c r="B903" s="274">
        <v>99</v>
      </c>
      <c r="C903" s="278" t="s">
        <v>222</v>
      </c>
      <c r="D903" s="275" t="s">
        <v>434</v>
      </c>
      <c r="E903" s="275" t="s">
        <v>435</v>
      </c>
      <c r="F903" s="275" t="s">
        <v>436</v>
      </c>
      <c r="G903" s="275" t="s">
        <v>437</v>
      </c>
      <c r="H903" s="275" t="s">
        <v>438</v>
      </c>
      <c r="I903" s="275" t="s">
        <v>439</v>
      </c>
      <c r="J903" s="275" t="s">
        <v>440</v>
      </c>
      <c r="K903" s="275" t="s">
        <v>441</v>
      </c>
      <c r="L903" s="275" t="s">
        <v>442</v>
      </c>
      <c r="M903" s="275" t="s">
        <v>443</v>
      </c>
      <c r="N903" s="275" t="s">
        <v>444</v>
      </c>
      <c r="O903" s="275" t="s">
        <v>445</v>
      </c>
      <c r="P903" s="275" t="s">
        <v>446</v>
      </c>
      <c r="Q903" s="275" t="s">
        <v>447</v>
      </c>
      <c r="R903" s="275" t="s">
        <v>451</v>
      </c>
      <c r="S903" s="275" t="s">
        <v>452</v>
      </c>
      <c r="T903" s="275" t="s">
        <v>448</v>
      </c>
      <c r="U903" s="275" t="s">
        <v>449</v>
      </c>
      <c r="V903" s="275" t="s">
        <v>450</v>
      </c>
      <c r="W903" s="275" t="s">
        <v>453</v>
      </c>
      <c r="X903" s="275" t="s">
        <v>454</v>
      </c>
      <c r="Y903" s="275" t="s">
        <v>455</v>
      </c>
      <c r="Z903" s="275" t="s">
        <v>456</v>
      </c>
      <c r="AA903" s="275" t="s">
        <v>457</v>
      </c>
    </row>
    <row r="904" spans="1:27">
      <c r="A904" s="280"/>
      <c r="B904" s="274"/>
      <c r="C904" s="278"/>
      <c r="D904" s="275">
        <v>1.222E-2</v>
      </c>
      <c r="E904" s="275">
        <v>5.0299999999999997E-2</v>
      </c>
      <c r="F904" s="275">
        <v>4.0329999999999998E-2</v>
      </c>
      <c r="G904" s="275">
        <v>5.1529999999999999E-2</v>
      </c>
      <c r="H904" s="275">
        <v>0.13136999999999999</v>
      </c>
      <c r="I904" s="275">
        <v>0.12295</v>
      </c>
      <c r="J904" s="275">
        <v>0.14291000000000001</v>
      </c>
      <c r="K904" s="275">
        <v>0.12289</v>
      </c>
      <c r="L904" s="275">
        <v>0.12867000000000001</v>
      </c>
      <c r="M904" s="275">
        <v>0.28371000000000002</v>
      </c>
      <c r="N904" s="275">
        <v>0.28098000000000001</v>
      </c>
      <c r="O904" s="275">
        <v>0.31811</v>
      </c>
      <c r="P904" s="275">
        <v>0.31236000000000003</v>
      </c>
      <c r="Q904" s="275">
        <v>0.32323000000000002</v>
      </c>
      <c r="R904" s="275">
        <v>0.30692000000000003</v>
      </c>
      <c r="S904" s="275">
        <v>0.31213999999999997</v>
      </c>
      <c r="T904" s="275">
        <v>0.58243</v>
      </c>
      <c r="U904" s="275">
        <v>0.60111000000000003</v>
      </c>
      <c r="V904" s="275">
        <v>0.67837999999999998</v>
      </c>
      <c r="W904" s="275">
        <v>0.74546000000000001</v>
      </c>
      <c r="X904" s="275">
        <v>0.77278000000000002</v>
      </c>
      <c r="Y904" s="275">
        <v>1.28443</v>
      </c>
      <c r="Z904" s="275">
        <v>1.4055</v>
      </c>
      <c r="AA904" s="275">
        <v>1.64103</v>
      </c>
    </row>
    <row r="905" spans="1:27">
      <c r="A905" s="280"/>
      <c r="B905" s="274"/>
      <c r="C905" s="278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</row>
    <row r="906" spans="1:27">
      <c r="A906" s="280">
        <v>306</v>
      </c>
      <c r="B906" s="274">
        <v>100</v>
      </c>
      <c r="C906" s="278" t="s">
        <v>409</v>
      </c>
      <c r="D906" s="275" t="s">
        <v>434</v>
      </c>
      <c r="E906" s="275" t="s">
        <v>435</v>
      </c>
      <c r="F906" s="275" t="s">
        <v>436</v>
      </c>
      <c r="G906" s="275" t="s">
        <v>437</v>
      </c>
      <c r="H906" s="275" t="s">
        <v>438</v>
      </c>
      <c r="I906" s="275" t="s">
        <v>439</v>
      </c>
      <c r="J906" s="275" t="s">
        <v>440</v>
      </c>
      <c r="K906" s="275" t="s">
        <v>441</v>
      </c>
      <c r="L906" s="275" t="s">
        <v>442</v>
      </c>
      <c r="M906" s="275" t="s">
        <v>443</v>
      </c>
      <c r="N906" s="275" t="s">
        <v>444</v>
      </c>
      <c r="O906" s="275" t="s">
        <v>445</v>
      </c>
      <c r="P906" s="275" t="s">
        <v>446</v>
      </c>
      <c r="Q906" s="275" t="s">
        <v>447</v>
      </c>
      <c r="R906" s="275" t="s">
        <v>451</v>
      </c>
      <c r="S906" s="275" t="s">
        <v>452</v>
      </c>
      <c r="T906" s="275" t="s">
        <v>448</v>
      </c>
      <c r="U906" s="275" t="s">
        <v>449</v>
      </c>
      <c r="V906" s="275" t="s">
        <v>450</v>
      </c>
      <c r="W906" s="275" t="s">
        <v>453</v>
      </c>
      <c r="X906" s="275" t="s">
        <v>454</v>
      </c>
      <c r="Y906" s="275" t="s">
        <v>455</v>
      </c>
      <c r="Z906" s="275" t="s">
        <v>456</v>
      </c>
      <c r="AA906" s="275" t="s">
        <v>457</v>
      </c>
    </row>
    <row r="907" spans="1:27">
      <c r="A907" s="280"/>
      <c r="B907" s="274"/>
      <c r="C907" s="278"/>
      <c r="D907" s="275">
        <v>1.2019999999999999E-2</v>
      </c>
      <c r="E907" s="275">
        <v>4.9459999999999997E-2</v>
      </c>
      <c r="F907" s="275">
        <v>3.9579999999999997E-2</v>
      </c>
      <c r="G907" s="275">
        <v>5.0939999999999999E-2</v>
      </c>
      <c r="H907" s="275">
        <v>0.1293</v>
      </c>
      <c r="I907" s="275">
        <v>0.12091</v>
      </c>
      <c r="J907" s="275">
        <v>0.14113000000000001</v>
      </c>
      <c r="K907" s="275">
        <v>0.12129</v>
      </c>
      <c r="L907" s="275">
        <v>0.12712000000000001</v>
      </c>
      <c r="M907" s="275">
        <v>0.27901999999999999</v>
      </c>
      <c r="N907" s="275">
        <v>0.27612999999999999</v>
      </c>
      <c r="O907" s="275">
        <v>0.31359999999999999</v>
      </c>
      <c r="P907" s="275">
        <v>0.30754999999999999</v>
      </c>
      <c r="Q907" s="275">
        <v>0.31846000000000002</v>
      </c>
      <c r="R907" s="275">
        <v>0.30154999999999998</v>
      </c>
      <c r="S907" s="275">
        <v>0.30676999999999999</v>
      </c>
      <c r="T907" s="275">
        <v>0.57164000000000004</v>
      </c>
      <c r="U907" s="275">
        <v>0.58945999999999998</v>
      </c>
      <c r="V907" s="275">
        <v>0.66766000000000003</v>
      </c>
      <c r="W907" s="275">
        <v>0.73290999999999995</v>
      </c>
      <c r="X907" s="275">
        <v>0.76066999999999996</v>
      </c>
      <c r="Y907" s="275">
        <v>1.27634</v>
      </c>
      <c r="Z907" s="275">
        <v>1.40578</v>
      </c>
      <c r="AA907" s="275">
        <v>1.6741299999999999</v>
      </c>
    </row>
    <row r="908" spans="1:27">
      <c r="A908" s="280"/>
      <c r="B908" s="274"/>
      <c r="C908" s="278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</row>
    <row r="909" spans="1:27">
      <c r="A909" s="280">
        <v>307</v>
      </c>
      <c r="B909" s="274">
        <v>100</v>
      </c>
      <c r="C909" s="278" t="s">
        <v>223</v>
      </c>
      <c r="D909" s="275" t="s">
        <v>434</v>
      </c>
      <c r="E909" s="275" t="s">
        <v>435</v>
      </c>
      <c r="F909" s="275" t="s">
        <v>436</v>
      </c>
      <c r="G909" s="275" t="s">
        <v>437</v>
      </c>
      <c r="H909" s="275" t="s">
        <v>438</v>
      </c>
      <c r="I909" s="275" t="s">
        <v>439</v>
      </c>
      <c r="J909" s="275" t="s">
        <v>440</v>
      </c>
      <c r="K909" s="275" t="s">
        <v>441</v>
      </c>
      <c r="L909" s="275" t="s">
        <v>442</v>
      </c>
      <c r="M909" s="275" t="s">
        <v>443</v>
      </c>
      <c r="N909" s="275" t="s">
        <v>444</v>
      </c>
      <c r="O909" s="275" t="s">
        <v>445</v>
      </c>
      <c r="P909" s="275" t="s">
        <v>446</v>
      </c>
      <c r="Q909" s="275" t="s">
        <v>447</v>
      </c>
      <c r="R909" s="275" t="s">
        <v>451</v>
      </c>
      <c r="S909" s="275" t="s">
        <v>452</v>
      </c>
      <c r="T909" s="275" t="s">
        <v>448</v>
      </c>
      <c r="U909" s="275" t="s">
        <v>449</v>
      </c>
      <c r="V909" s="275" t="s">
        <v>450</v>
      </c>
      <c r="W909" s="275" t="s">
        <v>453</v>
      </c>
      <c r="X909" s="275" t="s">
        <v>454</v>
      </c>
      <c r="Y909" s="275" t="s">
        <v>455</v>
      </c>
      <c r="Z909" s="275" t="s">
        <v>456</v>
      </c>
      <c r="AA909" s="275" t="s">
        <v>457</v>
      </c>
    </row>
    <row r="910" spans="1:27">
      <c r="A910" s="280"/>
      <c r="B910" s="274"/>
      <c r="C910" s="278"/>
      <c r="D910" s="275">
        <v>1.2019999999999999E-2</v>
      </c>
      <c r="E910" s="275">
        <v>4.9459999999999997E-2</v>
      </c>
      <c r="F910" s="275">
        <v>3.9579999999999997E-2</v>
      </c>
      <c r="G910" s="275">
        <v>5.0939999999999999E-2</v>
      </c>
      <c r="H910" s="275">
        <v>0.1293</v>
      </c>
      <c r="I910" s="275">
        <v>0.12091</v>
      </c>
      <c r="J910" s="275">
        <v>0.14113000000000001</v>
      </c>
      <c r="K910" s="275">
        <v>0.12129</v>
      </c>
      <c r="L910" s="275">
        <v>0.12712000000000001</v>
      </c>
      <c r="M910" s="275">
        <v>0.27900999999999998</v>
      </c>
      <c r="N910" s="275">
        <v>0.27611999999999998</v>
      </c>
      <c r="O910" s="275">
        <v>0.31359999999999999</v>
      </c>
      <c r="P910" s="275">
        <v>0.30754999999999999</v>
      </c>
      <c r="Q910" s="275">
        <v>0.31846000000000002</v>
      </c>
      <c r="R910" s="275">
        <v>0.30154999999999998</v>
      </c>
      <c r="S910" s="275">
        <v>0.30676999999999999</v>
      </c>
      <c r="T910" s="275">
        <v>0.57133999999999996</v>
      </c>
      <c r="U910" s="275">
        <v>0.58904999999999996</v>
      </c>
      <c r="V910" s="275">
        <v>0.66686999999999996</v>
      </c>
      <c r="W910" s="275">
        <v>0.73104999999999998</v>
      </c>
      <c r="X910" s="275">
        <v>0.75841000000000003</v>
      </c>
      <c r="Y910" s="275">
        <v>1.2596799999999999</v>
      </c>
      <c r="Z910" s="275">
        <v>1.3775999999999999</v>
      </c>
      <c r="AA910" s="275">
        <v>1.61822</v>
      </c>
    </row>
    <row r="911" spans="1:27">
      <c r="A911" s="280"/>
      <c r="B911" s="274"/>
      <c r="C911" s="278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</row>
    <row r="912" spans="1:27">
      <c r="A912" s="280">
        <v>308</v>
      </c>
      <c r="B912" s="274">
        <v>101</v>
      </c>
      <c r="C912" s="278" t="s">
        <v>410</v>
      </c>
      <c r="D912" s="275" t="s">
        <v>434</v>
      </c>
      <c r="E912" s="275" t="s">
        <v>435</v>
      </c>
      <c r="F912" s="275" t="s">
        <v>436</v>
      </c>
      <c r="G912" s="275" t="s">
        <v>437</v>
      </c>
      <c r="H912" s="275" t="s">
        <v>438</v>
      </c>
      <c r="I912" s="275" t="s">
        <v>439</v>
      </c>
      <c r="J912" s="275" t="s">
        <v>440</v>
      </c>
      <c r="K912" s="275" t="s">
        <v>441</v>
      </c>
      <c r="L912" s="275" t="s">
        <v>442</v>
      </c>
      <c r="M912" s="275" t="s">
        <v>443</v>
      </c>
      <c r="N912" s="275" t="s">
        <v>444</v>
      </c>
      <c r="O912" s="275" t="s">
        <v>445</v>
      </c>
      <c r="P912" s="275" t="s">
        <v>446</v>
      </c>
      <c r="Q912" s="275" t="s">
        <v>447</v>
      </c>
      <c r="R912" s="275" t="s">
        <v>451</v>
      </c>
      <c r="S912" s="275" t="s">
        <v>452</v>
      </c>
      <c r="T912" s="275" t="s">
        <v>448</v>
      </c>
      <c r="U912" s="275" t="s">
        <v>449</v>
      </c>
      <c r="V912" s="275" t="s">
        <v>450</v>
      </c>
      <c r="W912" s="275" t="s">
        <v>453</v>
      </c>
      <c r="X912" s="275" t="s">
        <v>454</v>
      </c>
      <c r="Y912" s="275" t="s">
        <v>455</v>
      </c>
      <c r="Z912" s="275" t="s">
        <v>456</v>
      </c>
      <c r="AA912" s="275" t="s">
        <v>457</v>
      </c>
    </row>
    <row r="913" spans="1:27">
      <c r="A913" s="280"/>
      <c r="B913" s="274"/>
      <c r="C913" s="278"/>
      <c r="D913" s="275">
        <v>1.183E-2</v>
      </c>
      <c r="E913" s="275">
        <v>4.8640000000000003E-2</v>
      </c>
      <c r="F913" s="275">
        <v>3.8850000000000003E-2</v>
      </c>
      <c r="G913" s="275">
        <v>5.0360000000000002E-2</v>
      </c>
      <c r="H913" s="275">
        <v>0.12725</v>
      </c>
      <c r="I913" s="275">
        <v>0.11891</v>
      </c>
      <c r="J913" s="275">
        <v>0.13938999999999999</v>
      </c>
      <c r="K913" s="275">
        <v>0.11971999999999999</v>
      </c>
      <c r="L913" s="275">
        <v>0.12559999999999999</v>
      </c>
      <c r="M913" s="275">
        <v>0.27440999999999999</v>
      </c>
      <c r="N913" s="275">
        <v>0.27138000000000001</v>
      </c>
      <c r="O913" s="275">
        <v>0.30920999999999998</v>
      </c>
      <c r="P913" s="275">
        <v>0.30287999999999998</v>
      </c>
      <c r="Q913" s="275">
        <v>0.31383</v>
      </c>
      <c r="R913" s="275">
        <v>0.29637999999999998</v>
      </c>
      <c r="S913" s="275">
        <v>0.30160999999999999</v>
      </c>
      <c r="T913" s="275">
        <v>0.56086999999999998</v>
      </c>
      <c r="U913" s="275">
        <v>0.57776000000000005</v>
      </c>
      <c r="V913" s="275">
        <v>0.65656000000000003</v>
      </c>
      <c r="W913" s="275">
        <v>0.71904999999999997</v>
      </c>
      <c r="X913" s="275">
        <v>0.74685999999999997</v>
      </c>
      <c r="Y913" s="275">
        <v>1.2518100000000001</v>
      </c>
      <c r="Z913" s="275">
        <v>1.37784</v>
      </c>
      <c r="AA913" s="275">
        <v>1.6520999999999999</v>
      </c>
    </row>
    <row r="914" spans="1:27">
      <c r="A914" s="280"/>
      <c r="B914" s="274"/>
      <c r="C914" s="278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</row>
    <row r="915" spans="1:27">
      <c r="A915" s="280">
        <v>309</v>
      </c>
      <c r="B915" s="274">
        <v>101</v>
      </c>
      <c r="C915" s="278" t="s">
        <v>224</v>
      </c>
      <c r="D915" s="275" t="s">
        <v>434</v>
      </c>
      <c r="E915" s="275" t="s">
        <v>435</v>
      </c>
      <c r="F915" s="275" t="s">
        <v>436</v>
      </c>
      <c r="G915" s="275" t="s">
        <v>437</v>
      </c>
      <c r="H915" s="275" t="s">
        <v>438</v>
      </c>
      <c r="I915" s="275" t="s">
        <v>439</v>
      </c>
      <c r="J915" s="275" t="s">
        <v>440</v>
      </c>
      <c r="K915" s="275" t="s">
        <v>441</v>
      </c>
      <c r="L915" s="275" t="s">
        <v>442</v>
      </c>
      <c r="M915" s="275" t="s">
        <v>443</v>
      </c>
      <c r="N915" s="275" t="s">
        <v>444</v>
      </c>
      <c r="O915" s="275" t="s">
        <v>445</v>
      </c>
      <c r="P915" s="275" t="s">
        <v>446</v>
      </c>
      <c r="Q915" s="275" t="s">
        <v>447</v>
      </c>
      <c r="R915" s="275" t="s">
        <v>451</v>
      </c>
      <c r="S915" s="275" t="s">
        <v>452</v>
      </c>
      <c r="T915" s="275" t="s">
        <v>448</v>
      </c>
      <c r="U915" s="275" t="s">
        <v>449</v>
      </c>
      <c r="V915" s="275" t="s">
        <v>450</v>
      </c>
      <c r="W915" s="275" t="s">
        <v>453</v>
      </c>
      <c r="X915" s="275" t="s">
        <v>454</v>
      </c>
      <c r="Y915" s="275" t="s">
        <v>455</v>
      </c>
      <c r="Z915" s="275" t="s">
        <v>456</v>
      </c>
      <c r="AA915" s="275" t="s">
        <v>457</v>
      </c>
    </row>
    <row r="916" spans="1:27">
      <c r="A916" s="280"/>
      <c r="B916" s="274"/>
      <c r="C916" s="278"/>
      <c r="D916" s="275">
        <v>1.183E-2</v>
      </c>
      <c r="E916" s="275">
        <v>4.8640000000000003E-2</v>
      </c>
      <c r="F916" s="275">
        <v>3.8850000000000003E-2</v>
      </c>
      <c r="G916" s="275">
        <v>5.0360000000000002E-2</v>
      </c>
      <c r="H916" s="275">
        <v>0.12725</v>
      </c>
      <c r="I916" s="275">
        <v>0.11891</v>
      </c>
      <c r="J916" s="275">
        <v>0.13938999999999999</v>
      </c>
      <c r="K916" s="275">
        <v>0.11971999999999999</v>
      </c>
      <c r="L916" s="275">
        <v>0.12559999999999999</v>
      </c>
      <c r="M916" s="275">
        <v>0.27440999999999999</v>
      </c>
      <c r="N916" s="275">
        <v>0.27137</v>
      </c>
      <c r="O916" s="275">
        <v>0.30919999999999997</v>
      </c>
      <c r="P916" s="275">
        <v>0.30287999999999998</v>
      </c>
      <c r="Q916" s="275">
        <v>0.31381999999999999</v>
      </c>
      <c r="R916" s="275">
        <v>0.29638999999999999</v>
      </c>
      <c r="S916" s="275">
        <v>0.30160999999999999</v>
      </c>
      <c r="T916" s="275">
        <v>0.56059000000000003</v>
      </c>
      <c r="U916" s="275">
        <v>0.57737000000000005</v>
      </c>
      <c r="V916" s="275">
        <v>0.65580000000000005</v>
      </c>
      <c r="W916" s="275">
        <v>0.71726999999999996</v>
      </c>
      <c r="X916" s="275">
        <v>0.74468999999999996</v>
      </c>
      <c r="Y916" s="275">
        <v>1.2357400000000001</v>
      </c>
      <c r="Z916" s="275">
        <v>1.3506499999999999</v>
      </c>
      <c r="AA916" s="275">
        <v>1.5965100000000001</v>
      </c>
    </row>
    <row r="917" spans="1:27">
      <c r="A917" s="280"/>
      <c r="B917" s="274"/>
      <c r="C917" s="278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</row>
    <row r="918" spans="1:27">
      <c r="A918" s="280">
        <v>310</v>
      </c>
      <c r="B918" s="274">
        <v>102</v>
      </c>
      <c r="C918" s="278" t="s">
        <v>411</v>
      </c>
      <c r="D918" s="275" t="s">
        <v>434</v>
      </c>
      <c r="E918" s="275" t="s">
        <v>435</v>
      </c>
      <c r="F918" s="275" t="s">
        <v>436</v>
      </c>
      <c r="G918" s="275" t="s">
        <v>437</v>
      </c>
      <c r="H918" s="275" t="s">
        <v>438</v>
      </c>
      <c r="I918" s="275" t="s">
        <v>439</v>
      </c>
      <c r="J918" s="275" t="s">
        <v>440</v>
      </c>
      <c r="K918" s="275" t="s">
        <v>441</v>
      </c>
      <c r="L918" s="275" t="s">
        <v>442</v>
      </c>
      <c r="M918" s="275" t="s">
        <v>443</v>
      </c>
      <c r="N918" s="275" t="s">
        <v>444</v>
      </c>
      <c r="O918" s="275" t="s">
        <v>445</v>
      </c>
      <c r="P918" s="275" t="s">
        <v>446</v>
      </c>
      <c r="Q918" s="275" t="s">
        <v>447</v>
      </c>
      <c r="R918" s="275" t="s">
        <v>451</v>
      </c>
      <c r="S918" s="275" t="s">
        <v>452</v>
      </c>
      <c r="T918" s="275" t="s">
        <v>448</v>
      </c>
      <c r="U918" s="275" t="s">
        <v>449</v>
      </c>
      <c r="V918" s="275" t="s">
        <v>450</v>
      </c>
      <c r="W918" s="275" t="s">
        <v>453</v>
      </c>
      <c r="X918" s="275" t="s">
        <v>454</v>
      </c>
      <c r="Y918" s="275" t="s">
        <v>455</v>
      </c>
      <c r="Z918" s="275" t="s">
        <v>456</v>
      </c>
      <c r="AA918" s="275" t="s">
        <v>457</v>
      </c>
    </row>
    <row r="919" spans="1:27">
      <c r="A919" s="280"/>
      <c r="B919" s="274"/>
      <c r="C919" s="278"/>
      <c r="D919" s="275">
        <v>1.163E-2</v>
      </c>
      <c r="E919" s="275">
        <v>4.7829999999999998E-2</v>
      </c>
      <c r="F919" s="275">
        <v>3.8120000000000001E-2</v>
      </c>
      <c r="G919" s="275">
        <v>4.9790000000000001E-2</v>
      </c>
      <c r="H919" s="275">
        <v>0.12523999999999999</v>
      </c>
      <c r="I919" s="275">
        <v>0.11694</v>
      </c>
      <c r="J919" s="275">
        <v>0.13768</v>
      </c>
      <c r="K919" s="275">
        <v>0.11819</v>
      </c>
      <c r="L919" s="275">
        <v>0.12411999999999999</v>
      </c>
      <c r="M919" s="275">
        <v>0.26990999999999998</v>
      </c>
      <c r="N919" s="275">
        <v>0.26673000000000002</v>
      </c>
      <c r="O919" s="275">
        <v>0.30492999999999998</v>
      </c>
      <c r="P919" s="275">
        <v>0.29833999999999999</v>
      </c>
      <c r="Q919" s="275">
        <v>0.30932999999999999</v>
      </c>
      <c r="R919" s="275">
        <v>0.29139999999999999</v>
      </c>
      <c r="S919" s="275">
        <v>0.29663</v>
      </c>
      <c r="T919" s="275">
        <v>0.55040999999999995</v>
      </c>
      <c r="U919" s="275">
        <v>0.56642000000000003</v>
      </c>
      <c r="V919" s="275">
        <v>0.64585999999999999</v>
      </c>
      <c r="W919" s="275">
        <v>0.70576000000000005</v>
      </c>
      <c r="X919" s="275">
        <v>0.73365000000000002</v>
      </c>
      <c r="Y919" s="275">
        <v>1.2280599999999999</v>
      </c>
      <c r="Z919" s="275">
        <v>1.3507800000000001</v>
      </c>
      <c r="AA919" s="275">
        <v>1.6311100000000001</v>
      </c>
    </row>
    <row r="920" spans="1:27">
      <c r="A920" s="280"/>
      <c r="B920" s="274"/>
      <c r="C920" s="278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</row>
    <row r="921" spans="1:27">
      <c r="A921" s="280">
        <v>311</v>
      </c>
      <c r="B921" s="274">
        <v>102</v>
      </c>
      <c r="C921" s="278" t="s">
        <v>225</v>
      </c>
      <c r="D921" s="275" t="s">
        <v>434</v>
      </c>
      <c r="E921" s="275" t="s">
        <v>435</v>
      </c>
      <c r="F921" s="275" t="s">
        <v>436</v>
      </c>
      <c r="G921" s="275" t="s">
        <v>437</v>
      </c>
      <c r="H921" s="275" t="s">
        <v>438</v>
      </c>
      <c r="I921" s="275" t="s">
        <v>439</v>
      </c>
      <c r="J921" s="275" t="s">
        <v>440</v>
      </c>
      <c r="K921" s="275" t="s">
        <v>441</v>
      </c>
      <c r="L921" s="275" t="s">
        <v>442</v>
      </c>
      <c r="M921" s="275" t="s">
        <v>443</v>
      </c>
      <c r="N921" s="275" t="s">
        <v>444</v>
      </c>
      <c r="O921" s="275" t="s">
        <v>445</v>
      </c>
      <c r="P921" s="275" t="s">
        <v>446</v>
      </c>
      <c r="Q921" s="275" t="s">
        <v>447</v>
      </c>
      <c r="R921" s="275" t="s">
        <v>451</v>
      </c>
      <c r="S921" s="275" t="s">
        <v>452</v>
      </c>
      <c r="T921" s="275" t="s">
        <v>448</v>
      </c>
      <c r="U921" s="275" t="s">
        <v>449</v>
      </c>
      <c r="V921" s="275" t="s">
        <v>450</v>
      </c>
      <c r="W921" s="275" t="s">
        <v>453</v>
      </c>
      <c r="X921" s="275" t="s">
        <v>454</v>
      </c>
      <c r="Y921" s="275" t="s">
        <v>455</v>
      </c>
      <c r="Z921" s="275" t="s">
        <v>456</v>
      </c>
      <c r="AA921" s="275" t="s">
        <v>457</v>
      </c>
    </row>
    <row r="922" spans="1:27">
      <c r="A922" s="280"/>
      <c r="B922" s="274"/>
      <c r="C922" s="278"/>
      <c r="D922" s="275">
        <v>1.163E-2</v>
      </c>
      <c r="E922" s="275">
        <v>4.7829999999999998E-2</v>
      </c>
      <c r="F922" s="275">
        <v>3.8120000000000001E-2</v>
      </c>
      <c r="G922" s="275">
        <v>4.9790000000000001E-2</v>
      </c>
      <c r="H922" s="275">
        <v>0.12523999999999999</v>
      </c>
      <c r="I922" s="275">
        <v>0.11694</v>
      </c>
      <c r="J922" s="275">
        <v>0.13768</v>
      </c>
      <c r="K922" s="275">
        <v>0.11819</v>
      </c>
      <c r="L922" s="275">
        <v>0.12411999999999999</v>
      </c>
      <c r="M922" s="275">
        <v>0.26989999999999997</v>
      </c>
      <c r="N922" s="275">
        <v>0.26673000000000002</v>
      </c>
      <c r="O922" s="275">
        <v>0.30492000000000002</v>
      </c>
      <c r="P922" s="275">
        <v>0.29833999999999999</v>
      </c>
      <c r="Q922" s="275">
        <v>0.30931999999999998</v>
      </c>
      <c r="R922" s="275">
        <v>0.29141</v>
      </c>
      <c r="S922" s="275">
        <v>0.29663</v>
      </c>
      <c r="T922" s="275">
        <v>0.55015000000000003</v>
      </c>
      <c r="U922" s="275">
        <v>0.56606000000000001</v>
      </c>
      <c r="V922" s="275">
        <v>0.64512000000000003</v>
      </c>
      <c r="W922" s="275">
        <v>0.70406000000000002</v>
      </c>
      <c r="X922" s="275">
        <v>0.73155999999999999</v>
      </c>
      <c r="Y922" s="275">
        <v>1.2125600000000001</v>
      </c>
      <c r="Z922" s="275">
        <v>1.3245499999999999</v>
      </c>
      <c r="AA922" s="275">
        <v>1.5758000000000001</v>
      </c>
    </row>
    <row r="923" spans="1:27">
      <c r="A923" s="280"/>
      <c r="B923" s="274"/>
      <c r="C923" s="278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</row>
    <row r="924" spans="1:27">
      <c r="A924" s="280">
        <v>312</v>
      </c>
      <c r="B924" s="274">
        <v>103</v>
      </c>
      <c r="C924" s="278" t="s">
        <v>412</v>
      </c>
      <c r="D924" s="275" t="s">
        <v>434</v>
      </c>
      <c r="E924" s="275" t="s">
        <v>435</v>
      </c>
      <c r="F924" s="275" t="s">
        <v>436</v>
      </c>
      <c r="G924" s="275" t="s">
        <v>437</v>
      </c>
      <c r="H924" s="275" t="s">
        <v>438</v>
      </c>
      <c r="I924" s="275" t="s">
        <v>439</v>
      </c>
      <c r="J924" s="275" t="s">
        <v>440</v>
      </c>
      <c r="K924" s="275" t="s">
        <v>441</v>
      </c>
      <c r="L924" s="275" t="s">
        <v>442</v>
      </c>
      <c r="M924" s="275" t="s">
        <v>443</v>
      </c>
      <c r="N924" s="275" t="s">
        <v>444</v>
      </c>
      <c r="O924" s="275" t="s">
        <v>445</v>
      </c>
      <c r="P924" s="275" t="s">
        <v>446</v>
      </c>
      <c r="Q924" s="275" t="s">
        <v>447</v>
      </c>
      <c r="R924" s="275" t="s">
        <v>451</v>
      </c>
      <c r="S924" s="275" t="s">
        <v>452</v>
      </c>
      <c r="T924" s="275" t="s">
        <v>448</v>
      </c>
      <c r="U924" s="275" t="s">
        <v>449</v>
      </c>
      <c r="V924" s="275" t="s">
        <v>450</v>
      </c>
      <c r="W924" s="275" t="s">
        <v>453</v>
      </c>
      <c r="X924" s="275" t="s">
        <v>454</v>
      </c>
      <c r="Y924" s="275" t="s">
        <v>455</v>
      </c>
      <c r="Z924" s="275" t="s">
        <v>456</v>
      </c>
      <c r="AA924" s="275" t="s">
        <v>457</v>
      </c>
    </row>
    <row r="925" spans="1:27">
      <c r="A925" s="280"/>
      <c r="B925" s="274"/>
      <c r="C925" s="278"/>
      <c r="D925" s="275">
        <v>1.145E-2</v>
      </c>
      <c r="E925" s="275">
        <v>4.7030000000000002E-2</v>
      </c>
      <c r="F925" s="275">
        <v>3.7400000000000003E-2</v>
      </c>
      <c r="G925" s="275">
        <v>4.9230000000000003E-2</v>
      </c>
      <c r="H925" s="275">
        <v>0.12325999999999999</v>
      </c>
      <c r="I925" s="275">
        <v>0.115</v>
      </c>
      <c r="J925" s="275">
        <v>0.13602</v>
      </c>
      <c r="K925" s="275">
        <v>0.11669</v>
      </c>
      <c r="L925" s="275">
        <v>0.12267</v>
      </c>
      <c r="M925" s="275">
        <v>0.26549</v>
      </c>
      <c r="N925" s="275">
        <v>0.26218000000000002</v>
      </c>
      <c r="O925" s="275">
        <v>0.30075000000000002</v>
      </c>
      <c r="P925" s="275">
        <v>0.29392000000000001</v>
      </c>
      <c r="Q925" s="275">
        <v>0.30495</v>
      </c>
      <c r="R925" s="275">
        <v>0.28660000000000002</v>
      </c>
      <c r="S925" s="275">
        <v>0.29183999999999999</v>
      </c>
      <c r="T925" s="275">
        <v>0.54000999999999999</v>
      </c>
      <c r="U925" s="275">
        <v>0.55508000000000002</v>
      </c>
      <c r="V925" s="275">
        <v>0.63482000000000005</v>
      </c>
      <c r="W925" s="275">
        <v>0.69138999999999995</v>
      </c>
      <c r="X925" s="275">
        <v>0.71897</v>
      </c>
      <c r="Y925" s="275">
        <v>1.19008</v>
      </c>
      <c r="Z925" s="275">
        <v>1.2991999999999999</v>
      </c>
      <c r="AA925" s="275">
        <v>1.55599</v>
      </c>
    </row>
    <row r="926" spans="1:27">
      <c r="A926" s="280"/>
      <c r="B926" s="274"/>
      <c r="C926" s="278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</row>
    <row r="927" spans="1:27">
      <c r="A927" s="280">
        <v>313</v>
      </c>
      <c r="B927" s="274">
        <v>104</v>
      </c>
      <c r="C927" s="278" t="s">
        <v>413</v>
      </c>
      <c r="D927" s="275" t="s">
        <v>434</v>
      </c>
      <c r="E927" s="275" t="s">
        <v>435</v>
      </c>
      <c r="F927" s="275" t="s">
        <v>436</v>
      </c>
      <c r="G927" s="275" t="s">
        <v>437</v>
      </c>
      <c r="H927" s="275" t="s">
        <v>438</v>
      </c>
      <c r="I927" s="275" t="s">
        <v>439</v>
      </c>
      <c r="J927" s="275" t="s">
        <v>440</v>
      </c>
      <c r="K927" s="275" t="s">
        <v>441</v>
      </c>
      <c r="L927" s="275" t="s">
        <v>442</v>
      </c>
      <c r="M927" s="275" t="s">
        <v>443</v>
      </c>
      <c r="N927" s="275" t="s">
        <v>444</v>
      </c>
      <c r="O927" s="275" t="s">
        <v>445</v>
      </c>
      <c r="P927" s="275" t="s">
        <v>446</v>
      </c>
      <c r="Q927" s="275" t="s">
        <v>447</v>
      </c>
      <c r="R927" s="275" t="s">
        <v>451</v>
      </c>
      <c r="S927" s="275" t="s">
        <v>452</v>
      </c>
      <c r="T927" s="275" t="s">
        <v>448</v>
      </c>
      <c r="U927" s="275" t="s">
        <v>449</v>
      </c>
      <c r="V927" s="275" t="s">
        <v>450</v>
      </c>
      <c r="W927" s="275" t="s">
        <v>453</v>
      </c>
      <c r="X927" s="275" t="s">
        <v>454</v>
      </c>
      <c r="Y927" s="275" t="s">
        <v>455</v>
      </c>
      <c r="Z927" s="275" t="s">
        <v>456</v>
      </c>
      <c r="AA927" s="275" t="s">
        <v>457</v>
      </c>
    </row>
    <row r="928" spans="1:27">
      <c r="A928" s="280"/>
      <c r="B928" s="274"/>
      <c r="C928" s="278"/>
      <c r="D928" s="275">
        <v>1.1259999999999999E-2</v>
      </c>
      <c r="E928" s="275">
        <v>4.6240000000000003E-2</v>
      </c>
      <c r="F928" s="275">
        <v>3.6700000000000003E-2</v>
      </c>
      <c r="G928" s="275">
        <v>4.8680000000000001E-2</v>
      </c>
      <c r="H928" s="275">
        <v>0.12131</v>
      </c>
      <c r="I928" s="275">
        <v>0.11309</v>
      </c>
      <c r="J928" s="275">
        <v>0.13438</v>
      </c>
      <c r="K928" s="275">
        <v>0.11522</v>
      </c>
      <c r="L928" s="275">
        <v>0.12126000000000001</v>
      </c>
      <c r="M928" s="275">
        <v>0.26114999999999999</v>
      </c>
      <c r="N928" s="275">
        <v>0.25770999999999999</v>
      </c>
      <c r="O928" s="275">
        <v>0.29666999999999999</v>
      </c>
      <c r="P928" s="275">
        <v>0.28961999999999999</v>
      </c>
      <c r="Q928" s="275">
        <v>0.30069000000000001</v>
      </c>
      <c r="R928" s="275">
        <v>0.28197</v>
      </c>
      <c r="S928" s="275">
        <v>0.28720000000000001</v>
      </c>
      <c r="T928" s="275">
        <v>0.52983999999999998</v>
      </c>
      <c r="U928" s="275">
        <v>0.54400000000000004</v>
      </c>
      <c r="V928" s="275">
        <v>0.624</v>
      </c>
      <c r="W928" s="275">
        <v>0.67730000000000001</v>
      </c>
      <c r="X928" s="275">
        <v>0.70452999999999999</v>
      </c>
      <c r="Y928" s="275">
        <v>1.1529499999999999</v>
      </c>
      <c r="Z928" s="275">
        <v>1.2501800000000001</v>
      </c>
      <c r="AA928" s="275">
        <v>1.48824</v>
      </c>
    </row>
    <row r="929" spans="1:27">
      <c r="A929" s="280"/>
      <c r="B929" s="274"/>
      <c r="C929" s="278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</row>
    <row r="930" spans="1:27">
      <c r="A930" s="280">
        <v>314</v>
      </c>
      <c r="B930" s="274">
        <v>105</v>
      </c>
      <c r="C930" s="278" t="s">
        <v>414</v>
      </c>
      <c r="D930" s="275" t="s">
        <v>434</v>
      </c>
      <c r="E930" s="275" t="s">
        <v>435</v>
      </c>
      <c r="F930" s="275" t="s">
        <v>436</v>
      </c>
      <c r="G930" s="275" t="s">
        <v>437</v>
      </c>
      <c r="H930" s="275" t="s">
        <v>438</v>
      </c>
      <c r="I930" s="275" t="s">
        <v>439</v>
      </c>
      <c r="J930" s="275" t="s">
        <v>440</v>
      </c>
      <c r="K930" s="275" t="s">
        <v>441</v>
      </c>
      <c r="L930" s="275" t="s">
        <v>442</v>
      </c>
      <c r="M930" s="275" t="s">
        <v>443</v>
      </c>
      <c r="N930" s="275" t="s">
        <v>444</v>
      </c>
      <c r="O930" s="275" t="s">
        <v>445</v>
      </c>
      <c r="P930" s="275" t="s">
        <v>446</v>
      </c>
      <c r="Q930" s="275" t="s">
        <v>447</v>
      </c>
      <c r="R930" s="275" t="s">
        <v>451</v>
      </c>
      <c r="S930" s="275" t="s">
        <v>452</v>
      </c>
      <c r="T930" s="275" t="s">
        <v>448</v>
      </c>
      <c r="U930" s="275" t="s">
        <v>449</v>
      </c>
      <c r="V930" s="275" t="s">
        <v>450</v>
      </c>
      <c r="W930" s="275" t="s">
        <v>453</v>
      </c>
      <c r="X930" s="275" t="s">
        <v>454</v>
      </c>
      <c r="Y930" s="275" t="s">
        <v>455</v>
      </c>
      <c r="Z930" s="275" t="s">
        <v>456</v>
      </c>
      <c r="AA930" s="275" t="s">
        <v>457</v>
      </c>
    </row>
    <row r="931" spans="1:27">
      <c r="A931" s="280"/>
      <c r="B931" s="274"/>
      <c r="C931" s="278"/>
      <c r="D931" s="275">
        <v>1.107E-2</v>
      </c>
      <c r="E931" s="275">
        <v>4.546E-2</v>
      </c>
      <c r="F931" s="275">
        <v>3.5999999999999997E-2</v>
      </c>
      <c r="G931" s="275">
        <v>4.8140000000000002E-2</v>
      </c>
      <c r="H931" s="275">
        <v>0.11940000000000001</v>
      </c>
      <c r="I931" s="275">
        <v>0.11119999999999999</v>
      </c>
      <c r="J931" s="275">
        <v>0.13278000000000001</v>
      </c>
      <c r="K931" s="275">
        <v>0.11378000000000001</v>
      </c>
      <c r="L931" s="275">
        <v>0.11988</v>
      </c>
      <c r="M931" s="275">
        <v>0.25690000000000002</v>
      </c>
      <c r="N931" s="275">
        <v>0.25333</v>
      </c>
      <c r="O931" s="275">
        <v>0.29269000000000001</v>
      </c>
      <c r="P931" s="275">
        <v>0.28543000000000002</v>
      </c>
      <c r="Q931" s="275">
        <v>0.29654000000000003</v>
      </c>
      <c r="R931" s="275">
        <v>0.27748</v>
      </c>
      <c r="S931" s="275">
        <v>0.28272000000000003</v>
      </c>
      <c r="T931" s="275">
        <v>0.51988999999999996</v>
      </c>
      <c r="U931" s="275">
        <v>0.53317000000000003</v>
      </c>
      <c r="V931" s="275">
        <v>0.61339999999999995</v>
      </c>
      <c r="W931" s="275">
        <v>0.66354999999999997</v>
      </c>
      <c r="X931" s="275">
        <v>0.69040999999999997</v>
      </c>
      <c r="Y931" s="275">
        <v>1.11727</v>
      </c>
      <c r="Z931" s="275">
        <v>1.20427</v>
      </c>
      <c r="AA931" s="275">
        <v>1.4274</v>
      </c>
    </row>
    <row r="932" spans="1:27">
      <c r="A932" s="280"/>
      <c r="B932" s="274"/>
      <c r="C932" s="278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</row>
    <row r="933" spans="1:27">
      <c r="A933" s="280">
        <v>315</v>
      </c>
      <c r="B933" s="274">
        <v>106</v>
      </c>
      <c r="C933" s="278" t="s">
        <v>415</v>
      </c>
      <c r="D933" s="275" t="s">
        <v>434</v>
      </c>
      <c r="E933" s="275" t="s">
        <v>435</v>
      </c>
      <c r="F933" s="275" t="s">
        <v>436</v>
      </c>
      <c r="G933" s="275" t="s">
        <v>437</v>
      </c>
      <c r="H933" s="275" t="s">
        <v>438</v>
      </c>
      <c r="I933" s="275" t="s">
        <v>439</v>
      </c>
      <c r="J933" s="275" t="s">
        <v>440</v>
      </c>
      <c r="K933" s="275" t="s">
        <v>441</v>
      </c>
      <c r="L933" s="275" t="s">
        <v>442</v>
      </c>
      <c r="M933" s="275" t="s">
        <v>443</v>
      </c>
      <c r="N933" s="275" t="s">
        <v>444</v>
      </c>
      <c r="O933" s="275" t="s">
        <v>445</v>
      </c>
      <c r="P933" s="275" t="s">
        <v>446</v>
      </c>
      <c r="Q933" s="275" t="s">
        <v>447</v>
      </c>
      <c r="R933" s="275" t="s">
        <v>451</v>
      </c>
      <c r="S933" s="275" t="s">
        <v>452</v>
      </c>
      <c r="T933" s="275" t="s">
        <v>448</v>
      </c>
      <c r="U933" s="275" t="s">
        <v>449</v>
      </c>
      <c r="V933" s="275" t="s">
        <v>450</v>
      </c>
      <c r="W933" s="275" t="s">
        <v>453</v>
      </c>
      <c r="X933" s="275" t="s">
        <v>454</v>
      </c>
      <c r="Y933" s="275" t="s">
        <v>455</v>
      </c>
      <c r="Z933" s="275" t="s">
        <v>456</v>
      </c>
      <c r="AA933" s="275" t="s">
        <v>457</v>
      </c>
    </row>
    <row r="934" spans="1:27">
      <c r="A934" s="280"/>
      <c r="B934" s="274"/>
      <c r="C934" s="278"/>
      <c r="D934" s="275">
        <v>1.089E-2</v>
      </c>
      <c r="E934" s="275">
        <v>4.4690000000000001E-2</v>
      </c>
      <c r="F934" s="275">
        <v>3.5299999999999998E-2</v>
      </c>
      <c r="G934" s="275">
        <v>4.7620000000000003E-2</v>
      </c>
      <c r="H934" s="275">
        <v>0.11751</v>
      </c>
      <c r="I934" s="275">
        <v>0.10935</v>
      </c>
      <c r="J934" s="275">
        <v>0.13122</v>
      </c>
      <c r="K934" s="275">
        <v>0.11237999999999999</v>
      </c>
      <c r="L934" s="275">
        <v>0.11852</v>
      </c>
      <c r="M934" s="275">
        <v>0.25273000000000001</v>
      </c>
      <c r="N934" s="275">
        <v>0.24903</v>
      </c>
      <c r="O934" s="275">
        <v>0.2888</v>
      </c>
      <c r="P934" s="275">
        <v>0.28134999999999999</v>
      </c>
      <c r="Q934" s="275">
        <v>0.29249999999999998</v>
      </c>
      <c r="R934" s="275">
        <v>0.27312999999999998</v>
      </c>
      <c r="S934" s="275">
        <v>0.27838000000000002</v>
      </c>
      <c r="T934" s="275">
        <v>0.51017000000000001</v>
      </c>
      <c r="U934" s="275">
        <v>0.52259999999999995</v>
      </c>
      <c r="V934" s="275">
        <v>0.60306000000000004</v>
      </c>
      <c r="W934" s="275">
        <v>0.65019000000000005</v>
      </c>
      <c r="X934" s="275">
        <v>0.67667999999999995</v>
      </c>
      <c r="Y934" s="275">
        <v>1.0832599999999999</v>
      </c>
      <c r="Z934" s="275">
        <v>1.16147</v>
      </c>
      <c r="AA934" s="275">
        <v>1.37252</v>
      </c>
    </row>
    <row r="935" spans="1:27">
      <c r="A935" s="280"/>
      <c r="B935" s="274"/>
      <c r="C935" s="278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</row>
    <row r="936" spans="1:27">
      <c r="A936" s="280">
        <v>316</v>
      </c>
      <c r="B936" s="274">
        <v>107</v>
      </c>
      <c r="C936" s="278" t="s">
        <v>416</v>
      </c>
      <c r="D936" s="275" t="s">
        <v>434</v>
      </c>
      <c r="E936" s="275" t="s">
        <v>435</v>
      </c>
      <c r="F936" s="275" t="s">
        <v>436</v>
      </c>
      <c r="G936" s="275" t="s">
        <v>437</v>
      </c>
      <c r="H936" s="275" t="s">
        <v>438</v>
      </c>
      <c r="I936" s="275" t="s">
        <v>439</v>
      </c>
      <c r="J936" s="275" t="s">
        <v>440</v>
      </c>
      <c r="K936" s="275" t="s">
        <v>441</v>
      </c>
      <c r="L936" s="275" t="s">
        <v>442</v>
      </c>
      <c r="M936" s="275" t="s">
        <v>443</v>
      </c>
      <c r="N936" s="275" t="s">
        <v>444</v>
      </c>
      <c r="O936" s="275" t="s">
        <v>445</v>
      </c>
      <c r="P936" s="275" t="s">
        <v>446</v>
      </c>
      <c r="Q936" s="275" t="s">
        <v>447</v>
      </c>
      <c r="R936" s="275" t="s">
        <v>451</v>
      </c>
      <c r="S936" s="275" t="s">
        <v>452</v>
      </c>
      <c r="T936" s="275" t="s">
        <v>448</v>
      </c>
      <c r="U936" s="275" t="s">
        <v>449</v>
      </c>
      <c r="V936" s="275" t="s">
        <v>450</v>
      </c>
      <c r="W936" s="275" t="s">
        <v>453</v>
      </c>
      <c r="X936" s="275" t="s">
        <v>454</v>
      </c>
      <c r="Y936" s="275" t="s">
        <v>455</v>
      </c>
      <c r="Z936" s="275" t="s">
        <v>456</v>
      </c>
      <c r="AA936" s="275" t="s">
        <v>457</v>
      </c>
    </row>
    <row r="937" spans="1:27">
      <c r="A937" s="280"/>
      <c r="B937" s="274"/>
      <c r="C937" s="278"/>
      <c r="D937" s="275">
        <v>1.0710000000000001E-2</v>
      </c>
      <c r="E937" s="275">
        <v>4.3929999999999997E-2</v>
      </c>
      <c r="F937" s="275">
        <v>3.4619999999999998E-2</v>
      </c>
      <c r="G937" s="275">
        <v>4.7100000000000003E-2</v>
      </c>
      <c r="H937" s="275">
        <v>0.11565</v>
      </c>
      <c r="I937" s="275">
        <v>0.10752</v>
      </c>
      <c r="J937" s="275">
        <v>0.12967999999999999</v>
      </c>
      <c r="K937" s="275">
        <v>0.111</v>
      </c>
      <c r="L937" s="275">
        <v>0.1172</v>
      </c>
      <c r="M937" s="275">
        <v>0.24862999999999999</v>
      </c>
      <c r="N937" s="275">
        <v>0.24482000000000001</v>
      </c>
      <c r="O937" s="275">
        <v>0.28499999999999998</v>
      </c>
      <c r="P937" s="275">
        <v>0.27737000000000001</v>
      </c>
      <c r="Q937" s="275">
        <v>0.28855999999999998</v>
      </c>
      <c r="R937" s="275">
        <v>0.26891999999999999</v>
      </c>
      <c r="S937" s="275">
        <v>0.27417999999999998</v>
      </c>
      <c r="T937" s="275">
        <v>0.50066999999999995</v>
      </c>
      <c r="U937" s="275">
        <v>0.51227999999999996</v>
      </c>
      <c r="V937" s="275">
        <v>0.59296000000000004</v>
      </c>
      <c r="W937" s="275">
        <v>0.63722999999999996</v>
      </c>
      <c r="X937" s="275">
        <v>0.66335999999999995</v>
      </c>
      <c r="Y937" s="275">
        <v>1.05098</v>
      </c>
      <c r="Z937" s="275">
        <v>1.1215999999999999</v>
      </c>
      <c r="AA937" s="275">
        <v>1.32274</v>
      </c>
    </row>
    <row r="938" spans="1:27">
      <c r="A938" s="280"/>
      <c r="B938" s="274"/>
      <c r="C938" s="278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</row>
    <row r="939" spans="1:27">
      <c r="A939" s="280">
        <v>317</v>
      </c>
      <c r="B939" s="274">
        <v>108</v>
      </c>
      <c r="C939" s="278" t="s">
        <v>417</v>
      </c>
      <c r="D939" s="275" t="s">
        <v>434</v>
      </c>
      <c r="E939" s="275" t="s">
        <v>435</v>
      </c>
      <c r="F939" s="275" t="s">
        <v>436</v>
      </c>
      <c r="G939" s="275" t="s">
        <v>437</v>
      </c>
      <c r="H939" s="275" t="s">
        <v>438</v>
      </c>
      <c r="I939" s="275" t="s">
        <v>439</v>
      </c>
      <c r="J939" s="275" t="s">
        <v>440</v>
      </c>
      <c r="K939" s="275" t="s">
        <v>441</v>
      </c>
      <c r="L939" s="275" t="s">
        <v>442</v>
      </c>
      <c r="M939" s="275" t="s">
        <v>443</v>
      </c>
      <c r="N939" s="275" t="s">
        <v>444</v>
      </c>
      <c r="O939" s="275" t="s">
        <v>445</v>
      </c>
      <c r="P939" s="275" t="s">
        <v>446</v>
      </c>
      <c r="Q939" s="275" t="s">
        <v>447</v>
      </c>
      <c r="R939" s="275" t="s">
        <v>451</v>
      </c>
      <c r="S939" s="275" t="s">
        <v>452</v>
      </c>
      <c r="T939" s="275" t="s">
        <v>448</v>
      </c>
      <c r="U939" s="275" t="s">
        <v>449</v>
      </c>
      <c r="V939" s="275" t="s">
        <v>450</v>
      </c>
      <c r="W939" s="275" t="s">
        <v>453</v>
      </c>
      <c r="X939" s="275" t="s">
        <v>454</v>
      </c>
      <c r="Y939" s="275" t="s">
        <v>455</v>
      </c>
      <c r="Z939" s="275" t="s">
        <v>456</v>
      </c>
      <c r="AA939" s="275" t="s">
        <v>457</v>
      </c>
    </row>
    <row r="940" spans="1:27">
      <c r="A940" s="280"/>
      <c r="B940" s="274"/>
      <c r="C940" s="278"/>
      <c r="D940" s="275">
        <v>1.0529999999999999E-2</v>
      </c>
      <c r="E940" s="275">
        <v>4.3180000000000003E-2</v>
      </c>
      <c r="F940" s="275">
        <v>3.3939999999999998E-2</v>
      </c>
      <c r="G940" s="275">
        <v>4.6589999999999999E-2</v>
      </c>
      <c r="H940" s="275">
        <v>0.11380999999999999</v>
      </c>
      <c r="I940" s="275">
        <v>0.10571999999999999</v>
      </c>
      <c r="J940" s="275">
        <v>0.12817999999999999</v>
      </c>
      <c r="K940" s="275">
        <v>0.10965</v>
      </c>
      <c r="L940" s="275">
        <v>0.1159</v>
      </c>
      <c r="M940" s="275">
        <v>0.24460999999999999</v>
      </c>
      <c r="N940" s="275">
        <v>0.24067</v>
      </c>
      <c r="O940" s="275">
        <v>0.28127999999999997</v>
      </c>
      <c r="P940" s="275">
        <v>0.27349000000000001</v>
      </c>
      <c r="Q940" s="275">
        <v>0.28471999999999997</v>
      </c>
      <c r="R940" s="275">
        <v>0.26484000000000002</v>
      </c>
      <c r="S940" s="275">
        <v>0.27011000000000002</v>
      </c>
      <c r="T940" s="275">
        <v>0.49137999999999998</v>
      </c>
      <c r="U940" s="275">
        <v>0.50219999999999998</v>
      </c>
      <c r="V940" s="275">
        <v>0.58311999999999997</v>
      </c>
      <c r="W940" s="275">
        <v>0.62468999999999997</v>
      </c>
      <c r="X940" s="275">
        <v>0.65046000000000004</v>
      </c>
      <c r="Y940" s="275">
        <v>1.02037</v>
      </c>
      <c r="Z940" s="275">
        <v>1.08439</v>
      </c>
      <c r="AA940" s="275">
        <v>1.2773099999999999</v>
      </c>
    </row>
    <row r="941" spans="1:27">
      <c r="A941" s="280"/>
      <c r="B941" s="274"/>
      <c r="C941" s="278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</row>
    <row r="942" spans="1:27">
      <c r="A942" s="280">
        <v>318</v>
      </c>
      <c r="B942" s="274">
        <v>112</v>
      </c>
      <c r="C942" s="278" t="s">
        <v>418</v>
      </c>
      <c r="D942" s="275" t="s">
        <v>434</v>
      </c>
      <c r="E942" s="275" t="s">
        <v>435</v>
      </c>
      <c r="F942" s="275" t="s">
        <v>436</v>
      </c>
      <c r="G942" s="275" t="s">
        <v>437</v>
      </c>
      <c r="H942" s="275" t="s">
        <v>438</v>
      </c>
      <c r="I942" s="275" t="s">
        <v>439</v>
      </c>
      <c r="J942" s="275" t="s">
        <v>440</v>
      </c>
      <c r="K942" s="275" t="s">
        <v>441</v>
      </c>
      <c r="L942" s="275" t="s">
        <v>442</v>
      </c>
      <c r="M942" s="275" t="s">
        <v>443</v>
      </c>
      <c r="N942" s="275" t="s">
        <v>444</v>
      </c>
      <c r="O942" s="275" t="s">
        <v>445</v>
      </c>
      <c r="P942" s="275" t="s">
        <v>446</v>
      </c>
      <c r="Q942" s="275" t="s">
        <v>447</v>
      </c>
      <c r="R942" s="275" t="s">
        <v>451</v>
      </c>
      <c r="S942" s="275" t="s">
        <v>452</v>
      </c>
      <c r="T942" s="275" t="s">
        <v>448</v>
      </c>
      <c r="U942" s="275" t="s">
        <v>449</v>
      </c>
      <c r="V942" s="275" t="s">
        <v>450</v>
      </c>
      <c r="W942" s="275" t="s">
        <v>453</v>
      </c>
      <c r="X942" s="275" t="s">
        <v>454</v>
      </c>
      <c r="Y942" s="275" t="s">
        <v>455</v>
      </c>
      <c r="Z942" s="275" t="s">
        <v>456</v>
      </c>
      <c r="AA942" s="275" t="s">
        <v>457</v>
      </c>
    </row>
    <row r="943" spans="1:27">
      <c r="A943" s="280"/>
      <c r="B943" s="274"/>
      <c r="C943" s="278"/>
      <c r="D943" s="275">
        <v>9.8399999999999998E-3</v>
      </c>
      <c r="E943" s="275">
        <v>4.027E-2</v>
      </c>
      <c r="F943" s="275">
        <v>3.1289999999999998E-2</v>
      </c>
      <c r="G943" s="275">
        <v>4.4650000000000002E-2</v>
      </c>
      <c r="H943" s="275">
        <v>0.10673000000000001</v>
      </c>
      <c r="I943" s="275">
        <v>9.8729999999999998E-2</v>
      </c>
      <c r="J943" s="275">
        <v>0.12246</v>
      </c>
      <c r="K943" s="275">
        <v>0.10453</v>
      </c>
      <c r="L943" s="275">
        <v>0.11099000000000001</v>
      </c>
      <c r="M943" s="275">
        <v>0.22925000000000001</v>
      </c>
      <c r="N943" s="275">
        <v>0.22483</v>
      </c>
      <c r="O943" s="275">
        <v>0.26732</v>
      </c>
      <c r="P943" s="275">
        <v>0.25890000000000002</v>
      </c>
      <c r="Q943" s="275">
        <v>0.27034000000000002</v>
      </c>
      <c r="R943" s="275">
        <v>0.24979999999999999</v>
      </c>
      <c r="S943" s="275">
        <v>0.25512000000000001</v>
      </c>
      <c r="T943" s="275">
        <v>0.45672000000000001</v>
      </c>
      <c r="U943" s="275">
        <v>0.46453</v>
      </c>
      <c r="V943" s="275">
        <v>0.54696</v>
      </c>
      <c r="W943" s="275">
        <v>0.57942000000000005</v>
      </c>
      <c r="X943" s="275">
        <v>0.60450000000000004</v>
      </c>
      <c r="Y943" s="275">
        <v>0.94413999999999998</v>
      </c>
      <c r="Z943" s="275">
        <v>1.00667</v>
      </c>
      <c r="AA943" s="275">
        <v>1.2336100000000001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6486-5FF6-4409-B7DA-79719B083918}">
  <dimension ref="A1:K958"/>
  <sheetViews>
    <sheetView workbookViewId="0">
      <selection activeCell="A4" sqref="A4:J4"/>
    </sheetView>
  </sheetViews>
  <sheetFormatPr defaultRowHeight="15"/>
  <cols>
    <col min="1" max="1" width="9.140625" style="264"/>
    <col min="2" max="2" width="9.140625" style="39"/>
    <col min="3" max="3" width="9.140625" style="38"/>
  </cols>
  <sheetData>
    <row r="1" spans="1:11">
      <c r="A1" s="281" t="s">
        <v>467</v>
      </c>
      <c r="B1" s="266"/>
      <c r="C1" s="266"/>
      <c r="D1" s="267"/>
      <c r="E1" s="267"/>
      <c r="F1" s="267"/>
      <c r="G1" s="267"/>
    </row>
    <row r="2" spans="1:11">
      <c r="A2" s="266"/>
      <c r="B2" s="266" t="s">
        <v>432</v>
      </c>
      <c r="C2" s="266"/>
      <c r="D2" s="267"/>
      <c r="E2" s="267"/>
      <c r="F2" s="267"/>
      <c r="G2" s="267"/>
    </row>
    <row r="4" spans="1:11">
      <c r="A4" s="269" t="s">
        <v>286</v>
      </c>
      <c r="B4" s="270" t="s">
        <v>0</v>
      </c>
      <c r="C4" s="276" t="s">
        <v>421</v>
      </c>
      <c r="D4" s="272" t="s">
        <v>433</v>
      </c>
      <c r="E4" s="272" t="s">
        <v>433</v>
      </c>
      <c r="F4" s="272" t="s">
        <v>433</v>
      </c>
      <c r="G4" s="272" t="s">
        <v>433</v>
      </c>
      <c r="H4" s="272" t="s">
        <v>433</v>
      </c>
      <c r="I4" s="272" t="s">
        <v>433</v>
      </c>
      <c r="J4" s="272" t="s">
        <v>433</v>
      </c>
      <c r="K4" s="264"/>
    </row>
    <row r="5" spans="1:11">
      <c r="A5" s="273"/>
      <c r="B5" s="274"/>
      <c r="C5" s="278"/>
      <c r="D5" s="275"/>
      <c r="E5" s="275"/>
      <c r="F5" s="275"/>
      <c r="G5" s="275"/>
      <c r="H5" s="275"/>
      <c r="I5" s="275"/>
      <c r="J5" s="275"/>
      <c r="K5" s="264"/>
    </row>
    <row r="6" spans="1:11">
      <c r="A6" s="273">
        <v>1</v>
      </c>
      <c r="B6" s="274">
        <v>3</v>
      </c>
      <c r="C6" s="278" t="s">
        <v>2</v>
      </c>
      <c r="D6" s="275" t="s">
        <v>434</v>
      </c>
      <c r="E6" s="275"/>
      <c r="F6" s="275"/>
      <c r="G6" s="275"/>
      <c r="H6" s="275"/>
      <c r="I6" s="275"/>
      <c r="J6" s="275"/>
      <c r="K6" s="264"/>
    </row>
    <row r="7" spans="1:11">
      <c r="A7" s="273"/>
      <c r="B7" s="274"/>
      <c r="C7" s="278"/>
      <c r="D7" s="275">
        <v>0.57230999999999999</v>
      </c>
      <c r="E7" s="275"/>
      <c r="F7" s="275"/>
      <c r="G7" s="275"/>
      <c r="H7" s="275"/>
      <c r="I7" s="275"/>
      <c r="J7" s="275"/>
      <c r="K7" s="264"/>
    </row>
    <row r="8" spans="1:11">
      <c r="A8" s="273"/>
      <c r="B8" s="274"/>
      <c r="C8" s="278"/>
      <c r="D8" s="275"/>
      <c r="E8" s="275"/>
      <c r="F8" s="275"/>
      <c r="G8" s="275"/>
      <c r="H8" s="275"/>
      <c r="I8" s="275"/>
      <c r="J8" s="275"/>
      <c r="K8" s="264"/>
    </row>
    <row r="9" spans="1:11">
      <c r="A9" s="273">
        <v>2</v>
      </c>
      <c r="B9" s="274">
        <v>4</v>
      </c>
      <c r="C9" s="278" t="s">
        <v>298</v>
      </c>
      <c r="D9" s="275" t="s">
        <v>434</v>
      </c>
      <c r="E9" s="275"/>
      <c r="F9" s="275"/>
      <c r="G9" s="275"/>
      <c r="H9" s="275"/>
      <c r="I9" s="275"/>
      <c r="J9" s="275"/>
      <c r="K9" s="264"/>
    </row>
    <row r="10" spans="1:11">
      <c r="A10" s="273"/>
      <c r="B10" s="274"/>
      <c r="C10" s="278"/>
      <c r="D10" s="275">
        <v>0.41405999999999998</v>
      </c>
      <c r="E10" s="275"/>
      <c r="F10" s="275"/>
      <c r="G10" s="275"/>
      <c r="H10" s="275"/>
      <c r="I10" s="275"/>
      <c r="J10" s="275"/>
      <c r="K10" s="264"/>
    </row>
    <row r="11" spans="1:11">
      <c r="A11" s="273"/>
      <c r="B11" s="274"/>
      <c r="C11" s="278"/>
      <c r="D11" s="275"/>
      <c r="E11" s="275"/>
      <c r="F11" s="275"/>
      <c r="G11" s="275"/>
      <c r="H11" s="275"/>
      <c r="I11" s="275"/>
      <c r="J11" s="275"/>
      <c r="K11" s="264"/>
    </row>
    <row r="12" spans="1:11">
      <c r="A12" s="273">
        <v>3</v>
      </c>
      <c r="B12" s="274">
        <v>5</v>
      </c>
      <c r="C12" s="278" t="s">
        <v>3</v>
      </c>
      <c r="D12" s="275" t="s">
        <v>435</v>
      </c>
      <c r="E12" s="275"/>
      <c r="F12" s="275"/>
      <c r="G12" s="275"/>
      <c r="H12" s="275"/>
      <c r="I12" s="275"/>
      <c r="J12" s="275"/>
      <c r="K12" s="264"/>
    </row>
    <row r="13" spans="1:11">
      <c r="A13" s="273"/>
      <c r="B13" s="274"/>
      <c r="C13" s="278"/>
      <c r="D13" s="275">
        <v>1.7976399999999999</v>
      </c>
      <c r="E13" s="275"/>
      <c r="F13" s="275"/>
      <c r="G13" s="275"/>
      <c r="H13" s="275"/>
      <c r="I13" s="275"/>
      <c r="J13" s="275"/>
      <c r="K13" s="264"/>
    </row>
    <row r="14" spans="1:11">
      <c r="A14" s="273"/>
      <c r="B14" s="274"/>
      <c r="C14" s="278"/>
      <c r="D14" s="275"/>
      <c r="E14" s="275"/>
      <c r="F14" s="275"/>
      <c r="G14" s="275"/>
      <c r="H14" s="275"/>
      <c r="I14" s="275"/>
      <c r="J14" s="275"/>
      <c r="K14" s="264"/>
    </row>
    <row r="15" spans="1:11">
      <c r="A15" s="273">
        <v>4</v>
      </c>
      <c r="B15" s="274">
        <v>5</v>
      </c>
      <c r="C15" s="278" t="s">
        <v>4</v>
      </c>
      <c r="D15" s="275" t="s">
        <v>435</v>
      </c>
      <c r="E15" s="275"/>
      <c r="F15" s="275"/>
      <c r="G15" s="275"/>
      <c r="H15" s="275"/>
      <c r="I15" s="275"/>
      <c r="J15" s="275"/>
      <c r="K15" s="264"/>
    </row>
    <row r="16" spans="1:11">
      <c r="A16" s="273"/>
      <c r="B16" s="274"/>
      <c r="C16" s="278"/>
      <c r="D16" s="275">
        <v>1.6357999999999999</v>
      </c>
      <c r="E16" s="275"/>
      <c r="F16" s="275"/>
      <c r="G16" s="275"/>
      <c r="H16" s="275"/>
      <c r="I16" s="275"/>
      <c r="J16" s="275"/>
      <c r="K16" s="264"/>
    </row>
    <row r="17" spans="1:11">
      <c r="A17" s="273"/>
      <c r="B17" s="274"/>
      <c r="C17" s="278"/>
      <c r="D17" s="275"/>
      <c r="E17" s="275"/>
      <c r="F17" s="275"/>
      <c r="G17" s="275"/>
      <c r="H17" s="275"/>
      <c r="I17" s="275"/>
      <c r="J17" s="275"/>
      <c r="K17" s="264"/>
    </row>
    <row r="18" spans="1:11">
      <c r="A18" s="273">
        <v>5</v>
      </c>
      <c r="B18" s="274">
        <v>5</v>
      </c>
      <c r="C18" s="278" t="s">
        <v>5</v>
      </c>
      <c r="D18" s="275" t="s">
        <v>434</v>
      </c>
      <c r="E18" s="275"/>
      <c r="F18" s="275"/>
      <c r="G18" s="275"/>
      <c r="H18" s="275"/>
      <c r="I18" s="275"/>
      <c r="J18" s="275"/>
      <c r="K18" s="264"/>
    </row>
    <row r="19" spans="1:11">
      <c r="A19" s="273"/>
      <c r="B19" s="274"/>
      <c r="C19" s="278"/>
      <c r="D19" s="275">
        <v>0.32438</v>
      </c>
      <c r="E19" s="275"/>
      <c r="F19" s="275"/>
      <c r="G19" s="275"/>
      <c r="H19" s="275"/>
      <c r="I19" s="275"/>
      <c r="J19" s="275"/>
      <c r="K19" s="264"/>
    </row>
    <row r="20" spans="1:11">
      <c r="A20" s="273"/>
      <c r="B20" s="274"/>
      <c r="C20" s="278"/>
      <c r="D20" s="275"/>
      <c r="E20" s="275"/>
      <c r="F20" s="275"/>
      <c r="G20" s="275"/>
      <c r="H20" s="275"/>
      <c r="I20" s="275"/>
      <c r="J20" s="275"/>
      <c r="K20" s="264"/>
    </row>
    <row r="21" spans="1:11">
      <c r="A21" s="273">
        <v>6</v>
      </c>
      <c r="B21" s="274">
        <v>6</v>
      </c>
      <c r="C21" s="278" t="s">
        <v>6</v>
      </c>
      <c r="D21" s="275" t="s">
        <v>435</v>
      </c>
      <c r="E21" s="275" t="s">
        <v>436</v>
      </c>
      <c r="F21" s="275" t="s">
        <v>437</v>
      </c>
      <c r="G21" s="275"/>
      <c r="H21" s="275"/>
      <c r="I21" s="275"/>
      <c r="J21" s="275"/>
      <c r="K21" s="264"/>
    </row>
    <row r="22" spans="1:11">
      <c r="A22" s="273"/>
      <c r="B22" s="274"/>
      <c r="C22" s="278"/>
      <c r="D22" s="275">
        <v>1.4747600000000001</v>
      </c>
      <c r="E22" s="275">
        <v>1.47149</v>
      </c>
      <c r="F22" s="275">
        <v>1.4721</v>
      </c>
      <c r="G22" s="275"/>
      <c r="H22" s="275"/>
      <c r="I22" s="275"/>
      <c r="J22" s="275"/>
      <c r="K22" s="264"/>
    </row>
    <row r="23" spans="1:11">
      <c r="A23" s="273"/>
      <c r="B23" s="274"/>
      <c r="C23" s="278"/>
      <c r="D23" s="275"/>
      <c r="E23" s="275"/>
      <c r="F23" s="275"/>
      <c r="G23" s="275"/>
      <c r="H23" s="275"/>
      <c r="I23" s="275"/>
      <c r="J23" s="275"/>
      <c r="K23" s="264"/>
    </row>
    <row r="24" spans="1:11">
      <c r="A24" s="273">
        <v>7</v>
      </c>
      <c r="B24" s="274">
        <v>6</v>
      </c>
      <c r="C24" s="278" t="s">
        <v>7</v>
      </c>
      <c r="D24" s="275" t="s">
        <v>435</v>
      </c>
      <c r="E24" s="275"/>
      <c r="F24" s="275"/>
      <c r="G24" s="275"/>
      <c r="H24" s="275"/>
      <c r="I24" s="275"/>
      <c r="J24" s="275"/>
      <c r="K24" s="264"/>
    </row>
    <row r="25" spans="1:11">
      <c r="A25" s="273"/>
      <c r="B25" s="274"/>
      <c r="C25" s="278"/>
      <c r="D25" s="275">
        <v>1.3712599999999999</v>
      </c>
      <c r="E25" s="275"/>
      <c r="F25" s="275"/>
      <c r="G25" s="275"/>
      <c r="H25" s="275"/>
      <c r="I25" s="275"/>
      <c r="J25" s="275"/>
      <c r="K25" s="264"/>
    </row>
    <row r="26" spans="1:11">
      <c r="A26" s="273"/>
      <c r="B26" s="274"/>
      <c r="C26" s="278"/>
      <c r="D26" s="275"/>
      <c r="E26" s="275"/>
      <c r="F26" s="275"/>
      <c r="G26" s="275"/>
      <c r="H26" s="275"/>
      <c r="I26" s="275"/>
      <c r="J26" s="275"/>
      <c r="K26" s="264"/>
    </row>
    <row r="27" spans="1:11">
      <c r="A27" s="273">
        <v>8</v>
      </c>
      <c r="B27" s="274">
        <v>6</v>
      </c>
      <c r="C27" s="278" t="s">
        <v>8</v>
      </c>
      <c r="D27" s="275" t="s">
        <v>435</v>
      </c>
      <c r="E27" s="275"/>
      <c r="F27" s="275"/>
      <c r="G27" s="275"/>
      <c r="H27" s="275"/>
      <c r="I27" s="275"/>
      <c r="J27" s="275"/>
      <c r="K27" s="264"/>
    </row>
    <row r="28" spans="1:11">
      <c r="A28" s="273"/>
      <c r="B28" s="274"/>
      <c r="C28" s="278"/>
      <c r="D28" s="275">
        <v>1.27955</v>
      </c>
      <c r="E28" s="275"/>
      <c r="F28" s="275"/>
      <c r="G28" s="275"/>
      <c r="H28" s="275"/>
      <c r="I28" s="275"/>
      <c r="J28" s="275"/>
      <c r="K28" s="264"/>
    </row>
    <row r="29" spans="1:11">
      <c r="A29" s="273"/>
      <c r="B29" s="274"/>
      <c r="C29" s="278"/>
      <c r="D29" s="275"/>
      <c r="E29" s="275"/>
      <c r="F29" s="275"/>
      <c r="G29" s="275"/>
      <c r="H29" s="275"/>
      <c r="I29" s="275"/>
      <c r="J29" s="275"/>
      <c r="K29" s="264"/>
    </row>
    <row r="30" spans="1:11">
      <c r="A30" s="273">
        <v>9</v>
      </c>
      <c r="B30" s="274">
        <v>6</v>
      </c>
      <c r="C30" s="278" t="s">
        <v>9</v>
      </c>
      <c r="D30" s="275" t="s">
        <v>434</v>
      </c>
      <c r="E30" s="275"/>
      <c r="F30" s="275"/>
      <c r="G30" s="275"/>
      <c r="H30" s="275"/>
      <c r="I30" s="275"/>
      <c r="J30" s="275"/>
      <c r="K30" s="264"/>
    </row>
    <row r="31" spans="1:11">
      <c r="A31" s="273"/>
      <c r="B31" s="274"/>
      <c r="C31" s="278"/>
      <c r="D31" s="275">
        <v>0.26662000000000002</v>
      </c>
      <c r="E31" s="275"/>
      <c r="F31" s="275"/>
      <c r="G31" s="275"/>
      <c r="H31" s="275"/>
      <c r="I31" s="275"/>
      <c r="J31" s="275"/>
      <c r="K31" s="264"/>
    </row>
    <row r="32" spans="1:11">
      <c r="A32" s="273"/>
      <c r="B32" s="274"/>
      <c r="C32" s="278"/>
      <c r="D32" s="275"/>
      <c r="E32" s="275"/>
      <c r="F32" s="275"/>
      <c r="G32" s="275"/>
      <c r="H32" s="275"/>
      <c r="I32" s="275"/>
      <c r="J32" s="275"/>
      <c r="K32" s="264"/>
    </row>
    <row r="33" spans="1:11">
      <c r="A33" s="273">
        <v>10</v>
      </c>
      <c r="B33" s="274">
        <v>6</v>
      </c>
      <c r="C33" s="278" t="s">
        <v>306</v>
      </c>
      <c r="D33" s="275" t="s">
        <v>435</v>
      </c>
      <c r="E33" s="275" t="s">
        <v>436</v>
      </c>
      <c r="F33" s="275" t="s">
        <v>437</v>
      </c>
      <c r="G33" s="275"/>
      <c r="H33" s="275"/>
      <c r="I33" s="275"/>
      <c r="J33" s="275"/>
      <c r="K33" s="264"/>
    </row>
    <row r="34" spans="1:11">
      <c r="A34" s="273"/>
      <c r="B34" s="274"/>
      <c r="C34" s="278"/>
      <c r="D34" s="275">
        <v>1.55261</v>
      </c>
      <c r="E34" s="275">
        <v>1.7586900000000001</v>
      </c>
      <c r="F34" s="275">
        <v>1.7597499999999999</v>
      </c>
      <c r="G34" s="275"/>
      <c r="H34" s="275"/>
      <c r="I34" s="275"/>
      <c r="J34" s="275"/>
      <c r="K34" s="264"/>
    </row>
    <row r="35" spans="1:11">
      <c r="A35" s="273"/>
      <c r="B35" s="274"/>
      <c r="C35" s="278"/>
      <c r="D35" s="275"/>
      <c r="E35" s="275"/>
      <c r="F35" s="275"/>
      <c r="G35" s="275"/>
      <c r="H35" s="275"/>
      <c r="I35" s="275"/>
      <c r="J35" s="275"/>
      <c r="K35" s="264"/>
    </row>
    <row r="36" spans="1:11">
      <c r="A36" s="273">
        <v>11</v>
      </c>
      <c r="B36" s="274">
        <v>7</v>
      </c>
      <c r="C36" s="278" t="s">
        <v>10</v>
      </c>
      <c r="D36" s="275" t="s">
        <v>435</v>
      </c>
      <c r="E36" s="275" t="s">
        <v>436</v>
      </c>
      <c r="F36" s="275" t="s">
        <v>437</v>
      </c>
      <c r="G36" s="275"/>
      <c r="H36" s="275"/>
      <c r="I36" s="275"/>
      <c r="J36" s="275"/>
      <c r="K36" s="264"/>
    </row>
    <row r="37" spans="1:11">
      <c r="A37" s="273"/>
      <c r="B37" s="274"/>
      <c r="C37" s="278"/>
      <c r="D37" s="275">
        <v>1.25058</v>
      </c>
      <c r="E37" s="275">
        <v>1.2553399999999999</v>
      </c>
      <c r="F37" s="275">
        <v>1.25621</v>
      </c>
      <c r="G37" s="275"/>
      <c r="H37" s="275"/>
      <c r="I37" s="275"/>
      <c r="J37" s="275"/>
      <c r="K37" s="264"/>
    </row>
    <row r="38" spans="1:11">
      <c r="A38" s="273"/>
      <c r="B38" s="274"/>
      <c r="C38" s="278"/>
      <c r="D38" s="275"/>
      <c r="E38" s="275"/>
      <c r="F38" s="275"/>
      <c r="G38" s="275"/>
      <c r="H38" s="275"/>
      <c r="I38" s="275"/>
      <c r="J38" s="275"/>
      <c r="K38" s="264"/>
    </row>
    <row r="39" spans="1:11">
      <c r="A39" s="273">
        <v>12</v>
      </c>
      <c r="B39" s="274">
        <v>7</v>
      </c>
      <c r="C39" s="278" t="s">
        <v>11</v>
      </c>
      <c r="D39" s="275" t="s">
        <v>435</v>
      </c>
      <c r="E39" s="275" t="s">
        <v>436</v>
      </c>
      <c r="F39" s="275" t="s">
        <v>437</v>
      </c>
      <c r="G39" s="275"/>
      <c r="H39" s="275"/>
      <c r="I39" s="275"/>
      <c r="J39" s="275"/>
      <c r="K39" s="264"/>
    </row>
    <row r="40" spans="1:11">
      <c r="A40" s="273"/>
      <c r="B40" s="274"/>
      <c r="C40" s="278"/>
      <c r="D40" s="275">
        <v>1.1779900000000001</v>
      </c>
      <c r="E40" s="275">
        <v>1.1200000000000001</v>
      </c>
      <c r="F40" s="275">
        <v>1.1206799999999999</v>
      </c>
      <c r="G40" s="275"/>
      <c r="H40" s="275"/>
      <c r="I40" s="275"/>
      <c r="J40" s="275"/>
      <c r="K40" s="264"/>
    </row>
    <row r="41" spans="1:11">
      <c r="A41" s="273"/>
      <c r="B41" s="274"/>
      <c r="C41" s="278"/>
      <c r="D41" s="275"/>
      <c r="E41" s="275"/>
      <c r="F41" s="275"/>
      <c r="G41" s="275"/>
      <c r="H41" s="275"/>
      <c r="I41" s="275"/>
      <c r="J41" s="275"/>
      <c r="K41" s="264"/>
    </row>
    <row r="42" spans="1:11">
      <c r="A42" s="273">
        <v>13</v>
      </c>
      <c r="B42" s="274">
        <v>7</v>
      </c>
      <c r="C42" s="278" t="s">
        <v>12</v>
      </c>
      <c r="D42" s="275" t="s">
        <v>435</v>
      </c>
      <c r="E42" s="275"/>
      <c r="F42" s="275"/>
      <c r="G42" s="275"/>
      <c r="H42" s="275"/>
      <c r="I42" s="275"/>
      <c r="J42" s="275"/>
      <c r="K42" s="264"/>
    </row>
    <row r="43" spans="1:11">
      <c r="A43" s="273"/>
      <c r="B43" s="274"/>
      <c r="C43" s="278"/>
      <c r="D43" s="275">
        <v>1.11121</v>
      </c>
      <c r="E43" s="275"/>
      <c r="F43" s="275"/>
      <c r="G43" s="275"/>
      <c r="H43" s="275"/>
      <c r="I43" s="275"/>
      <c r="J43" s="275"/>
      <c r="K43" s="264"/>
    </row>
    <row r="44" spans="1:11">
      <c r="A44" s="273"/>
      <c r="B44" s="274"/>
      <c r="C44" s="278"/>
      <c r="D44" s="275"/>
      <c r="E44" s="275"/>
      <c r="F44" s="275"/>
      <c r="G44" s="275"/>
      <c r="H44" s="275"/>
      <c r="I44" s="275"/>
      <c r="J44" s="275"/>
      <c r="K44" s="264"/>
    </row>
    <row r="45" spans="1:11">
      <c r="A45" s="273">
        <v>14</v>
      </c>
      <c r="B45" s="274">
        <v>7</v>
      </c>
      <c r="C45" s="278" t="s">
        <v>13</v>
      </c>
      <c r="D45" s="275" t="s">
        <v>435</v>
      </c>
      <c r="E45" s="275"/>
      <c r="F45" s="275"/>
      <c r="G45" s="275"/>
      <c r="H45" s="275"/>
      <c r="I45" s="275"/>
      <c r="J45" s="275"/>
      <c r="K45" s="264"/>
    </row>
    <row r="46" spans="1:11">
      <c r="A46" s="273"/>
      <c r="B46" s="274"/>
      <c r="C46" s="278"/>
      <c r="D46" s="275">
        <v>1.05193</v>
      </c>
      <c r="E46" s="275"/>
      <c r="F46" s="275"/>
      <c r="G46" s="275"/>
      <c r="H46" s="275"/>
      <c r="I46" s="275"/>
      <c r="J46" s="275"/>
      <c r="K46" s="264"/>
    </row>
    <row r="47" spans="1:11">
      <c r="A47" s="273"/>
      <c r="B47" s="274"/>
      <c r="C47" s="278"/>
      <c r="D47" s="275"/>
      <c r="E47" s="275"/>
      <c r="F47" s="275"/>
      <c r="G47" s="275"/>
      <c r="H47" s="275"/>
      <c r="I47" s="275"/>
      <c r="J47" s="275"/>
      <c r="K47" s="264"/>
    </row>
    <row r="48" spans="1:11">
      <c r="A48" s="273">
        <v>15</v>
      </c>
      <c r="B48" s="274">
        <v>7</v>
      </c>
      <c r="C48" s="278" t="s">
        <v>14</v>
      </c>
      <c r="D48" s="275" t="s">
        <v>434</v>
      </c>
      <c r="E48" s="275"/>
      <c r="F48" s="275"/>
      <c r="G48" s="275"/>
      <c r="H48" s="275"/>
      <c r="I48" s="275"/>
      <c r="J48" s="275"/>
      <c r="K48" s="264"/>
    </row>
    <row r="49" spans="1:11">
      <c r="A49" s="273"/>
      <c r="B49" s="274"/>
      <c r="C49" s="278"/>
      <c r="D49" s="275">
        <v>0.22631000000000001</v>
      </c>
      <c r="E49" s="275"/>
      <c r="F49" s="275"/>
      <c r="G49" s="275"/>
      <c r="H49" s="275"/>
      <c r="I49" s="275"/>
      <c r="J49" s="275"/>
      <c r="K49" s="264"/>
    </row>
    <row r="50" spans="1:11">
      <c r="A50" s="273"/>
      <c r="B50" s="274"/>
      <c r="C50" s="278"/>
      <c r="D50" s="275"/>
      <c r="E50" s="275"/>
      <c r="F50" s="275"/>
      <c r="G50" s="275"/>
      <c r="H50" s="275"/>
      <c r="I50" s="275"/>
      <c r="J50" s="275"/>
      <c r="K50" s="264"/>
    </row>
    <row r="51" spans="1:11">
      <c r="A51" s="273">
        <v>16</v>
      </c>
      <c r="B51" s="274">
        <v>8</v>
      </c>
      <c r="C51" s="278" t="s">
        <v>15</v>
      </c>
      <c r="D51" s="275" t="s">
        <v>435</v>
      </c>
      <c r="E51" s="275" t="s">
        <v>436</v>
      </c>
      <c r="F51" s="275" t="s">
        <v>437</v>
      </c>
      <c r="G51" s="275"/>
      <c r="H51" s="275"/>
      <c r="I51" s="275"/>
      <c r="J51" s="275"/>
      <c r="K51" s="264"/>
    </row>
    <row r="52" spans="1:11">
      <c r="A52" s="273"/>
      <c r="B52" s="274"/>
      <c r="C52" s="278"/>
      <c r="D52" s="275">
        <v>1.08561</v>
      </c>
      <c r="E52" s="275">
        <v>1.0955900000000001</v>
      </c>
      <c r="F52" s="275">
        <v>1.09676</v>
      </c>
      <c r="G52" s="275"/>
      <c r="H52" s="275"/>
      <c r="I52" s="275"/>
      <c r="J52" s="275"/>
      <c r="K52" s="264"/>
    </row>
    <row r="53" spans="1:11">
      <c r="A53" s="273"/>
      <c r="B53" s="274"/>
      <c r="C53" s="278"/>
      <c r="D53" s="275"/>
      <c r="E53" s="275"/>
      <c r="F53" s="275"/>
      <c r="G53" s="275"/>
      <c r="H53" s="275"/>
      <c r="I53" s="275"/>
      <c r="J53" s="275"/>
      <c r="K53" s="264"/>
    </row>
    <row r="54" spans="1:11">
      <c r="A54" s="273">
        <v>17</v>
      </c>
      <c r="B54" s="274">
        <v>8</v>
      </c>
      <c r="C54" s="278" t="s">
        <v>16</v>
      </c>
      <c r="D54" s="275" t="s">
        <v>435</v>
      </c>
      <c r="E54" s="275" t="s">
        <v>436</v>
      </c>
      <c r="F54" s="275" t="s">
        <v>437</v>
      </c>
      <c r="G54" s="275"/>
      <c r="H54" s="275"/>
      <c r="I54" s="275"/>
      <c r="J54" s="275"/>
      <c r="K54" s="264"/>
    </row>
    <row r="55" spans="1:11">
      <c r="A55" s="273"/>
      <c r="B55" s="274"/>
      <c r="C55" s="278"/>
      <c r="D55" s="275">
        <v>1.03207</v>
      </c>
      <c r="E55" s="275">
        <v>0.99077999999999999</v>
      </c>
      <c r="F55" s="275">
        <v>0.99168999999999996</v>
      </c>
      <c r="G55" s="275"/>
      <c r="H55" s="275"/>
      <c r="I55" s="275"/>
      <c r="J55" s="275"/>
      <c r="K55" s="264"/>
    </row>
    <row r="56" spans="1:11">
      <c r="A56" s="273"/>
      <c r="B56" s="274"/>
      <c r="C56" s="278"/>
      <c r="D56" s="275"/>
      <c r="E56" s="275"/>
      <c r="F56" s="275"/>
      <c r="G56" s="275"/>
      <c r="H56" s="275"/>
      <c r="I56" s="275"/>
      <c r="J56" s="275"/>
      <c r="K56" s="264"/>
    </row>
    <row r="57" spans="1:11">
      <c r="A57" s="273">
        <v>18</v>
      </c>
      <c r="B57" s="274">
        <v>8</v>
      </c>
      <c r="C57" s="278" t="s">
        <v>326</v>
      </c>
      <c r="D57" s="275" t="s">
        <v>435</v>
      </c>
      <c r="E57" s="275" t="s">
        <v>436</v>
      </c>
      <c r="F57" s="275" t="s">
        <v>437</v>
      </c>
      <c r="G57" s="275"/>
      <c r="H57" s="275"/>
      <c r="I57" s="275"/>
      <c r="J57" s="275"/>
      <c r="K57" s="264"/>
    </row>
    <row r="58" spans="1:11">
      <c r="A58" s="273"/>
      <c r="B58" s="274"/>
      <c r="C58" s="278"/>
      <c r="D58" s="275">
        <v>1.18424</v>
      </c>
      <c r="E58" s="275">
        <v>1.4685999999999999</v>
      </c>
      <c r="F58" s="275">
        <v>1.47288</v>
      </c>
      <c r="G58" s="275"/>
      <c r="H58" s="275"/>
      <c r="I58" s="275"/>
      <c r="J58" s="275"/>
      <c r="K58" s="264"/>
    </row>
    <row r="59" spans="1:11">
      <c r="A59" s="273"/>
      <c r="B59" s="274"/>
      <c r="C59" s="278"/>
      <c r="D59" s="275"/>
      <c r="E59" s="275"/>
      <c r="F59" s="275"/>
      <c r="G59" s="275"/>
      <c r="H59" s="275"/>
      <c r="I59" s="275"/>
      <c r="J59" s="275"/>
      <c r="K59" s="264"/>
    </row>
    <row r="60" spans="1:11">
      <c r="A60" s="273">
        <v>19</v>
      </c>
      <c r="B60" s="274">
        <v>9</v>
      </c>
      <c r="C60" s="278" t="s">
        <v>328</v>
      </c>
      <c r="D60" s="275" t="s">
        <v>435</v>
      </c>
      <c r="E60" s="275" t="s">
        <v>436</v>
      </c>
      <c r="F60" s="275" t="s">
        <v>437</v>
      </c>
      <c r="G60" s="275"/>
      <c r="H60" s="275"/>
      <c r="I60" s="275"/>
      <c r="J60" s="275"/>
      <c r="K60" s="264"/>
    </row>
    <row r="61" spans="1:11">
      <c r="A61" s="273"/>
      <c r="B61" s="274"/>
      <c r="C61" s="278"/>
      <c r="D61" s="275">
        <v>1.0339700000000001</v>
      </c>
      <c r="E61" s="275">
        <v>1.25247</v>
      </c>
      <c r="F61" s="275">
        <v>1.25742</v>
      </c>
      <c r="G61" s="275"/>
      <c r="H61" s="275"/>
      <c r="I61" s="275"/>
      <c r="J61" s="275"/>
      <c r="K61" s="264"/>
    </row>
    <row r="62" spans="1:11">
      <c r="A62" s="273"/>
      <c r="B62" s="274"/>
      <c r="C62" s="278"/>
      <c r="D62" s="275"/>
      <c r="E62" s="275"/>
      <c r="F62" s="275"/>
      <c r="G62" s="275"/>
      <c r="H62" s="275"/>
      <c r="I62" s="275"/>
      <c r="J62" s="275"/>
      <c r="K62" s="264"/>
    </row>
    <row r="63" spans="1:11">
      <c r="A63" s="273">
        <v>20</v>
      </c>
      <c r="B63" s="274">
        <v>11</v>
      </c>
      <c r="C63" s="278" t="s">
        <v>17</v>
      </c>
      <c r="D63" s="275" t="s">
        <v>435</v>
      </c>
      <c r="E63" s="275" t="s">
        <v>436</v>
      </c>
      <c r="F63" s="275" t="s">
        <v>437</v>
      </c>
      <c r="G63" s="275"/>
      <c r="H63" s="275"/>
      <c r="I63" s="275"/>
      <c r="J63" s="275"/>
      <c r="K63" s="264"/>
    </row>
    <row r="64" spans="1:11">
      <c r="A64" s="273"/>
      <c r="B64" s="274"/>
      <c r="C64" s="278"/>
      <c r="D64" s="275">
        <v>0.77747999999999995</v>
      </c>
      <c r="E64" s="275">
        <v>0.79449999999999998</v>
      </c>
      <c r="F64" s="275">
        <v>0.79674999999999996</v>
      </c>
      <c r="G64" s="275"/>
      <c r="H64" s="275"/>
      <c r="I64" s="275"/>
      <c r="J64" s="275"/>
      <c r="K64" s="264"/>
    </row>
    <row r="65" spans="1:11">
      <c r="A65" s="273"/>
      <c r="B65" s="274"/>
      <c r="C65" s="278"/>
      <c r="D65" s="275"/>
      <c r="E65" s="275"/>
      <c r="F65" s="275"/>
      <c r="G65" s="275"/>
      <c r="H65" s="275"/>
      <c r="I65" s="275"/>
      <c r="J65" s="275"/>
      <c r="K65" s="264"/>
    </row>
    <row r="66" spans="1:11">
      <c r="A66" s="273">
        <v>21</v>
      </c>
      <c r="B66" s="274">
        <v>12</v>
      </c>
      <c r="C66" s="278" t="s">
        <v>329</v>
      </c>
      <c r="D66" s="275" t="s">
        <v>435</v>
      </c>
      <c r="E66" s="275" t="s">
        <v>436</v>
      </c>
      <c r="F66" s="275" t="s">
        <v>437</v>
      </c>
      <c r="G66" s="275"/>
      <c r="H66" s="275"/>
      <c r="I66" s="275"/>
      <c r="J66" s="275"/>
      <c r="K66" s="264"/>
    </row>
    <row r="67" spans="1:11">
      <c r="A67" s="273"/>
      <c r="B67" s="274"/>
      <c r="C67" s="278"/>
      <c r="D67" s="275">
        <v>0.68866000000000005</v>
      </c>
      <c r="E67" s="275">
        <v>0.67915999999999999</v>
      </c>
      <c r="F67" s="275">
        <v>0.68123999999999996</v>
      </c>
      <c r="G67" s="275"/>
      <c r="H67" s="275"/>
      <c r="I67" s="275"/>
      <c r="J67" s="275"/>
      <c r="K67" s="264"/>
    </row>
    <row r="68" spans="1:11">
      <c r="A68" s="273"/>
      <c r="B68" s="274"/>
      <c r="C68" s="278"/>
      <c r="D68" s="275"/>
      <c r="E68" s="275"/>
      <c r="F68" s="275"/>
      <c r="G68" s="275"/>
      <c r="H68" s="275"/>
      <c r="I68" s="275"/>
      <c r="J68" s="275"/>
      <c r="K68" s="264"/>
    </row>
    <row r="69" spans="1:11">
      <c r="A69" s="273">
        <v>22</v>
      </c>
      <c r="B69" s="274">
        <v>13</v>
      </c>
      <c r="C69" s="278" t="s">
        <v>18</v>
      </c>
      <c r="D69" s="275" t="s">
        <v>438</v>
      </c>
      <c r="E69" s="275"/>
      <c r="F69" s="275"/>
      <c r="G69" s="275"/>
      <c r="H69" s="275"/>
      <c r="I69" s="275"/>
      <c r="J69" s="275"/>
      <c r="K69" s="264"/>
    </row>
    <row r="70" spans="1:11">
      <c r="A70" s="273"/>
      <c r="B70" s="274"/>
      <c r="C70" s="278"/>
      <c r="D70" s="275">
        <v>2.4252500000000001</v>
      </c>
      <c r="E70" s="275"/>
      <c r="F70" s="275"/>
      <c r="G70" s="275"/>
      <c r="H70" s="275"/>
      <c r="I70" s="275"/>
      <c r="J70" s="275"/>
      <c r="K70" s="264"/>
    </row>
    <row r="71" spans="1:11">
      <c r="A71" s="273"/>
      <c r="B71" s="274"/>
      <c r="C71" s="278"/>
      <c r="D71" s="275"/>
      <c r="E71" s="275"/>
      <c r="F71" s="275"/>
      <c r="G71" s="275"/>
      <c r="H71" s="275"/>
      <c r="I71" s="275"/>
      <c r="J71" s="275"/>
      <c r="K71" s="264"/>
    </row>
    <row r="72" spans="1:11">
      <c r="A72" s="273">
        <v>23</v>
      </c>
      <c r="B72" s="274">
        <v>13</v>
      </c>
      <c r="C72" s="278" t="s">
        <v>330</v>
      </c>
      <c r="D72" s="275" t="s">
        <v>435</v>
      </c>
      <c r="E72" s="275" t="s">
        <v>436</v>
      </c>
      <c r="F72" s="275" t="s">
        <v>437</v>
      </c>
      <c r="G72" s="275"/>
      <c r="H72" s="275"/>
      <c r="I72" s="275"/>
      <c r="J72" s="275"/>
      <c r="K72" s="264"/>
    </row>
    <row r="73" spans="1:11">
      <c r="A73" s="273"/>
      <c r="B73" s="274"/>
      <c r="C73" s="278"/>
      <c r="D73" s="275">
        <v>0.61760000000000004</v>
      </c>
      <c r="E73" s="275">
        <v>0.59424999999999994</v>
      </c>
      <c r="F73" s="275">
        <v>0.59628000000000003</v>
      </c>
      <c r="G73" s="275"/>
      <c r="H73" s="275"/>
      <c r="I73" s="275"/>
      <c r="J73" s="275"/>
      <c r="K73" s="264"/>
    </row>
    <row r="74" spans="1:11">
      <c r="A74" s="273"/>
      <c r="B74" s="274"/>
      <c r="C74" s="278"/>
      <c r="D74" s="275"/>
      <c r="E74" s="275"/>
      <c r="F74" s="275"/>
      <c r="G74" s="275"/>
      <c r="H74" s="275"/>
      <c r="I74" s="275"/>
      <c r="J74" s="275"/>
      <c r="K74" s="264"/>
    </row>
    <row r="75" spans="1:11">
      <c r="A75" s="273">
        <v>24</v>
      </c>
      <c r="B75" s="274">
        <v>14</v>
      </c>
      <c r="C75" s="278" t="s">
        <v>19</v>
      </c>
      <c r="D75" s="275" t="s">
        <v>438</v>
      </c>
      <c r="E75" s="275" t="s">
        <v>439</v>
      </c>
      <c r="F75" s="275" t="s">
        <v>440</v>
      </c>
      <c r="G75" s="275"/>
      <c r="H75" s="275"/>
      <c r="I75" s="275"/>
      <c r="J75" s="275"/>
      <c r="K75" s="264"/>
    </row>
    <row r="76" spans="1:11">
      <c r="A76" s="273"/>
      <c r="B76" s="274"/>
      <c r="C76" s="278"/>
      <c r="D76" s="275">
        <v>2.0874199999999998</v>
      </c>
      <c r="E76" s="275">
        <v>2.4669099999999999</v>
      </c>
      <c r="F76" s="275">
        <v>2.4721199999999999</v>
      </c>
      <c r="G76" s="275"/>
      <c r="H76" s="275"/>
      <c r="I76" s="275"/>
      <c r="J76" s="275"/>
      <c r="K76" s="264"/>
    </row>
    <row r="77" spans="1:11">
      <c r="A77" s="273"/>
      <c r="B77" s="274"/>
      <c r="C77" s="278"/>
      <c r="D77" s="275"/>
      <c r="E77" s="275"/>
      <c r="F77" s="275"/>
      <c r="G77" s="275"/>
      <c r="H77" s="275"/>
      <c r="I77" s="275"/>
      <c r="J77" s="275"/>
      <c r="K77" s="264"/>
    </row>
    <row r="78" spans="1:11">
      <c r="A78" s="273">
        <v>25</v>
      </c>
      <c r="B78" s="274">
        <v>14</v>
      </c>
      <c r="C78" s="278" t="s">
        <v>20</v>
      </c>
      <c r="D78" s="275" t="s">
        <v>438</v>
      </c>
      <c r="E78" s="275"/>
      <c r="F78" s="275"/>
      <c r="G78" s="275"/>
      <c r="H78" s="275"/>
      <c r="I78" s="275"/>
      <c r="J78" s="275"/>
      <c r="K78" s="264"/>
    </row>
    <row r="79" spans="1:11">
      <c r="A79" s="273"/>
      <c r="B79" s="274"/>
      <c r="C79" s="278"/>
      <c r="D79" s="275">
        <v>1.9820199999999999</v>
      </c>
      <c r="E79" s="275"/>
      <c r="F79" s="275"/>
      <c r="G79" s="275"/>
      <c r="H79" s="275"/>
      <c r="I79" s="275"/>
      <c r="J79" s="275"/>
      <c r="K79" s="264"/>
    </row>
    <row r="80" spans="1:11">
      <c r="A80" s="273"/>
      <c r="B80" s="274"/>
      <c r="C80" s="278"/>
      <c r="D80" s="275"/>
      <c r="E80" s="275"/>
      <c r="F80" s="275"/>
      <c r="G80" s="275"/>
      <c r="H80" s="275"/>
      <c r="I80" s="275"/>
      <c r="J80" s="275"/>
      <c r="K80" s="264"/>
    </row>
    <row r="81" spans="1:11">
      <c r="A81" s="273">
        <v>26</v>
      </c>
      <c r="B81" s="274">
        <v>14</v>
      </c>
      <c r="C81" s="278" t="s">
        <v>21</v>
      </c>
      <c r="D81" s="275" t="s">
        <v>438</v>
      </c>
      <c r="E81" s="275"/>
      <c r="F81" s="275"/>
      <c r="G81" s="275"/>
      <c r="H81" s="275"/>
      <c r="I81" s="275"/>
      <c r="J81" s="275"/>
      <c r="K81" s="264"/>
    </row>
    <row r="82" spans="1:11">
      <c r="A82" s="273"/>
      <c r="B82" s="274"/>
      <c r="C82" s="278"/>
      <c r="D82" s="275">
        <v>1.8664799999999999</v>
      </c>
      <c r="E82" s="275"/>
      <c r="F82" s="275"/>
      <c r="G82" s="275"/>
      <c r="H82" s="275"/>
      <c r="I82" s="275"/>
      <c r="J82" s="275"/>
      <c r="K82" s="264"/>
    </row>
    <row r="83" spans="1:11">
      <c r="A83" s="273"/>
      <c r="B83" s="274"/>
      <c r="C83" s="278"/>
      <c r="D83" s="275"/>
      <c r="E83" s="275"/>
      <c r="F83" s="275"/>
      <c r="G83" s="275"/>
      <c r="H83" s="275"/>
      <c r="I83" s="275"/>
      <c r="J83" s="275"/>
      <c r="K83" s="264"/>
    </row>
    <row r="84" spans="1:11">
      <c r="A84" s="273">
        <v>27</v>
      </c>
      <c r="B84" s="274">
        <v>14</v>
      </c>
      <c r="C84" s="278" t="s">
        <v>22</v>
      </c>
      <c r="D84" s="275" t="s">
        <v>435</v>
      </c>
      <c r="E84" s="275" t="s">
        <v>436</v>
      </c>
      <c r="F84" s="275" t="s">
        <v>437</v>
      </c>
      <c r="G84" s="275"/>
      <c r="H84" s="275"/>
      <c r="I84" s="275"/>
      <c r="J84" s="275"/>
      <c r="K84" s="264"/>
    </row>
    <row r="85" spans="1:11">
      <c r="A85" s="273"/>
      <c r="B85" s="274"/>
      <c r="C85" s="278"/>
      <c r="D85" s="275">
        <v>0.55962000000000001</v>
      </c>
      <c r="E85" s="275">
        <v>0.52875000000000005</v>
      </c>
      <c r="F85" s="275">
        <v>0.53076000000000001</v>
      </c>
      <c r="G85" s="275"/>
      <c r="H85" s="275"/>
      <c r="I85" s="275"/>
      <c r="J85" s="275"/>
      <c r="K85" s="264"/>
    </row>
    <row r="86" spans="1:11">
      <c r="A86" s="273"/>
      <c r="B86" s="274"/>
      <c r="C86" s="278"/>
      <c r="D86" s="275"/>
      <c r="E86" s="275"/>
      <c r="F86" s="275"/>
      <c r="G86" s="275"/>
      <c r="H86" s="275"/>
      <c r="I86" s="275"/>
      <c r="J86" s="275"/>
      <c r="K86" s="264"/>
    </row>
    <row r="87" spans="1:11">
      <c r="A87" s="273">
        <v>28</v>
      </c>
      <c r="B87" s="274">
        <v>14</v>
      </c>
      <c r="C87" s="278" t="s">
        <v>463</v>
      </c>
      <c r="D87" s="275" t="s">
        <v>466</v>
      </c>
      <c r="E87" s="275" t="s">
        <v>439</v>
      </c>
      <c r="F87" s="275" t="s">
        <v>440</v>
      </c>
      <c r="G87" s="275"/>
      <c r="H87" s="275"/>
      <c r="I87" s="275"/>
      <c r="J87" s="275"/>
      <c r="K87" s="264"/>
    </row>
    <row r="88" spans="1:11">
      <c r="A88" s="273"/>
      <c r="B88" s="274"/>
      <c r="C88" s="278"/>
      <c r="D88" s="275">
        <v>2.1433300000000002</v>
      </c>
      <c r="E88" s="275">
        <v>2.7490399999999999</v>
      </c>
      <c r="F88" s="275">
        <v>2.7571400000000001</v>
      </c>
      <c r="G88" s="275"/>
      <c r="H88" s="275"/>
      <c r="I88" s="275"/>
      <c r="J88" s="275"/>
      <c r="K88" s="264"/>
    </row>
    <row r="89" spans="1:11">
      <c r="A89" s="273"/>
      <c r="B89" s="274"/>
      <c r="C89" s="278"/>
      <c r="D89" s="275"/>
      <c r="E89" s="275"/>
      <c r="F89" s="275"/>
      <c r="G89" s="275"/>
      <c r="H89" s="275"/>
      <c r="I89" s="275"/>
      <c r="J89" s="275"/>
      <c r="K89" s="264"/>
    </row>
    <row r="90" spans="1:11">
      <c r="A90" s="273">
        <v>29</v>
      </c>
      <c r="B90" s="274">
        <v>15</v>
      </c>
      <c r="C90" s="278" t="s">
        <v>23</v>
      </c>
      <c r="D90" s="275" t="s">
        <v>438</v>
      </c>
      <c r="E90" s="275" t="s">
        <v>439</v>
      </c>
      <c r="F90" s="275" t="s">
        <v>440</v>
      </c>
      <c r="G90" s="275"/>
      <c r="H90" s="275"/>
      <c r="I90" s="275"/>
      <c r="J90" s="275"/>
      <c r="K90" s="264"/>
    </row>
    <row r="91" spans="1:11">
      <c r="A91" s="273"/>
      <c r="B91" s="274"/>
      <c r="C91" s="278"/>
      <c r="D91" s="275">
        <v>1.84165</v>
      </c>
      <c r="E91" s="275">
        <v>2.1427399999999999</v>
      </c>
      <c r="F91" s="275">
        <v>2.1484999999999999</v>
      </c>
      <c r="G91" s="275"/>
      <c r="H91" s="275"/>
      <c r="I91" s="275"/>
      <c r="J91" s="275"/>
      <c r="K91" s="264"/>
    </row>
    <row r="92" spans="1:11">
      <c r="A92" s="273"/>
      <c r="B92" s="274"/>
      <c r="C92" s="278"/>
      <c r="D92" s="275"/>
      <c r="E92" s="275"/>
      <c r="F92" s="275"/>
      <c r="G92" s="275"/>
      <c r="H92" s="275"/>
      <c r="I92" s="275"/>
      <c r="J92" s="275"/>
      <c r="K92" s="264"/>
    </row>
    <row r="93" spans="1:11">
      <c r="A93" s="273">
        <v>30</v>
      </c>
      <c r="B93" s="274">
        <v>15</v>
      </c>
      <c r="C93" s="278" t="s">
        <v>24</v>
      </c>
      <c r="D93" s="275" t="s">
        <v>438</v>
      </c>
      <c r="E93" s="275" t="s">
        <v>439</v>
      </c>
      <c r="F93" s="275" t="s">
        <v>440</v>
      </c>
      <c r="G93" s="275"/>
      <c r="H93" s="275"/>
      <c r="I93" s="275"/>
      <c r="J93" s="275"/>
      <c r="K93" s="264"/>
    </row>
    <row r="94" spans="1:11">
      <c r="A94" s="273"/>
      <c r="B94" s="274"/>
      <c r="C94" s="278"/>
      <c r="D94" s="275">
        <v>1.7639</v>
      </c>
      <c r="E94" s="275">
        <v>1.9806900000000001</v>
      </c>
      <c r="F94" s="275">
        <v>1.98529</v>
      </c>
      <c r="G94" s="275"/>
      <c r="H94" s="275"/>
      <c r="I94" s="275"/>
      <c r="J94" s="275"/>
      <c r="K94" s="264"/>
    </row>
    <row r="95" spans="1:11">
      <c r="A95" s="273"/>
      <c r="B95" s="274"/>
      <c r="C95" s="278"/>
      <c r="D95" s="275"/>
      <c r="E95" s="275"/>
      <c r="F95" s="275"/>
      <c r="G95" s="275"/>
      <c r="H95" s="275"/>
      <c r="I95" s="275"/>
      <c r="J95" s="275"/>
      <c r="K95" s="264"/>
    </row>
    <row r="96" spans="1:11">
      <c r="A96" s="273">
        <v>31</v>
      </c>
      <c r="B96" s="274">
        <v>15</v>
      </c>
      <c r="C96" s="278" t="s">
        <v>25</v>
      </c>
      <c r="D96" s="275" t="s">
        <v>438</v>
      </c>
      <c r="E96" s="275"/>
      <c r="F96" s="275"/>
      <c r="G96" s="275"/>
      <c r="H96" s="275"/>
      <c r="I96" s="275"/>
      <c r="J96" s="275"/>
      <c r="K96" s="264"/>
    </row>
    <row r="97" spans="1:11">
      <c r="A97" s="273"/>
      <c r="B97" s="274"/>
      <c r="C97" s="278"/>
      <c r="D97" s="275">
        <v>1.6919299999999999</v>
      </c>
      <c r="E97" s="275"/>
      <c r="F97" s="275"/>
      <c r="G97" s="275"/>
      <c r="H97" s="275"/>
      <c r="I97" s="275"/>
      <c r="J97" s="275"/>
      <c r="K97" s="264"/>
    </row>
    <row r="98" spans="1:11">
      <c r="A98" s="273"/>
      <c r="B98" s="274"/>
      <c r="C98" s="278"/>
      <c r="D98" s="275"/>
      <c r="E98" s="275"/>
      <c r="F98" s="275"/>
      <c r="G98" s="275"/>
      <c r="H98" s="275"/>
      <c r="I98" s="275"/>
      <c r="J98" s="275"/>
      <c r="K98" s="264"/>
    </row>
    <row r="99" spans="1:11">
      <c r="A99" s="273">
        <v>32</v>
      </c>
      <c r="B99" s="274">
        <v>15</v>
      </c>
      <c r="C99" s="278" t="s">
        <v>26</v>
      </c>
      <c r="D99" s="275" t="s">
        <v>438</v>
      </c>
      <c r="E99" s="275"/>
      <c r="F99" s="275"/>
      <c r="G99" s="275"/>
      <c r="H99" s="275"/>
      <c r="I99" s="275"/>
      <c r="J99" s="275"/>
      <c r="K99" s="264"/>
    </row>
    <row r="100" spans="1:11">
      <c r="A100" s="273"/>
      <c r="B100" s="274"/>
      <c r="C100" s="278"/>
      <c r="D100" s="275">
        <v>1.61368</v>
      </c>
      <c r="E100" s="275"/>
      <c r="F100" s="275"/>
      <c r="G100" s="275"/>
      <c r="H100" s="275"/>
      <c r="I100" s="275"/>
      <c r="J100" s="275"/>
      <c r="K100" s="264"/>
    </row>
    <row r="101" spans="1:11">
      <c r="A101" s="273"/>
      <c r="B101" s="274"/>
      <c r="C101" s="278"/>
      <c r="D101" s="275"/>
      <c r="E101" s="275"/>
      <c r="F101" s="275"/>
      <c r="G101" s="275"/>
      <c r="H101" s="275"/>
      <c r="I101" s="275"/>
      <c r="J101" s="275"/>
      <c r="K101" s="264"/>
    </row>
    <row r="102" spans="1:11">
      <c r="A102" s="273">
        <v>33</v>
      </c>
      <c r="B102" s="274">
        <v>15</v>
      </c>
      <c r="C102" s="278" t="s">
        <v>27</v>
      </c>
      <c r="D102" s="275" t="s">
        <v>435</v>
      </c>
      <c r="E102" s="275" t="s">
        <v>436</v>
      </c>
      <c r="F102" s="275" t="s">
        <v>437</v>
      </c>
      <c r="G102" s="275"/>
      <c r="H102" s="275"/>
      <c r="I102" s="275"/>
      <c r="J102" s="275"/>
      <c r="K102" s="264"/>
    </row>
    <row r="103" spans="1:11">
      <c r="A103" s="273"/>
      <c r="B103" s="274"/>
      <c r="C103" s="278"/>
      <c r="D103" s="275">
        <v>0.51148000000000005</v>
      </c>
      <c r="E103" s="275">
        <v>0.47649999999999998</v>
      </c>
      <c r="F103" s="275">
        <v>0.47854000000000002</v>
      </c>
      <c r="G103" s="275"/>
      <c r="H103" s="275"/>
      <c r="I103" s="275"/>
      <c r="J103" s="275"/>
      <c r="K103" s="264"/>
    </row>
    <row r="104" spans="1:11">
      <c r="A104" s="273"/>
      <c r="B104" s="274"/>
      <c r="C104" s="278"/>
      <c r="D104" s="275"/>
      <c r="E104" s="275"/>
      <c r="F104" s="275"/>
      <c r="G104" s="275"/>
      <c r="H104" s="275"/>
      <c r="I104" s="275"/>
      <c r="J104" s="275"/>
      <c r="K104" s="264"/>
    </row>
    <row r="105" spans="1:11">
      <c r="A105" s="273">
        <v>34</v>
      </c>
      <c r="B105" s="274">
        <v>16</v>
      </c>
      <c r="C105" s="278" t="s">
        <v>28</v>
      </c>
      <c r="D105" s="275" t="s">
        <v>438</v>
      </c>
      <c r="E105" s="275" t="s">
        <v>439</v>
      </c>
      <c r="F105" s="275" t="s">
        <v>440</v>
      </c>
      <c r="G105" s="275"/>
      <c r="H105" s="275"/>
      <c r="I105" s="275"/>
      <c r="J105" s="275"/>
      <c r="K105" s="264"/>
    </row>
    <row r="106" spans="1:11">
      <c r="A106" s="273"/>
      <c r="B106" s="274"/>
      <c r="C106" s="278"/>
      <c r="D106" s="275">
        <v>1.65225</v>
      </c>
      <c r="E106" s="275">
        <v>1.89893</v>
      </c>
      <c r="F106" s="275">
        <v>1.90524</v>
      </c>
      <c r="G106" s="275"/>
      <c r="H106" s="275"/>
      <c r="I106" s="275"/>
      <c r="J106" s="275"/>
      <c r="K106" s="264"/>
    </row>
    <row r="107" spans="1:11">
      <c r="A107" s="273"/>
      <c r="B107" s="274"/>
      <c r="C107" s="278"/>
      <c r="D107" s="275"/>
      <c r="E107" s="275"/>
      <c r="F107" s="275"/>
      <c r="G107" s="275"/>
      <c r="H107" s="275"/>
      <c r="I107" s="275"/>
      <c r="J107" s="275"/>
      <c r="K107" s="264"/>
    </row>
    <row r="108" spans="1:11">
      <c r="A108" s="273">
        <v>35</v>
      </c>
      <c r="B108" s="274">
        <v>16</v>
      </c>
      <c r="C108" s="278" t="s">
        <v>29</v>
      </c>
      <c r="D108" s="275" t="s">
        <v>438</v>
      </c>
      <c r="E108" s="275" t="s">
        <v>439</v>
      </c>
      <c r="F108" s="275" t="s">
        <v>440</v>
      </c>
      <c r="G108" s="275"/>
      <c r="H108" s="275"/>
      <c r="I108" s="275"/>
      <c r="J108" s="275"/>
      <c r="K108" s="264"/>
    </row>
    <row r="109" spans="1:11">
      <c r="A109" s="273"/>
      <c r="B109" s="274"/>
      <c r="C109" s="278"/>
      <c r="D109" s="275">
        <v>1.5920799999999999</v>
      </c>
      <c r="E109" s="275">
        <v>1.7734399999999999</v>
      </c>
      <c r="F109" s="275">
        <v>1.7785299999999999</v>
      </c>
      <c r="G109" s="275"/>
      <c r="H109" s="275"/>
      <c r="I109" s="275"/>
      <c r="J109" s="275"/>
      <c r="K109" s="264"/>
    </row>
    <row r="110" spans="1:11">
      <c r="A110" s="273"/>
      <c r="B110" s="274"/>
      <c r="C110" s="278"/>
      <c r="D110" s="275"/>
      <c r="E110" s="275"/>
      <c r="F110" s="275"/>
      <c r="G110" s="275"/>
      <c r="H110" s="275"/>
      <c r="I110" s="275"/>
      <c r="J110" s="275"/>
      <c r="K110" s="264"/>
    </row>
    <row r="111" spans="1:11">
      <c r="A111" s="273">
        <v>36</v>
      </c>
      <c r="B111" s="274">
        <v>16</v>
      </c>
      <c r="C111" s="278" t="s">
        <v>30</v>
      </c>
      <c r="D111" s="275" t="s">
        <v>438</v>
      </c>
      <c r="E111" s="275" t="s">
        <v>439</v>
      </c>
      <c r="F111" s="275" t="s">
        <v>440</v>
      </c>
      <c r="G111" s="275"/>
      <c r="H111" s="275"/>
      <c r="I111" s="275"/>
      <c r="J111" s="275"/>
      <c r="K111" s="264"/>
    </row>
    <row r="112" spans="1:11">
      <c r="A112" s="273"/>
      <c r="B112" s="274"/>
      <c r="C112" s="278"/>
      <c r="D112" s="275">
        <v>1.5355099999999999</v>
      </c>
      <c r="E112" s="275">
        <v>1.67119</v>
      </c>
      <c r="F112" s="275">
        <v>1.6755100000000001</v>
      </c>
      <c r="G112" s="275"/>
      <c r="H112" s="275"/>
      <c r="I112" s="275"/>
      <c r="J112" s="275"/>
      <c r="K112" s="264"/>
    </row>
    <row r="113" spans="1:11">
      <c r="A113" s="273"/>
      <c r="B113" s="274"/>
      <c r="C113" s="278"/>
      <c r="D113" s="275"/>
      <c r="E113" s="275"/>
      <c r="F113" s="275"/>
      <c r="G113" s="275"/>
      <c r="H113" s="275"/>
      <c r="I113" s="275"/>
      <c r="J113" s="275"/>
      <c r="K113" s="264"/>
    </row>
    <row r="114" spans="1:11">
      <c r="A114" s="273">
        <v>37</v>
      </c>
      <c r="B114" s="274">
        <v>16</v>
      </c>
      <c r="C114" s="278" t="s">
        <v>31</v>
      </c>
      <c r="D114" s="275" t="s">
        <v>438</v>
      </c>
      <c r="E114" s="275"/>
      <c r="F114" s="275"/>
      <c r="G114" s="275"/>
      <c r="H114" s="275"/>
      <c r="I114" s="275"/>
      <c r="J114" s="275"/>
      <c r="K114" s="264"/>
    </row>
    <row r="115" spans="1:11">
      <c r="A115" s="273"/>
      <c r="B115" s="274"/>
      <c r="C115" s="278"/>
      <c r="D115" s="275">
        <v>1.48288</v>
      </c>
      <c r="E115" s="275"/>
      <c r="F115" s="275"/>
      <c r="G115" s="275"/>
      <c r="H115" s="275"/>
      <c r="I115" s="275"/>
      <c r="J115" s="275"/>
      <c r="K115" s="264"/>
    </row>
    <row r="116" spans="1:11">
      <c r="A116" s="273"/>
      <c r="B116" s="274"/>
      <c r="C116" s="278"/>
      <c r="D116" s="275"/>
      <c r="E116" s="275"/>
      <c r="F116" s="275"/>
      <c r="G116" s="275"/>
      <c r="H116" s="275"/>
      <c r="I116" s="275"/>
      <c r="J116" s="275"/>
      <c r="K116" s="264"/>
    </row>
    <row r="117" spans="1:11">
      <c r="A117" s="273">
        <v>38</v>
      </c>
      <c r="B117" s="274">
        <v>16</v>
      </c>
      <c r="C117" s="278" t="s">
        <v>32</v>
      </c>
      <c r="D117" s="275" t="s">
        <v>438</v>
      </c>
      <c r="E117" s="275"/>
      <c r="F117" s="275"/>
      <c r="G117" s="275"/>
      <c r="H117" s="275"/>
      <c r="I117" s="275"/>
      <c r="J117" s="275"/>
      <c r="K117" s="264"/>
    </row>
    <row r="118" spans="1:11">
      <c r="A118" s="273"/>
      <c r="B118" s="274"/>
      <c r="C118" s="278"/>
      <c r="D118" s="275">
        <v>1.4258200000000001</v>
      </c>
      <c r="E118" s="275"/>
      <c r="F118" s="275"/>
      <c r="G118" s="275"/>
      <c r="H118" s="275"/>
      <c r="I118" s="275"/>
      <c r="J118" s="275"/>
      <c r="K118" s="264"/>
    </row>
    <row r="119" spans="1:11">
      <c r="A119" s="273"/>
      <c r="B119" s="274"/>
      <c r="C119" s="278"/>
      <c r="D119" s="275"/>
      <c r="E119" s="275"/>
      <c r="F119" s="275"/>
      <c r="G119" s="275"/>
      <c r="H119" s="275"/>
      <c r="I119" s="275"/>
      <c r="J119" s="275"/>
      <c r="K119" s="264"/>
    </row>
    <row r="120" spans="1:11">
      <c r="A120" s="273">
        <v>39</v>
      </c>
      <c r="B120" s="274">
        <v>16</v>
      </c>
      <c r="C120" s="278" t="s">
        <v>33</v>
      </c>
      <c r="D120" s="275" t="s">
        <v>435</v>
      </c>
      <c r="E120" s="275" t="s">
        <v>436</v>
      </c>
      <c r="F120" s="275" t="s">
        <v>437</v>
      </c>
      <c r="G120" s="275"/>
      <c r="H120" s="275"/>
      <c r="I120" s="275"/>
      <c r="J120" s="275"/>
      <c r="K120" s="264"/>
    </row>
    <row r="121" spans="1:11">
      <c r="A121" s="273"/>
      <c r="B121" s="274"/>
      <c r="C121" s="278"/>
      <c r="D121" s="275">
        <v>0.47088000000000002</v>
      </c>
      <c r="E121" s="275">
        <v>0.43378</v>
      </c>
      <c r="F121" s="275">
        <v>0.43586000000000003</v>
      </c>
      <c r="G121" s="275"/>
      <c r="H121" s="275"/>
      <c r="I121" s="275"/>
      <c r="J121" s="275"/>
      <c r="K121" s="264"/>
    </row>
    <row r="122" spans="1:11">
      <c r="A122" s="273"/>
      <c r="B122" s="274"/>
      <c r="C122" s="278"/>
      <c r="D122" s="275"/>
      <c r="E122" s="275"/>
      <c r="F122" s="275"/>
      <c r="G122" s="275"/>
      <c r="H122" s="275"/>
      <c r="I122" s="275"/>
      <c r="J122" s="275"/>
      <c r="K122" s="264"/>
    </row>
    <row r="123" spans="1:11">
      <c r="A123" s="273">
        <v>40</v>
      </c>
      <c r="B123" s="274">
        <v>17</v>
      </c>
      <c r="C123" s="278" t="s">
        <v>34</v>
      </c>
      <c r="D123" s="275" t="s">
        <v>438</v>
      </c>
      <c r="E123" s="275" t="s">
        <v>439</v>
      </c>
      <c r="F123" s="275" t="s">
        <v>440</v>
      </c>
      <c r="G123" s="275"/>
      <c r="H123" s="275"/>
      <c r="I123" s="275"/>
      <c r="J123" s="275"/>
      <c r="K123" s="264"/>
    </row>
    <row r="124" spans="1:11">
      <c r="A124" s="273"/>
      <c r="B124" s="274"/>
      <c r="C124" s="278"/>
      <c r="D124" s="275">
        <v>1.50064</v>
      </c>
      <c r="E124" s="275">
        <v>1.70766</v>
      </c>
      <c r="F124" s="275">
        <v>1.71451</v>
      </c>
      <c r="G124" s="275"/>
      <c r="H124" s="275"/>
      <c r="I124" s="275"/>
      <c r="J124" s="275"/>
      <c r="K124" s="264"/>
    </row>
    <row r="125" spans="1:11">
      <c r="A125" s="273"/>
      <c r="B125" s="274"/>
      <c r="C125" s="278"/>
      <c r="D125" s="275"/>
      <c r="E125" s="275"/>
      <c r="F125" s="275"/>
      <c r="G125" s="275"/>
      <c r="H125" s="275"/>
      <c r="I125" s="275"/>
      <c r="J125" s="275"/>
      <c r="K125" s="264"/>
    </row>
    <row r="126" spans="1:11">
      <c r="A126" s="273">
        <v>41</v>
      </c>
      <c r="B126" s="274">
        <v>17</v>
      </c>
      <c r="C126" s="278" t="s">
        <v>35</v>
      </c>
      <c r="D126" s="275" t="s">
        <v>438</v>
      </c>
      <c r="E126" s="275" t="s">
        <v>439</v>
      </c>
      <c r="F126" s="275" t="s">
        <v>440</v>
      </c>
      <c r="G126" s="275"/>
      <c r="H126" s="275"/>
      <c r="I126" s="275"/>
      <c r="J126" s="275"/>
      <c r="K126" s="264"/>
    </row>
    <row r="127" spans="1:11">
      <c r="A127" s="273"/>
      <c r="B127" s="274"/>
      <c r="C127" s="278"/>
      <c r="D127" s="275">
        <v>1.45245</v>
      </c>
      <c r="E127" s="275">
        <v>1.6072299999999999</v>
      </c>
      <c r="F127" s="275">
        <v>1.6127899999999999</v>
      </c>
      <c r="G127" s="275"/>
      <c r="H127" s="275"/>
      <c r="I127" s="275"/>
      <c r="J127" s="275"/>
      <c r="K127" s="264"/>
    </row>
    <row r="128" spans="1:11">
      <c r="A128" s="273"/>
      <c r="B128" s="274"/>
      <c r="C128" s="278"/>
      <c r="D128" s="275"/>
      <c r="E128" s="275"/>
      <c r="F128" s="275"/>
      <c r="G128" s="275"/>
      <c r="H128" s="275"/>
      <c r="I128" s="275"/>
      <c r="J128" s="275"/>
      <c r="K128" s="264"/>
    </row>
    <row r="129" spans="1:11">
      <c r="A129" s="273">
        <v>42</v>
      </c>
      <c r="B129" s="274">
        <v>17</v>
      </c>
      <c r="C129" s="278" t="s">
        <v>36</v>
      </c>
      <c r="D129" s="275" t="s">
        <v>438</v>
      </c>
      <c r="E129" s="275" t="s">
        <v>439</v>
      </c>
      <c r="F129" s="275" t="s">
        <v>440</v>
      </c>
      <c r="G129" s="275"/>
      <c r="H129" s="275"/>
      <c r="I129" s="275"/>
      <c r="J129" s="275"/>
      <c r="K129" s="264"/>
    </row>
    <row r="130" spans="1:11">
      <c r="A130" s="273"/>
      <c r="B130" s="274"/>
      <c r="C130" s="278"/>
      <c r="D130" s="275">
        <v>1.40666</v>
      </c>
      <c r="E130" s="275">
        <v>1.5238799999999999</v>
      </c>
      <c r="F130" s="275">
        <v>1.5286200000000001</v>
      </c>
      <c r="G130" s="275"/>
      <c r="H130" s="275"/>
      <c r="I130" s="275"/>
      <c r="J130" s="275"/>
      <c r="K130" s="264"/>
    </row>
    <row r="131" spans="1:11">
      <c r="A131" s="273"/>
      <c r="B131" s="274"/>
      <c r="C131" s="278"/>
      <c r="D131" s="275"/>
      <c r="E131" s="275"/>
      <c r="F131" s="275"/>
      <c r="G131" s="275"/>
      <c r="H131" s="275"/>
      <c r="I131" s="275"/>
      <c r="J131" s="275"/>
      <c r="K131" s="264"/>
    </row>
    <row r="132" spans="1:11">
      <c r="A132" s="273">
        <v>43</v>
      </c>
      <c r="B132" s="274">
        <v>17</v>
      </c>
      <c r="C132" s="278" t="s">
        <v>37</v>
      </c>
      <c r="D132" s="275" t="s">
        <v>438</v>
      </c>
      <c r="E132" s="275" t="s">
        <v>439</v>
      </c>
      <c r="F132" s="275" t="s">
        <v>440</v>
      </c>
      <c r="G132" s="275"/>
      <c r="H132" s="275"/>
      <c r="I132" s="275"/>
      <c r="J132" s="275"/>
      <c r="K132" s="264"/>
    </row>
    <row r="133" spans="1:11">
      <c r="A133" s="273"/>
      <c r="B133" s="274"/>
      <c r="C133" s="278"/>
      <c r="D133" s="275">
        <v>1.3635999999999999</v>
      </c>
      <c r="E133" s="275">
        <v>1.45228</v>
      </c>
      <c r="F133" s="275">
        <v>1.45645</v>
      </c>
      <c r="G133" s="275"/>
      <c r="H133" s="275"/>
      <c r="I133" s="275"/>
      <c r="J133" s="275"/>
      <c r="K133" s="264"/>
    </row>
    <row r="134" spans="1:11">
      <c r="A134" s="273"/>
      <c r="B134" s="274"/>
      <c r="C134" s="278"/>
      <c r="D134" s="275"/>
      <c r="E134" s="275"/>
      <c r="F134" s="275"/>
      <c r="G134" s="275"/>
      <c r="H134" s="275"/>
      <c r="I134" s="275"/>
      <c r="J134" s="275"/>
      <c r="K134" s="264"/>
    </row>
    <row r="135" spans="1:11">
      <c r="A135" s="273">
        <v>44</v>
      </c>
      <c r="B135" s="274">
        <v>17</v>
      </c>
      <c r="C135" s="278" t="s">
        <v>38</v>
      </c>
      <c r="D135" s="275" t="s">
        <v>438</v>
      </c>
      <c r="E135" s="275"/>
      <c r="F135" s="275"/>
      <c r="G135" s="275"/>
      <c r="H135" s="275"/>
      <c r="I135" s="275"/>
      <c r="J135" s="275"/>
      <c r="K135" s="264"/>
    </row>
    <row r="136" spans="1:11">
      <c r="A136" s="273"/>
      <c r="B136" s="274"/>
      <c r="C136" s="278"/>
      <c r="D136" s="275">
        <v>1.32324</v>
      </c>
      <c r="E136" s="275"/>
      <c r="F136" s="275"/>
      <c r="G136" s="275"/>
      <c r="H136" s="275"/>
      <c r="I136" s="275"/>
      <c r="J136" s="275"/>
      <c r="K136" s="264"/>
    </row>
    <row r="137" spans="1:11">
      <c r="A137" s="273"/>
      <c r="B137" s="274"/>
      <c r="C137" s="278"/>
      <c r="D137" s="275"/>
      <c r="E137" s="275"/>
      <c r="F137" s="275"/>
      <c r="G137" s="275"/>
      <c r="H137" s="275"/>
      <c r="I137" s="275"/>
      <c r="J137" s="275"/>
      <c r="K137" s="264"/>
    </row>
    <row r="138" spans="1:11">
      <c r="A138" s="273">
        <v>45</v>
      </c>
      <c r="B138" s="274">
        <v>17</v>
      </c>
      <c r="C138" s="278" t="s">
        <v>39</v>
      </c>
      <c r="D138" s="275" t="s">
        <v>438</v>
      </c>
      <c r="E138" s="275"/>
      <c r="F138" s="275"/>
      <c r="G138" s="275"/>
      <c r="H138" s="275"/>
      <c r="I138" s="275"/>
      <c r="J138" s="275"/>
      <c r="K138" s="264"/>
    </row>
    <row r="139" spans="1:11">
      <c r="A139" s="273"/>
      <c r="B139" s="274"/>
      <c r="C139" s="278"/>
      <c r="D139" s="275">
        <v>1.2795399999999999</v>
      </c>
      <c r="E139" s="275"/>
      <c r="F139" s="275"/>
      <c r="G139" s="275"/>
      <c r="H139" s="275"/>
      <c r="I139" s="275"/>
      <c r="J139" s="275"/>
      <c r="K139" s="264"/>
    </row>
    <row r="140" spans="1:11">
      <c r="A140" s="273"/>
      <c r="B140" s="274"/>
      <c r="C140" s="278"/>
      <c r="D140" s="275"/>
      <c r="E140" s="275"/>
      <c r="F140" s="275"/>
      <c r="G140" s="275"/>
      <c r="H140" s="275"/>
      <c r="I140" s="275"/>
      <c r="J140" s="275"/>
      <c r="K140" s="264"/>
    </row>
    <row r="141" spans="1:11">
      <c r="A141" s="273">
        <v>46</v>
      </c>
      <c r="B141" s="274">
        <v>17</v>
      </c>
      <c r="C141" s="278" t="s">
        <v>40</v>
      </c>
      <c r="D141" s="275" t="s">
        <v>435</v>
      </c>
      <c r="E141" s="275" t="s">
        <v>436</v>
      </c>
      <c r="F141" s="275" t="s">
        <v>437</v>
      </c>
      <c r="G141" s="275"/>
      <c r="H141" s="275"/>
      <c r="I141" s="275"/>
      <c r="J141" s="275"/>
      <c r="K141" s="264"/>
    </row>
    <row r="142" spans="1:11">
      <c r="A142" s="273"/>
      <c r="B142" s="274"/>
      <c r="C142" s="278"/>
      <c r="D142" s="275">
        <v>0.43619000000000002</v>
      </c>
      <c r="E142" s="275">
        <v>0.39815</v>
      </c>
      <c r="F142" s="275">
        <v>0.40028000000000002</v>
      </c>
      <c r="G142" s="275"/>
      <c r="H142" s="275"/>
      <c r="I142" s="275"/>
      <c r="J142" s="275"/>
      <c r="K142" s="264"/>
    </row>
    <row r="143" spans="1:11">
      <c r="A143" s="273"/>
      <c r="B143" s="274"/>
      <c r="C143" s="278"/>
      <c r="D143" s="275"/>
      <c r="E143" s="275"/>
      <c r="F143" s="275"/>
      <c r="G143" s="275"/>
      <c r="H143" s="275"/>
      <c r="I143" s="275"/>
      <c r="J143" s="275"/>
      <c r="K143" s="264"/>
    </row>
    <row r="144" spans="1:11">
      <c r="A144" s="273">
        <v>47</v>
      </c>
      <c r="B144" s="274">
        <v>17</v>
      </c>
      <c r="C144" s="278" t="s">
        <v>332</v>
      </c>
      <c r="D144" s="275" t="s">
        <v>438</v>
      </c>
      <c r="E144" s="275" t="s">
        <v>439</v>
      </c>
      <c r="F144" s="275" t="s">
        <v>440</v>
      </c>
      <c r="G144" s="275"/>
      <c r="H144" s="275"/>
      <c r="I144" s="275"/>
      <c r="J144" s="275"/>
      <c r="K144" s="264"/>
    </row>
    <row r="145" spans="1:11">
      <c r="A145" s="273"/>
      <c r="B145" s="274"/>
      <c r="C145" s="278"/>
      <c r="D145" s="275">
        <v>1.59561</v>
      </c>
      <c r="E145" s="275">
        <v>2.01877</v>
      </c>
      <c r="F145" s="275">
        <v>2.0347</v>
      </c>
      <c r="G145" s="275"/>
      <c r="H145" s="275"/>
      <c r="I145" s="275"/>
      <c r="J145" s="275"/>
      <c r="K145" s="264"/>
    </row>
    <row r="146" spans="1:11">
      <c r="A146" s="273"/>
      <c r="B146" s="274"/>
      <c r="C146" s="278"/>
      <c r="D146" s="275"/>
      <c r="E146" s="275"/>
      <c r="F146" s="275"/>
      <c r="G146" s="275"/>
      <c r="H146" s="275"/>
      <c r="I146" s="275"/>
      <c r="J146" s="275"/>
      <c r="K146" s="264"/>
    </row>
    <row r="147" spans="1:11">
      <c r="A147" s="273">
        <v>48</v>
      </c>
      <c r="B147" s="274">
        <v>19</v>
      </c>
      <c r="C147" s="278" t="s">
        <v>41</v>
      </c>
      <c r="D147" s="275" t="s">
        <v>438</v>
      </c>
      <c r="E147" s="275" t="s">
        <v>439</v>
      </c>
      <c r="F147" s="275" t="s">
        <v>440</v>
      </c>
      <c r="G147" s="275"/>
      <c r="H147" s="275"/>
      <c r="I147" s="275"/>
      <c r="J147" s="275"/>
      <c r="K147" s="264"/>
    </row>
    <row r="148" spans="1:11">
      <c r="A148" s="273"/>
      <c r="B148" s="274"/>
      <c r="C148" s="278"/>
      <c r="D148" s="275">
        <v>1.2711699999999999</v>
      </c>
      <c r="E148" s="275">
        <v>1.42482</v>
      </c>
      <c r="F148" s="275">
        <v>1.4327399999999999</v>
      </c>
      <c r="G148" s="275"/>
      <c r="H148" s="275"/>
      <c r="I148" s="275"/>
      <c r="J148" s="275"/>
      <c r="K148" s="264"/>
    </row>
    <row r="149" spans="1:11">
      <c r="A149" s="273"/>
      <c r="B149" s="274"/>
      <c r="C149" s="278"/>
      <c r="D149" s="275"/>
      <c r="E149" s="275"/>
      <c r="F149" s="275"/>
      <c r="G149" s="275"/>
      <c r="H149" s="275"/>
      <c r="I149" s="275"/>
      <c r="J149" s="275"/>
      <c r="K149" s="264"/>
    </row>
    <row r="150" spans="1:11">
      <c r="A150" s="273">
        <v>49</v>
      </c>
      <c r="B150" s="274">
        <v>20</v>
      </c>
      <c r="C150" s="278" t="s">
        <v>333</v>
      </c>
      <c r="D150" s="275" t="s">
        <v>438</v>
      </c>
      <c r="E150" s="275" t="s">
        <v>439</v>
      </c>
      <c r="F150" s="275" t="s">
        <v>440</v>
      </c>
      <c r="G150" s="275"/>
      <c r="H150" s="275"/>
      <c r="I150" s="275"/>
      <c r="J150" s="275"/>
      <c r="K150" s="264"/>
    </row>
    <row r="151" spans="1:11">
      <c r="A151" s="273"/>
      <c r="B151" s="274"/>
      <c r="C151" s="278"/>
      <c r="D151" s="275">
        <v>1.1535500000000001</v>
      </c>
      <c r="E151" s="275">
        <v>1.2581800000000001</v>
      </c>
      <c r="F151" s="275">
        <v>1.26522</v>
      </c>
      <c r="G151" s="275"/>
      <c r="H151" s="275"/>
      <c r="I151" s="275"/>
      <c r="J151" s="275"/>
      <c r="K151" s="264"/>
    </row>
    <row r="152" spans="1:11">
      <c r="A152" s="273"/>
      <c r="B152" s="274"/>
      <c r="C152" s="278"/>
      <c r="D152" s="275"/>
      <c r="E152" s="275"/>
      <c r="F152" s="275"/>
      <c r="G152" s="275"/>
      <c r="H152" s="275"/>
      <c r="I152" s="275"/>
      <c r="J152" s="275"/>
      <c r="K152" s="264"/>
    </row>
    <row r="153" spans="1:11">
      <c r="A153" s="273">
        <v>50</v>
      </c>
      <c r="B153" s="274">
        <v>21</v>
      </c>
      <c r="C153" s="278" t="s">
        <v>42</v>
      </c>
      <c r="D153" s="275" t="s">
        <v>441</v>
      </c>
      <c r="E153" s="275" t="s">
        <v>442</v>
      </c>
      <c r="F153" s="275" t="s">
        <v>443</v>
      </c>
      <c r="G153" s="275"/>
      <c r="H153" s="275"/>
      <c r="I153" s="275"/>
      <c r="J153" s="275"/>
      <c r="K153" s="264"/>
    </row>
    <row r="154" spans="1:11">
      <c r="A154" s="273"/>
      <c r="B154" s="274"/>
      <c r="C154" s="278"/>
      <c r="D154" s="275">
        <v>1.62226</v>
      </c>
      <c r="E154" s="275">
        <v>1.62541</v>
      </c>
      <c r="F154" s="275">
        <v>3.4971899999999998</v>
      </c>
      <c r="G154" s="275"/>
      <c r="H154" s="275"/>
      <c r="I154" s="275"/>
      <c r="J154" s="275"/>
      <c r="K154" s="264"/>
    </row>
    <row r="155" spans="1:11">
      <c r="A155" s="273"/>
      <c r="B155" s="274"/>
      <c r="C155" s="278"/>
      <c r="D155" s="275"/>
      <c r="E155" s="275"/>
      <c r="F155" s="275"/>
      <c r="G155" s="275"/>
      <c r="H155" s="275"/>
      <c r="I155" s="275"/>
      <c r="J155" s="275"/>
      <c r="K155" s="264"/>
    </row>
    <row r="156" spans="1:11">
      <c r="A156" s="273">
        <v>51</v>
      </c>
      <c r="B156" s="274">
        <v>21</v>
      </c>
      <c r="C156" s="278" t="s">
        <v>43</v>
      </c>
      <c r="D156" s="275" t="s">
        <v>441</v>
      </c>
      <c r="E156" s="275" t="s">
        <v>442</v>
      </c>
      <c r="F156" s="275"/>
      <c r="G156" s="275"/>
      <c r="H156" s="275"/>
      <c r="I156" s="275"/>
      <c r="J156" s="275"/>
      <c r="K156" s="264"/>
    </row>
    <row r="157" spans="1:11">
      <c r="A157" s="273"/>
      <c r="B157" s="274"/>
      <c r="C157" s="278"/>
      <c r="D157" s="275">
        <v>1.5504</v>
      </c>
      <c r="E157" s="275">
        <v>1.5531200000000001</v>
      </c>
      <c r="F157" s="275"/>
      <c r="G157" s="275"/>
      <c r="H157" s="275"/>
      <c r="I157" s="275"/>
      <c r="J157" s="275"/>
      <c r="K157" s="264"/>
    </row>
    <row r="158" spans="1:11">
      <c r="A158" s="273"/>
      <c r="B158" s="274"/>
      <c r="C158" s="278"/>
      <c r="D158" s="275"/>
      <c r="E158" s="275"/>
      <c r="F158" s="275"/>
      <c r="G158" s="275"/>
      <c r="H158" s="275"/>
      <c r="I158" s="275"/>
      <c r="J158" s="275"/>
      <c r="K158" s="264"/>
    </row>
    <row r="159" spans="1:11">
      <c r="A159" s="273">
        <v>52</v>
      </c>
      <c r="B159" s="274">
        <v>21</v>
      </c>
      <c r="C159" s="278" t="s">
        <v>44</v>
      </c>
      <c r="D159" s="275" t="s">
        <v>438</v>
      </c>
      <c r="E159" s="275" t="s">
        <v>439</v>
      </c>
      <c r="F159" s="275" t="s">
        <v>440</v>
      </c>
      <c r="G159" s="275"/>
      <c r="H159" s="275"/>
      <c r="I159" s="275"/>
      <c r="J159" s="275"/>
      <c r="K159" s="264"/>
    </row>
    <row r="160" spans="1:11">
      <c r="A160" s="273"/>
      <c r="B160" s="274"/>
      <c r="C160" s="278"/>
      <c r="D160" s="275">
        <v>1.0564499999999999</v>
      </c>
      <c r="E160" s="275">
        <v>1.1299999999999999</v>
      </c>
      <c r="F160" s="275">
        <v>1.1365499999999999</v>
      </c>
      <c r="G160" s="275"/>
      <c r="H160" s="275"/>
      <c r="I160" s="275"/>
      <c r="J160" s="275"/>
      <c r="K160" s="264"/>
    </row>
    <row r="161" spans="1:11">
      <c r="A161" s="273"/>
      <c r="B161" s="274"/>
      <c r="C161" s="278"/>
      <c r="D161" s="275"/>
      <c r="E161" s="275"/>
      <c r="F161" s="275"/>
      <c r="G161" s="275"/>
      <c r="H161" s="275"/>
      <c r="I161" s="275"/>
      <c r="J161" s="275"/>
      <c r="K161" s="264"/>
    </row>
    <row r="162" spans="1:11">
      <c r="A162" s="273">
        <v>53</v>
      </c>
      <c r="B162" s="274">
        <v>22</v>
      </c>
      <c r="C162" s="278" t="s">
        <v>334</v>
      </c>
      <c r="D162" s="275" t="s">
        <v>441</v>
      </c>
      <c r="E162" s="275" t="s">
        <v>442</v>
      </c>
      <c r="F162" s="275"/>
      <c r="G162" s="275"/>
      <c r="H162" s="275"/>
      <c r="I162" s="275"/>
      <c r="J162" s="275"/>
      <c r="K162" s="264"/>
    </row>
    <row r="163" spans="1:11">
      <c r="A163" s="273"/>
      <c r="B163" s="274"/>
      <c r="C163" s="278"/>
      <c r="D163" s="275">
        <v>1.40747</v>
      </c>
      <c r="E163" s="275">
        <v>1.41055</v>
      </c>
      <c r="F163" s="275"/>
      <c r="G163" s="275"/>
      <c r="H163" s="275"/>
      <c r="I163" s="275"/>
      <c r="J163" s="275"/>
      <c r="K163" s="264"/>
    </row>
    <row r="164" spans="1:11">
      <c r="A164" s="273"/>
      <c r="B164" s="274"/>
      <c r="C164" s="278"/>
      <c r="D164" s="275"/>
      <c r="E164" s="275"/>
      <c r="F164" s="275"/>
      <c r="G164" s="275"/>
      <c r="H164" s="275"/>
      <c r="I164" s="275"/>
      <c r="J164" s="275"/>
      <c r="K164" s="264"/>
    </row>
    <row r="165" spans="1:11">
      <c r="A165" s="273">
        <v>54</v>
      </c>
      <c r="B165" s="274">
        <v>22</v>
      </c>
      <c r="C165" s="278" t="s">
        <v>45</v>
      </c>
      <c r="D165" s="275" t="s">
        <v>441</v>
      </c>
      <c r="E165" s="275" t="s">
        <v>442</v>
      </c>
      <c r="F165" s="275"/>
      <c r="G165" s="275"/>
      <c r="H165" s="275"/>
      <c r="I165" s="275"/>
      <c r="J165" s="275"/>
      <c r="K165" s="264"/>
    </row>
    <row r="166" spans="1:11">
      <c r="A166" s="273"/>
      <c r="B166" s="274"/>
      <c r="C166" s="278"/>
      <c r="D166" s="275">
        <v>1.25136</v>
      </c>
      <c r="E166" s="275">
        <v>1.2535799999999999</v>
      </c>
      <c r="F166" s="275"/>
      <c r="G166" s="275"/>
      <c r="H166" s="275"/>
      <c r="I166" s="275"/>
      <c r="J166" s="275"/>
      <c r="K166" s="264"/>
    </row>
    <row r="167" spans="1:11">
      <c r="A167" s="273"/>
      <c r="B167" s="274"/>
      <c r="C167" s="278"/>
      <c r="D167" s="275"/>
      <c r="E167" s="275"/>
      <c r="F167" s="275"/>
      <c r="G167" s="275"/>
      <c r="H167" s="275"/>
      <c r="I167" s="275"/>
      <c r="J167" s="275"/>
      <c r="K167" s="264"/>
    </row>
    <row r="168" spans="1:11">
      <c r="A168" s="273">
        <v>55</v>
      </c>
      <c r="B168" s="274">
        <v>22</v>
      </c>
      <c r="C168" s="278" t="s">
        <v>46</v>
      </c>
      <c r="D168" s="275" t="s">
        <v>438</v>
      </c>
      <c r="E168" s="275" t="s">
        <v>439</v>
      </c>
      <c r="F168" s="275" t="s">
        <v>440</v>
      </c>
      <c r="G168" s="275"/>
      <c r="H168" s="275"/>
      <c r="I168" s="275"/>
      <c r="J168" s="275"/>
      <c r="K168" s="264"/>
    </row>
    <row r="169" spans="1:11">
      <c r="A169" s="273"/>
      <c r="B169" s="274"/>
      <c r="C169" s="278"/>
      <c r="D169" s="275">
        <v>0.97489999999999999</v>
      </c>
      <c r="E169" s="275">
        <v>1.0274099999999999</v>
      </c>
      <c r="F169" s="275">
        <v>1.03366</v>
      </c>
      <c r="G169" s="275"/>
      <c r="H169" s="275"/>
      <c r="I169" s="275"/>
      <c r="J169" s="275"/>
      <c r="K169" s="264"/>
    </row>
    <row r="170" spans="1:11">
      <c r="A170" s="273"/>
      <c r="B170" s="274"/>
      <c r="C170" s="278"/>
      <c r="D170" s="275"/>
      <c r="E170" s="275"/>
      <c r="F170" s="275"/>
      <c r="G170" s="275"/>
      <c r="H170" s="275"/>
      <c r="I170" s="275"/>
      <c r="J170" s="275"/>
      <c r="K170" s="264"/>
    </row>
    <row r="171" spans="1:11">
      <c r="A171" s="273">
        <v>56</v>
      </c>
      <c r="B171" s="274">
        <v>23</v>
      </c>
      <c r="C171" s="278" t="s">
        <v>47</v>
      </c>
      <c r="D171" s="275" t="s">
        <v>441</v>
      </c>
      <c r="E171" s="275" t="s">
        <v>442</v>
      </c>
      <c r="F171" s="275"/>
      <c r="G171" s="275"/>
      <c r="H171" s="275"/>
      <c r="I171" s="275"/>
      <c r="J171" s="275"/>
      <c r="K171" s="264"/>
    </row>
    <row r="172" spans="1:11">
      <c r="A172" s="273"/>
      <c r="B172" s="274"/>
      <c r="C172" s="278"/>
      <c r="D172" s="275">
        <v>1.49414</v>
      </c>
      <c r="E172" s="275">
        <v>1.4999199999999999</v>
      </c>
      <c r="F172" s="275"/>
      <c r="G172" s="275"/>
      <c r="H172" s="275"/>
      <c r="I172" s="275"/>
      <c r="J172" s="275"/>
      <c r="K172" s="264"/>
    </row>
    <row r="173" spans="1:11">
      <c r="A173" s="273"/>
      <c r="B173" s="274"/>
      <c r="C173" s="278"/>
      <c r="D173" s="275"/>
      <c r="E173" s="275"/>
      <c r="F173" s="275"/>
      <c r="G173" s="275"/>
      <c r="H173" s="275"/>
      <c r="I173" s="275"/>
      <c r="J173" s="275"/>
      <c r="K173" s="264"/>
    </row>
    <row r="174" spans="1:11">
      <c r="A174" s="273">
        <v>57</v>
      </c>
      <c r="B174" s="274">
        <v>23</v>
      </c>
      <c r="C174" s="278" t="s">
        <v>48</v>
      </c>
      <c r="D174" s="275" t="s">
        <v>441</v>
      </c>
      <c r="E174" s="275" t="s">
        <v>442</v>
      </c>
      <c r="F174" s="275"/>
      <c r="G174" s="275"/>
      <c r="H174" s="275"/>
      <c r="I174" s="275"/>
      <c r="J174" s="275"/>
      <c r="K174" s="264"/>
    </row>
    <row r="175" spans="1:11">
      <c r="A175" s="273"/>
      <c r="B175" s="274"/>
      <c r="C175" s="278"/>
      <c r="D175" s="275">
        <v>1.2947599999999999</v>
      </c>
      <c r="E175" s="275">
        <v>1.2982199999999999</v>
      </c>
      <c r="F175" s="275"/>
      <c r="G175" s="275"/>
      <c r="H175" s="275"/>
      <c r="I175" s="275"/>
      <c r="J175" s="275"/>
      <c r="K175" s="264"/>
    </row>
    <row r="176" spans="1:11">
      <c r="A176" s="273"/>
      <c r="B176" s="274"/>
      <c r="C176" s="278"/>
      <c r="D176" s="275"/>
      <c r="E176" s="275"/>
      <c r="F176" s="275"/>
      <c r="G176" s="275"/>
      <c r="H176" s="275"/>
      <c r="I176" s="275"/>
      <c r="J176" s="275"/>
      <c r="K176" s="264"/>
    </row>
    <row r="177" spans="1:11">
      <c r="A177" s="273">
        <v>58</v>
      </c>
      <c r="B177" s="274">
        <v>23</v>
      </c>
      <c r="C177" s="278" t="s">
        <v>49</v>
      </c>
      <c r="D177" s="275" t="s">
        <v>441</v>
      </c>
      <c r="E177" s="275" t="s">
        <v>442</v>
      </c>
      <c r="F177" s="275"/>
      <c r="G177" s="275"/>
      <c r="H177" s="275"/>
      <c r="I177" s="275"/>
      <c r="J177" s="275"/>
      <c r="K177" s="264"/>
    </row>
    <row r="178" spans="1:11">
      <c r="A178" s="273"/>
      <c r="B178" s="274"/>
      <c r="C178" s="278"/>
      <c r="D178" s="275">
        <v>1.1665399999999999</v>
      </c>
      <c r="E178" s="275">
        <v>1.1690400000000001</v>
      </c>
      <c r="F178" s="275"/>
      <c r="G178" s="275"/>
      <c r="H178" s="275"/>
      <c r="I178" s="275"/>
      <c r="J178" s="275"/>
      <c r="K178" s="264"/>
    </row>
    <row r="179" spans="1:11">
      <c r="A179" s="273"/>
      <c r="B179" s="274"/>
      <c r="C179" s="278"/>
      <c r="D179" s="275"/>
      <c r="E179" s="275"/>
      <c r="F179" s="275"/>
      <c r="G179" s="275"/>
      <c r="H179" s="275"/>
      <c r="I179" s="275"/>
      <c r="J179" s="275"/>
      <c r="K179" s="264"/>
    </row>
    <row r="180" spans="1:11">
      <c r="A180" s="273">
        <v>59</v>
      </c>
      <c r="B180" s="274">
        <v>23</v>
      </c>
      <c r="C180" s="278" t="s">
        <v>50</v>
      </c>
      <c r="D180" s="275" t="s">
        <v>441</v>
      </c>
      <c r="E180" s="275" t="s">
        <v>442</v>
      </c>
      <c r="F180" s="275"/>
      <c r="G180" s="275"/>
      <c r="H180" s="275"/>
      <c r="I180" s="275"/>
      <c r="J180" s="275"/>
      <c r="K180" s="264"/>
    </row>
    <row r="181" spans="1:11">
      <c r="A181" s="273"/>
      <c r="B181" s="274"/>
      <c r="C181" s="278"/>
      <c r="D181" s="275">
        <v>1.07365</v>
      </c>
      <c r="E181" s="275">
        <v>1.07562</v>
      </c>
      <c r="F181" s="275"/>
      <c r="G181" s="275"/>
      <c r="H181" s="275"/>
      <c r="I181" s="275"/>
      <c r="J181" s="275"/>
      <c r="K181" s="264"/>
    </row>
    <row r="182" spans="1:11">
      <c r="A182" s="273"/>
      <c r="B182" s="274"/>
      <c r="C182" s="278"/>
      <c r="D182" s="275"/>
      <c r="E182" s="275"/>
      <c r="F182" s="275"/>
      <c r="G182" s="275"/>
      <c r="H182" s="275"/>
      <c r="I182" s="275"/>
      <c r="J182" s="275"/>
      <c r="K182" s="264"/>
    </row>
    <row r="183" spans="1:11">
      <c r="A183" s="273">
        <v>60</v>
      </c>
      <c r="B183" s="274">
        <v>23</v>
      </c>
      <c r="C183" s="278" t="s">
        <v>51</v>
      </c>
      <c r="D183" s="275" t="s">
        <v>438</v>
      </c>
      <c r="E183" s="275" t="s">
        <v>439</v>
      </c>
      <c r="F183" s="275" t="s">
        <v>440</v>
      </c>
      <c r="G183" s="275"/>
      <c r="H183" s="275"/>
      <c r="I183" s="275"/>
      <c r="J183" s="275"/>
      <c r="K183" s="264"/>
    </row>
    <row r="184" spans="1:11">
      <c r="A184" s="273"/>
      <c r="B184" s="274"/>
      <c r="C184" s="278"/>
      <c r="D184" s="275">
        <v>0.90537000000000001</v>
      </c>
      <c r="E184" s="275">
        <v>0.94296999999999997</v>
      </c>
      <c r="F184" s="275">
        <v>0.94903999999999999</v>
      </c>
      <c r="G184" s="275"/>
      <c r="H184" s="275"/>
      <c r="I184" s="275"/>
      <c r="J184" s="275"/>
      <c r="K184" s="264"/>
    </row>
    <row r="185" spans="1:11">
      <c r="A185" s="273"/>
      <c r="B185" s="274"/>
      <c r="C185" s="278"/>
      <c r="D185" s="275"/>
      <c r="E185" s="275"/>
      <c r="F185" s="275"/>
      <c r="G185" s="275"/>
      <c r="H185" s="275"/>
      <c r="I185" s="275"/>
      <c r="J185" s="275"/>
      <c r="K185" s="264"/>
    </row>
    <row r="186" spans="1:11">
      <c r="A186" s="273">
        <v>61</v>
      </c>
      <c r="B186" s="274">
        <v>24</v>
      </c>
      <c r="C186" s="278" t="s">
        <v>52</v>
      </c>
      <c r="D186" s="275" t="s">
        <v>441</v>
      </c>
      <c r="E186" s="275" t="s">
        <v>442</v>
      </c>
      <c r="F186" s="275"/>
      <c r="G186" s="275"/>
      <c r="H186" s="275"/>
      <c r="I186" s="275"/>
      <c r="J186" s="275"/>
      <c r="K186" s="264"/>
    </row>
    <row r="187" spans="1:11">
      <c r="A187" s="273"/>
      <c r="B187" s="274"/>
      <c r="C187" s="278"/>
      <c r="D187" s="275">
        <v>1.3629199999999999</v>
      </c>
      <c r="E187" s="275">
        <v>1.3692899999999999</v>
      </c>
      <c r="F187" s="275"/>
      <c r="G187" s="275"/>
      <c r="H187" s="275"/>
      <c r="I187" s="275"/>
      <c r="J187" s="275"/>
      <c r="K187" s="264"/>
    </row>
    <row r="188" spans="1:11">
      <c r="A188" s="273"/>
      <c r="B188" s="274"/>
      <c r="C188" s="278"/>
      <c r="D188" s="275"/>
      <c r="E188" s="275"/>
      <c r="F188" s="275"/>
      <c r="G188" s="275"/>
      <c r="H188" s="275"/>
      <c r="I188" s="275"/>
      <c r="J188" s="275"/>
      <c r="K188" s="264"/>
    </row>
    <row r="189" spans="1:11">
      <c r="A189" s="273">
        <v>62</v>
      </c>
      <c r="B189" s="274">
        <v>24</v>
      </c>
      <c r="C189" s="278" t="s">
        <v>53</v>
      </c>
      <c r="D189" s="275" t="s">
        <v>441</v>
      </c>
      <c r="E189" s="275" t="s">
        <v>442</v>
      </c>
      <c r="F189" s="275"/>
      <c r="G189" s="275"/>
      <c r="H189" s="275"/>
      <c r="I189" s="275"/>
      <c r="J189" s="275"/>
      <c r="K189" s="264"/>
    </row>
    <row r="190" spans="1:11">
      <c r="A190" s="273"/>
      <c r="B190" s="274"/>
      <c r="C190" s="278"/>
      <c r="D190" s="275">
        <v>1.20225</v>
      </c>
      <c r="E190" s="275">
        <v>1.2060999999999999</v>
      </c>
      <c r="F190" s="275"/>
      <c r="G190" s="275"/>
      <c r="H190" s="275"/>
      <c r="I190" s="275"/>
      <c r="J190" s="275"/>
      <c r="K190" s="264"/>
    </row>
    <row r="191" spans="1:11">
      <c r="A191" s="273"/>
      <c r="B191" s="274"/>
      <c r="C191" s="278"/>
      <c r="D191" s="275"/>
      <c r="E191" s="275"/>
      <c r="F191" s="275"/>
      <c r="G191" s="275"/>
      <c r="H191" s="275"/>
      <c r="I191" s="275"/>
      <c r="J191" s="275"/>
      <c r="K191" s="264"/>
    </row>
    <row r="192" spans="1:11">
      <c r="A192" s="273">
        <v>63</v>
      </c>
      <c r="B192" s="274">
        <v>24</v>
      </c>
      <c r="C192" s="278" t="s">
        <v>54</v>
      </c>
      <c r="D192" s="275" t="s">
        <v>441</v>
      </c>
      <c r="E192" s="275" t="s">
        <v>442</v>
      </c>
      <c r="F192" s="275"/>
      <c r="G192" s="275"/>
      <c r="H192" s="275"/>
      <c r="I192" s="275"/>
      <c r="J192" s="275"/>
      <c r="K192" s="264"/>
    </row>
    <row r="193" spans="1:11">
      <c r="A193" s="273"/>
      <c r="B193" s="274"/>
      <c r="C193" s="278"/>
      <c r="D193" s="275">
        <v>1.0940700000000001</v>
      </c>
      <c r="E193" s="275">
        <v>1.0968599999999999</v>
      </c>
      <c r="F193" s="275"/>
      <c r="G193" s="275"/>
      <c r="H193" s="275"/>
      <c r="I193" s="275"/>
      <c r="J193" s="275"/>
      <c r="K193" s="264"/>
    </row>
    <row r="194" spans="1:11">
      <c r="A194" s="273"/>
      <c r="B194" s="274"/>
      <c r="C194" s="278"/>
      <c r="D194" s="275"/>
      <c r="E194" s="275"/>
      <c r="F194" s="275"/>
      <c r="G194" s="275"/>
      <c r="H194" s="275"/>
      <c r="I194" s="275"/>
      <c r="J194" s="275"/>
      <c r="K194" s="264"/>
    </row>
    <row r="195" spans="1:11">
      <c r="A195" s="273">
        <v>64</v>
      </c>
      <c r="B195" s="274">
        <v>24</v>
      </c>
      <c r="C195" s="278" t="s">
        <v>55</v>
      </c>
      <c r="D195" s="275" t="s">
        <v>441</v>
      </c>
      <c r="E195" s="275" t="s">
        <v>442</v>
      </c>
      <c r="F195" s="275"/>
      <c r="G195" s="275"/>
      <c r="H195" s="275"/>
      <c r="I195" s="275"/>
      <c r="J195" s="275"/>
      <c r="K195" s="264"/>
    </row>
    <row r="196" spans="1:11">
      <c r="A196" s="273"/>
      <c r="B196" s="274"/>
      <c r="C196" s="278"/>
      <c r="D196" s="275">
        <v>1.0134799999999999</v>
      </c>
      <c r="E196" s="275">
        <v>1.01569</v>
      </c>
      <c r="F196" s="275"/>
      <c r="G196" s="275"/>
      <c r="H196" s="275"/>
      <c r="I196" s="275"/>
      <c r="J196" s="275"/>
      <c r="K196" s="264"/>
    </row>
    <row r="197" spans="1:11">
      <c r="A197" s="273"/>
      <c r="B197" s="274"/>
      <c r="C197" s="278"/>
      <c r="D197" s="275"/>
      <c r="E197" s="275"/>
      <c r="F197" s="275"/>
      <c r="G197" s="275"/>
      <c r="H197" s="275"/>
      <c r="I197" s="275"/>
      <c r="J197" s="275"/>
      <c r="K197" s="264"/>
    </row>
    <row r="198" spans="1:11">
      <c r="A198" s="273">
        <v>65</v>
      </c>
      <c r="B198" s="274">
        <v>24</v>
      </c>
      <c r="C198" s="278" t="s">
        <v>56</v>
      </c>
      <c r="D198" s="275" t="s">
        <v>441</v>
      </c>
      <c r="E198" s="275" t="s">
        <v>442</v>
      </c>
      <c r="F198" s="275"/>
      <c r="G198" s="275"/>
      <c r="H198" s="275"/>
      <c r="I198" s="275"/>
      <c r="J198" s="275"/>
      <c r="K198" s="264"/>
    </row>
    <row r="199" spans="1:11">
      <c r="A199" s="273"/>
      <c r="B199" s="274"/>
      <c r="C199" s="278"/>
      <c r="D199" s="275">
        <v>0.94948999999999995</v>
      </c>
      <c r="E199" s="275">
        <v>0.95133000000000001</v>
      </c>
      <c r="F199" s="275"/>
      <c r="G199" s="275"/>
      <c r="H199" s="275"/>
      <c r="I199" s="275"/>
      <c r="J199" s="275"/>
      <c r="K199" s="264"/>
    </row>
    <row r="200" spans="1:11">
      <c r="A200" s="273"/>
      <c r="B200" s="274"/>
      <c r="C200" s="278"/>
      <c r="D200" s="275"/>
      <c r="E200" s="275"/>
      <c r="F200" s="275"/>
      <c r="G200" s="275"/>
      <c r="H200" s="275"/>
      <c r="I200" s="275"/>
      <c r="J200" s="275"/>
      <c r="K200" s="264"/>
    </row>
    <row r="201" spans="1:11">
      <c r="A201" s="273">
        <v>66</v>
      </c>
      <c r="B201" s="274">
        <v>24</v>
      </c>
      <c r="C201" s="278" t="s">
        <v>57</v>
      </c>
      <c r="D201" s="275" t="s">
        <v>438</v>
      </c>
      <c r="E201" s="275" t="s">
        <v>439</v>
      </c>
      <c r="F201" s="275" t="s">
        <v>440</v>
      </c>
      <c r="G201" s="275"/>
      <c r="H201" s="275"/>
      <c r="I201" s="275"/>
      <c r="J201" s="275"/>
      <c r="K201" s="264"/>
    </row>
    <row r="202" spans="1:11">
      <c r="A202" s="273"/>
      <c r="B202" s="274"/>
      <c r="C202" s="278"/>
      <c r="D202" s="275">
        <v>0.84531999999999996</v>
      </c>
      <c r="E202" s="275">
        <v>0.872</v>
      </c>
      <c r="F202" s="275">
        <v>0.87797000000000003</v>
      </c>
      <c r="G202" s="275"/>
      <c r="H202" s="275"/>
      <c r="I202" s="275"/>
      <c r="J202" s="275"/>
      <c r="K202" s="264"/>
    </row>
    <row r="203" spans="1:11">
      <c r="A203" s="273"/>
      <c r="B203" s="274"/>
      <c r="C203" s="278"/>
      <c r="D203" s="275"/>
      <c r="E203" s="275"/>
      <c r="F203" s="275"/>
      <c r="G203" s="275"/>
      <c r="H203" s="275"/>
      <c r="I203" s="275"/>
      <c r="J203" s="275"/>
      <c r="K203" s="264"/>
    </row>
    <row r="204" spans="1:11">
      <c r="A204" s="273">
        <v>67</v>
      </c>
      <c r="B204" s="274">
        <v>25</v>
      </c>
      <c r="C204" s="278" t="s">
        <v>58</v>
      </c>
      <c r="D204" s="275" t="s">
        <v>441</v>
      </c>
      <c r="E204" s="275" t="s">
        <v>442</v>
      </c>
      <c r="F204" s="275" t="s">
        <v>443</v>
      </c>
      <c r="G204" s="275"/>
      <c r="H204" s="275"/>
      <c r="I204" s="275"/>
      <c r="J204" s="275"/>
      <c r="K204" s="264"/>
    </row>
    <row r="205" spans="1:11">
      <c r="A205" s="273"/>
      <c r="B205" s="274"/>
      <c r="C205" s="278"/>
      <c r="D205" s="275">
        <v>1.14594</v>
      </c>
      <c r="E205" s="275">
        <v>1.1506799999999999</v>
      </c>
      <c r="F205" s="275">
        <v>2.94665</v>
      </c>
      <c r="G205" s="275"/>
      <c r="H205" s="275"/>
      <c r="I205" s="275"/>
      <c r="J205" s="275"/>
      <c r="K205" s="264"/>
    </row>
    <row r="206" spans="1:11">
      <c r="A206" s="273"/>
      <c r="B206" s="274"/>
      <c r="C206" s="278"/>
      <c r="D206" s="275"/>
      <c r="E206" s="275"/>
      <c r="F206" s="275"/>
      <c r="G206" s="275"/>
      <c r="H206" s="275"/>
      <c r="I206" s="275"/>
      <c r="J206" s="275"/>
      <c r="K206" s="264"/>
    </row>
    <row r="207" spans="1:11">
      <c r="A207" s="273">
        <v>68</v>
      </c>
      <c r="B207" s="274">
        <v>25</v>
      </c>
      <c r="C207" s="278" t="s">
        <v>59</v>
      </c>
      <c r="D207" s="275" t="s">
        <v>441</v>
      </c>
      <c r="E207" s="275" t="s">
        <v>442</v>
      </c>
      <c r="F207" s="275"/>
      <c r="G207" s="275"/>
      <c r="H207" s="275"/>
      <c r="I207" s="275"/>
      <c r="J207" s="275"/>
      <c r="K207" s="264"/>
    </row>
    <row r="208" spans="1:11">
      <c r="A208" s="273"/>
      <c r="B208" s="274"/>
      <c r="C208" s="278"/>
      <c r="D208" s="275">
        <v>1.1242300000000001</v>
      </c>
      <c r="E208" s="275">
        <v>1.1285000000000001</v>
      </c>
      <c r="F208" s="275"/>
      <c r="G208" s="275"/>
      <c r="H208" s="275"/>
      <c r="I208" s="275"/>
      <c r="J208" s="275"/>
      <c r="K208" s="264"/>
    </row>
    <row r="209" spans="1:11">
      <c r="A209" s="273"/>
      <c r="B209" s="274"/>
      <c r="C209" s="278"/>
      <c r="D209" s="275"/>
      <c r="E209" s="275"/>
      <c r="F209" s="275"/>
      <c r="G209" s="275"/>
      <c r="H209" s="275"/>
      <c r="I209" s="275"/>
      <c r="J209" s="275"/>
      <c r="K209" s="264"/>
    </row>
    <row r="210" spans="1:11">
      <c r="A210" s="273">
        <v>69</v>
      </c>
      <c r="B210" s="274">
        <v>25</v>
      </c>
      <c r="C210" s="278" t="s">
        <v>60</v>
      </c>
      <c r="D210" s="275" t="s">
        <v>441</v>
      </c>
      <c r="E210" s="275" t="s">
        <v>442</v>
      </c>
      <c r="F210" s="275"/>
      <c r="G210" s="275"/>
      <c r="H210" s="275"/>
      <c r="I210" s="275"/>
      <c r="J210" s="275"/>
      <c r="K210" s="264"/>
    </row>
    <row r="211" spans="1:11">
      <c r="A211" s="273"/>
      <c r="B211" s="274"/>
      <c r="C211" s="278"/>
      <c r="D211" s="275">
        <v>1.03115</v>
      </c>
      <c r="E211" s="275">
        <v>1.0342499999999999</v>
      </c>
      <c r="F211" s="275"/>
      <c r="G211" s="275"/>
      <c r="H211" s="275"/>
      <c r="I211" s="275"/>
      <c r="J211" s="275"/>
      <c r="K211" s="264"/>
    </row>
    <row r="212" spans="1:11">
      <c r="A212" s="273"/>
      <c r="B212" s="274"/>
      <c r="C212" s="278"/>
      <c r="D212" s="275"/>
      <c r="E212" s="275"/>
      <c r="F212" s="275"/>
      <c r="G212" s="275"/>
      <c r="H212" s="275"/>
      <c r="I212" s="275"/>
      <c r="J212" s="275"/>
      <c r="K212" s="264"/>
    </row>
    <row r="213" spans="1:11">
      <c r="A213" s="273">
        <v>70</v>
      </c>
      <c r="B213" s="274">
        <v>25</v>
      </c>
      <c r="C213" s="278" t="s">
        <v>61</v>
      </c>
      <c r="D213" s="275" t="s">
        <v>441</v>
      </c>
      <c r="E213" s="275" t="s">
        <v>442</v>
      </c>
      <c r="F213" s="275"/>
      <c r="G213" s="275"/>
      <c r="H213" s="275"/>
      <c r="I213" s="275"/>
      <c r="J213" s="275"/>
      <c r="K213" s="264"/>
    </row>
    <row r="214" spans="1:11">
      <c r="A214" s="273"/>
      <c r="B214" s="274"/>
      <c r="C214" s="278"/>
      <c r="D214" s="275">
        <v>0.96030000000000004</v>
      </c>
      <c r="E214" s="275">
        <v>0.96274999999999999</v>
      </c>
      <c r="F214" s="275"/>
      <c r="G214" s="275"/>
      <c r="H214" s="275"/>
      <c r="I214" s="275"/>
      <c r="J214" s="275"/>
      <c r="K214" s="264"/>
    </row>
    <row r="215" spans="1:11">
      <c r="A215" s="273"/>
      <c r="B215" s="274"/>
      <c r="C215" s="278"/>
      <c r="D215" s="275"/>
      <c r="E215" s="275"/>
      <c r="F215" s="275"/>
      <c r="G215" s="275"/>
      <c r="H215" s="275"/>
      <c r="I215" s="275"/>
      <c r="J215" s="275"/>
      <c r="K215" s="264"/>
    </row>
    <row r="216" spans="1:11">
      <c r="A216" s="273">
        <v>71</v>
      </c>
      <c r="B216" s="274">
        <v>25</v>
      </c>
      <c r="C216" s="278" t="s">
        <v>62</v>
      </c>
      <c r="D216" s="275" t="s">
        <v>441</v>
      </c>
      <c r="E216" s="275" t="s">
        <v>442</v>
      </c>
      <c r="F216" s="275"/>
      <c r="G216" s="275"/>
      <c r="H216" s="275"/>
      <c r="I216" s="275"/>
      <c r="J216" s="275"/>
      <c r="K216" s="264"/>
    </row>
    <row r="217" spans="1:11">
      <c r="A217" s="273"/>
      <c r="B217" s="274"/>
      <c r="C217" s="278"/>
      <c r="D217" s="275">
        <v>0.90322999999999998</v>
      </c>
      <c r="E217" s="275">
        <v>0.90527999999999997</v>
      </c>
      <c r="F217" s="275"/>
      <c r="G217" s="275"/>
      <c r="H217" s="275"/>
      <c r="I217" s="275"/>
      <c r="J217" s="275"/>
      <c r="K217" s="264"/>
    </row>
    <row r="218" spans="1:11">
      <c r="A218" s="273"/>
      <c r="B218" s="274"/>
      <c r="C218" s="278"/>
      <c r="D218" s="275"/>
      <c r="E218" s="275"/>
      <c r="F218" s="275"/>
      <c r="G218" s="275"/>
      <c r="H218" s="275"/>
      <c r="I218" s="275"/>
      <c r="J218" s="275"/>
      <c r="K218" s="264"/>
    </row>
    <row r="219" spans="1:11">
      <c r="A219" s="273">
        <v>72</v>
      </c>
      <c r="B219" s="274">
        <v>25</v>
      </c>
      <c r="C219" s="278" t="s">
        <v>63</v>
      </c>
      <c r="D219" s="275" t="s">
        <v>441</v>
      </c>
      <c r="E219" s="275" t="s">
        <v>442</v>
      </c>
      <c r="F219" s="275"/>
      <c r="G219" s="275"/>
      <c r="H219" s="275"/>
      <c r="I219" s="275"/>
      <c r="J219" s="275"/>
      <c r="K219" s="264"/>
    </row>
    <row r="220" spans="1:11">
      <c r="A220" s="273"/>
      <c r="B220" s="274"/>
      <c r="C220" s="278"/>
      <c r="D220" s="275">
        <v>0.85550000000000004</v>
      </c>
      <c r="E220" s="275">
        <v>0.85726999999999998</v>
      </c>
      <c r="F220" s="275"/>
      <c r="G220" s="275"/>
      <c r="H220" s="275"/>
      <c r="I220" s="275"/>
      <c r="J220" s="275"/>
      <c r="K220" s="264"/>
    </row>
    <row r="221" spans="1:11">
      <c r="A221" s="273"/>
      <c r="B221" s="274"/>
      <c r="C221" s="278"/>
      <c r="D221" s="275"/>
      <c r="E221" s="275"/>
      <c r="F221" s="275"/>
      <c r="G221" s="275"/>
      <c r="H221" s="275"/>
      <c r="I221" s="275"/>
      <c r="J221" s="275"/>
      <c r="K221" s="264"/>
    </row>
    <row r="222" spans="1:11">
      <c r="A222" s="273">
        <v>73</v>
      </c>
      <c r="B222" s="274">
        <v>25</v>
      </c>
      <c r="C222" s="278" t="s">
        <v>64</v>
      </c>
      <c r="D222" s="275" t="s">
        <v>438</v>
      </c>
      <c r="E222" s="275" t="s">
        <v>439</v>
      </c>
      <c r="F222" s="275" t="s">
        <v>440</v>
      </c>
      <c r="G222" s="275"/>
      <c r="H222" s="275"/>
      <c r="I222" s="275"/>
      <c r="J222" s="275"/>
      <c r="K222" s="264"/>
    </row>
    <row r="223" spans="1:11">
      <c r="A223" s="273"/>
      <c r="B223" s="274"/>
      <c r="C223" s="278"/>
      <c r="D223" s="275">
        <v>0.79290000000000005</v>
      </c>
      <c r="E223" s="275">
        <v>0.81135999999999997</v>
      </c>
      <c r="F223" s="275">
        <v>0.81727000000000005</v>
      </c>
      <c r="G223" s="275"/>
      <c r="H223" s="275"/>
      <c r="I223" s="275"/>
      <c r="J223" s="275"/>
      <c r="K223" s="264"/>
    </row>
    <row r="224" spans="1:11">
      <c r="A224" s="273"/>
      <c r="B224" s="274"/>
      <c r="C224" s="278"/>
      <c r="D224" s="275"/>
      <c r="E224" s="275"/>
      <c r="F224" s="275"/>
      <c r="G224" s="275"/>
      <c r="H224" s="275"/>
      <c r="I224" s="275"/>
      <c r="J224" s="275"/>
      <c r="K224" s="264"/>
    </row>
    <row r="225" spans="1:11">
      <c r="A225" s="273">
        <v>74</v>
      </c>
      <c r="B225" s="274">
        <v>26</v>
      </c>
      <c r="C225" s="278" t="s">
        <v>65</v>
      </c>
      <c r="D225" s="275" t="s">
        <v>441</v>
      </c>
      <c r="E225" s="275" t="s">
        <v>442</v>
      </c>
      <c r="F225" s="275" t="s">
        <v>443</v>
      </c>
      <c r="G225" s="275"/>
      <c r="H225" s="275"/>
      <c r="I225" s="275"/>
      <c r="J225" s="275"/>
      <c r="K225" s="264"/>
    </row>
    <row r="226" spans="1:11">
      <c r="A226" s="273"/>
      <c r="B226" s="274"/>
      <c r="C226" s="278"/>
      <c r="D226" s="275">
        <v>1.07494</v>
      </c>
      <c r="E226" s="275">
        <v>1.0801499999999999</v>
      </c>
      <c r="F226" s="275">
        <v>2.8470300000000002</v>
      </c>
      <c r="G226" s="275"/>
      <c r="H226" s="275"/>
      <c r="I226" s="275"/>
      <c r="J226" s="275"/>
      <c r="K226" s="264"/>
    </row>
    <row r="227" spans="1:11">
      <c r="A227" s="273"/>
      <c r="B227" s="274"/>
      <c r="C227" s="278"/>
      <c r="D227" s="275"/>
      <c r="E227" s="275"/>
      <c r="F227" s="275"/>
      <c r="G227" s="275"/>
      <c r="H227" s="275"/>
      <c r="I227" s="275"/>
      <c r="J227" s="275"/>
      <c r="K227" s="264"/>
    </row>
    <row r="228" spans="1:11">
      <c r="A228" s="273">
        <v>75</v>
      </c>
      <c r="B228" s="274">
        <v>26</v>
      </c>
      <c r="C228" s="278" t="s">
        <v>66</v>
      </c>
      <c r="D228" s="275" t="s">
        <v>441</v>
      </c>
      <c r="E228" s="275" t="s">
        <v>442</v>
      </c>
      <c r="F228" s="275"/>
      <c r="G228" s="275"/>
      <c r="H228" s="275"/>
      <c r="I228" s="275"/>
      <c r="J228" s="275"/>
      <c r="K228" s="264"/>
    </row>
    <row r="229" spans="1:11">
      <c r="A229" s="273"/>
      <c r="B229" s="274"/>
      <c r="C229" s="278"/>
      <c r="D229" s="275">
        <v>1.0571200000000001</v>
      </c>
      <c r="E229" s="275">
        <v>1.0618300000000001</v>
      </c>
      <c r="F229" s="275"/>
      <c r="G229" s="275"/>
      <c r="H229" s="275"/>
      <c r="I229" s="275"/>
      <c r="J229" s="275"/>
      <c r="K229" s="264"/>
    </row>
    <row r="230" spans="1:11">
      <c r="A230" s="273"/>
      <c r="B230" s="274"/>
      <c r="C230" s="278"/>
      <c r="D230" s="275"/>
      <c r="E230" s="275"/>
      <c r="F230" s="275"/>
      <c r="G230" s="275"/>
      <c r="H230" s="275"/>
      <c r="I230" s="275"/>
      <c r="J230" s="275"/>
      <c r="K230" s="264"/>
    </row>
    <row r="231" spans="1:11">
      <c r="A231" s="273">
        <v>76</v>
      </c>
      <c r="B231" s="274">
        <v>26</v>
      </c>
      <c r="C231" s="278" t="s">
        <v>67</v>
      </c>
      <c r="D231" s="275" t="s">
        <v>441</v>
      </c>
      <c r="E231" s="275" t="s">
        <v>442</v>
      </c>
      <c r="F231" s="275"/>
      <c r="G231" s="275"/>
      <c r="H231" s="275"/>
      <c r="I231" s="275"/>
      <c r="J231" s="275"/>
      <c r="K231" s="264"/>
    </row>
    <row r="232" spans="1:11">
      <c r="A232" s="273"/>
      <c r="B232" s="274"/>
      <c r="C232" s="278"/>
      <c r="D232" s="275">
        <v>0.97582000000000002</v>
      </c>
      <c r="E232" s="275">
        <v>0.97924999999999995</v>
      </c>
      <c r="F232" s="275"/>
      <c r="G232" s="275"/>
      <c r="H232" s="275"/>
      <c r="I232" s="275"/>
      <c r="J232" s="275"/>
      <c r="K232" s="264"/>
    </row>
    <row r="233" spans="1:11">
      <c r="A233" s="273"/>
      <c r="B233" s="274"/>
      <c r="C233" s="278"/>
      <c r="D233" s="275"/>
      <c r="E233" s="275"/>
      <c r="F233" s="275"/>
      <c r="G233" s="275"/>
      <c r="H233" s="275"/>
      <c r="I233" s="275"/>
      <c r="J233" s="275"/>
      <c r="K233" s="264"/>
    </row>
    <row r="234" spans="1:11">
      <c r="A234" s="273">
        <v>77</v>
      </c>
      <c r="B234" s="274">
        <v>26</v>
      </c>
      <c r="C234" s="278" t="s">
        <v>68</v>
      </c>
      <c r="D234" s="275" t="s">
        <v>441</v>
      </c>
      <c r="E234" s="275" t="s">
        <v>442</v>
      </c>
      <c r="F234" s="275"/>
      <c r="G234" s="275"/>
      <c r="H234" s="275"/>
      <c r="I234" s="275"/>
      <c r="J234" s="275"/>
      <c r="K234" s="264"/>
    </row>
    <row r="235" spans="1:11">
      <c r="A235" s="273"/>
      <c r="B235" s="274"/>
      <c r="C235" s="278"/>
      <c r="D235" s="275">
        <v>0.91286</v>
      </c>
      <c r="E235" s="275">
        <v>0.91557999999999995</v>
      </c>
      <c r="F235" s="275"/>
      <c r="G235" s="275"/>
      <c r="H235" s="275"/>
      <c r="I235" s="275"/>
      <c r="J235" s="275"/>
      <c r="K235" s="264"/>
    </row>
    <row r="236" spans="1:11">
      <c r="A236" s="273"/>
      <c r="B236" s="274"/>
      <c r="C236" s="278"/>
      <c r="D236" s="275"/>
      <c r="E236" s="275"/>
      <c r="F236" s="275"/>
      <c r="G236" s="275"/>
      <c r="H236" s="275"/>
      <c r="I236" s="275"/>
      <c r="J236" s="275"/>
      <c r="K236" s="264"/>
    </row>
    <row r="237" spans="1:11">
      <c r="A237" s="273">
        <v>78</v>
      </c>
      <c r="B237" s="274">
        <v>26</v>
      </c>
      <c r="C237" s="278" t="s">
        <v>69</v>
      </c>
      <c r="D237" s="275" t="s">
        <v>441</v>
      </c>
      <c r="E237" s="275" t="s">
        <v>442</v>
      </c>
      <c r="F237" s="275"/>
      <c r="G237" s="275"/>
      <c r="H237" s="275"/>
      <c r="I237" s="275"/>
      <c r="J237" s="275"/>
      <c r="K237" s="264"/>
    </row>
    <row r="238" spans="1:11">
      <c r="A238" s="273"/>
      <c r="B238" s="274"/>
      <c r="C238" s="278"/>
      <c r="D238" s="275">
        <v>0.86155000000000004</v>
      </c>
      <c r="E238" s="275">
        <v>0.86382000000000003</v>
      </c>
      <c r="F238" s="275"/>
      <c r="G238" s="275"/>
      <c r="H238" s="275"/>
      <c r="I238" s="275"/>
      <c r="J238" s="275"/>
      <c r="K238" s="264"/>
    </row>
    <row r="239" spans="1:11">
      <c r="A239" s="273"/>
      <c r="B239" s="274"/>
      <c r="C239" s="278"/>
      <c r="D239" s="275"/>
      <c r="E239" s="275"/>
      <c r="F239" s="275"/>
      <c r="G239" s="275"/>
      <c r="H239" s="275"/>
      <c r="I239" s="275"/>
      <c r="J239" s="275"/>
      <c r="K239" s="264"/>
    </row>
    <row r="240" spans="1:11">
      <c r="A240" s="273">
        <v>79</v>
      </c>
      <c r="B240" s="274">
        <v>26</v>
      </c>
      <c r="C240" s="278" t="s">
        <v>70</v>
      </c>
      <c r="D240" s="275" t="s">
        <v>441</v>
      </c>
      <c r="E240" s="275" t="s">
        <v>442</v>
      </c>
      <c r="F240" s="275"/>
      <c r="G240" s="275"/>
      <c r="H240" s="275"/>
      <c r="I240" s="275"/>
      <c r="J240" s="275"/>
      <c r="K240" s="264"/>
    </row>
    <row r="241" spans="1:11">
      <c r="A241" s="273"/>
      <c r="B241" s="274"/>
      <c r="C241" s="278"/>
      <c r="D241" s="275">
        <v>0.81827000000000005</v>
      </c>
      <c r="E241" s="275">
        <v>0.82023000000000001</v>
      </c>
      <c r="F241" s="275"/>
      <c r="G241" s="275"/>
      <c r="H241" s="275"/>
      <c r="I241" s="275"/>
      <c r="J241" s="275"/>
      <c r="K241" s="264"/>
    </row>
    <row r="242" spans="1:11">
      <c r="A242" s="273"/>
      <c r="B242" s="274"/>
      <c r="C242" s="278"/>
      <c r="D242" s="275"/>
      <c r="E242" s="275"/>
      <c r="F242" s="275"/>
      <c r="G242" s="275"/>
      <c r="H242" s="275"/>
      <c r="I242" s="275"/>
      <c r="J242" s="275"/>
      <c r="K242" s="264"/>
    </row>
    <row r="243" spans="1:11">
      <c r="A243" s="273">
        <v>80</v>
      </c>
      <c r="B243" s="274">
        <v>27</v>
      </c>
      <c r="C243" s="278" t="s">
        <v>71</v>
      </c>
      <c r="D243" s="275" t="s">
        <v>441</v>
      </c>
      <c r="E243" s="275" t="s">
        <v>442</v>
      </c>
      <c r="F243" s="275"/>
      <c r="G243" s="275"/>
      <c r="H243" s="275"/>
      <c r="I243" s="275"/>
      <c r="J243" s="275"/>
      <c r="K243" s="264"/>
    </row>
    <row r="244" spans="1:11">
      <c r="A244" s="273"/>
      <c r="B244" s="274"/>
      <c r="C244" s="278"/>
      <c r="D244" s="275">
        <v>1.09693</v>
      </c>
      <c r="E244" s="275">
        <v>1.1052500000000001</v>
      </c>
      <c r="F244" s="275"/>
      <c r="G244" s="275"/>
      <c r="H244" s="275"/>
      <c r="I244" s="275"/>
      <c r="J244" s="275"/>
      <c r="K244" s="264"/>
    </row>
    <row r="245" spans="1:11">
      <c r="A245" s="273"/>
      <c r="B245" s="274"/>
      <c r="C245" s="278"/>
      <c r="D245" s="275"/>
      <c r="E245" s="275"/>
      <c r="F245" s="275"/>
      <c r="G245" s="275"/>
      <c r="H245" s="275"/>
      <c r="I245" s="275"/>
      <c r="J245" s="275"/>
      <c r="K245" s="264"/>
    </row>
    <row r="246" spans="1:11">
      <c r="A246" s="273">
        <v>81</v>
      </c>
      <c r="B246" s="274">
        <v>27</v>
      </c>
      <c r="C246" s="278" t="s">
        <v>72</v>
      </c>
      <c r="D246" s="275" t="s">
        <v>441</v>
      </c>
      <c r="E246" s="275" t="s">
        <v>442</v>
      </c>
      <c r="F246" s="275"/>
      <c r="G246" s="275"/>
      <c r="H246" s="275"/>
      <c r="I246" s="275"/>
      <c r="J246" s="275"/>
      <c r="K246" s="264"/>
    </row>
    <row r="247" spans="1:11">
      <c r="A247" s="273"/>
      <c r="B247" s="274"/>
      <c r="C247" s="278"/>
      <c r="D247" s="275">
        <v>0.99853000000000003</v>
      </c>
      <c r="E247" s="275">
        <v>1.00369</v>
      </c>
      <c r="F247" s="275"/>
      <c r="G247" s="275"/>
      <c r="H247" s="275"/>
      <c r="I247" s="275"/>
      <c r="J247" s="275"/>
      <c r="K247" s="264"/>
    </row>
    <row r="248" spans="1:11">
      <c r="A248" s="273"/>
      <c r="B248" s="274"/>
      <c r="C248" s="278"/>
      <c r="D248" s="275"/>
      <c r="E248" s="275"/>
      <c r="F248" s="275"/>
      <c r="G248" s="275"/>
      <c r="H248" s="275"/>
      <c r="I248" s="275"/>
      <c r="J248" s="275"/>
      <c r="K248" s="264"/>
    </row>
    <row r="249" spans="1:11">
      <c r="A249" s="273">
        <v>82</v>
      </c>
      <c r="B249" s="274">
        <v>27</v>
      </c>
      <c r="C249" s="278" t="s">
        <v>73</v>
      </c>
      <c r="D249" s="275" t="s">
        <v>441</v>
      </c>
      <c r="E249" s="275" t="s">
        <v>442</v>
      </c>
      <c r="F249" s="275"/>
      <c r="G249" s="275"/>
      <c r="H249" s="275"/>
      <c r="I249" s="275"/>
      <c r="J249" s="275"/>
      <c r="K249" s="264"/>
    </row>
    <row r="250" spans="1:11">
      <c r="A250" s="273"/>
      <c r="B250" s="274"/>
      <c r="C250" s="278"/>
      <c r="D250" s="275">
        <v>0.92666999999999999</v>
      </c>
      <c r="E250" s="275">
        <v>0.93044000000000004</v>
      </c>
      <c r="F250" s="275"/>
      <c r="G250" s="275"/>
      <c r="H250" s="275"/>
      <c r="I250" s="275"/>
      <c r="J250" s="275"/>
      <c r="K250" s="264"/>
    </row>
    <row r="251" spans="1:11">
      <c r="A251" s="273"/>
      <c r="B251" s="274"/>
      <c r="C251" s="278"/>
      <c r="D251" s="275"/>
      <c r="E251" s="275"/>
      <c r="F251" s="275"/>
      <c r="G251" s="275"/>
      <c r="H251" s="275"/>
      <c r="I251" s="275"/>
      <c r="J251" s="275"/>
      <c r="K251" s="264"/>
    </row>
    <row r="252" spans="1:11">
      <c r="A252" s="273">
        <v>83</v>
      </c>
      <c r="B252" s="274">
        <v>27</v>
      </c>
      <c r="C252" s="278" t="s">
        <v>74</v>
      </c>
      <c r="D252" s="275" t="s">
        <v>441</v>
      </c>
      <c r="E252" s="275" t="s">
        <v>442</v>
      </c>
      <c r="F252" s="275"/>
      <c r="G252" s="275"/>
      <c r="H252" s="275"/>
      <c r="I252" s="275"/>
      <c r="J252" s="275"/>
      <c r="K252" s="264"/>
    </row>
    <row r="253" spans="1:11">
      <c r="A253" s="273"/>
      <c r="B253" s="274"/>
      <c r="C253" s="278"/>
      <c r="D253" s="275">
        <v>0.87021999999999999</v>
      </c>
      <c r="E253" s="275">
        <v>0.87321000000000004</v>
      </c>
      <c r="F253" s="275"/>
      <c r="G253" s="275"/>
      <c r="H253" s="275"/>
      <c r="I253" s="275"/>
      <c r="J253" s="275"/>
      <c r="K253" s="264"/>
    </row>
    <row r="254" spans="1:11">
      <c r="A254" s="273"/>
      <c r="B254" s="274"/>
      <c r="C254" s="278"/>
      <c r="D254" s="275"/>
      <c r="E254" s="275"/>
      <c r="F254" s="275"/>
      <c r="G254" s="275"/>
      <c r="H254" s="275"/>
      <c r="I254" s="275"/>
      <c r="J254" s="275"/>
      <c r="K254" s="264"/>
    </row>
    <row r="255" spans="1:11">
      <c r="A255" s="273">
        <v>84</v>
      </c>
      <c r="B255" s="274">
        <v>27</v>
      </c>
      <c r="C255" s="278" t="s">
        <v>75</v>
      </c>
      <c r="D255" s="275" t="s">
        <v>441</v>
      </c>
      <c r="E255" s="275" t="s">
        <v>442</v>
      </c>
      <c r="F255" s="275"/>
      <c r="G255" s="275"/>
      <c r="H255" s="275"/>
      <c r="I255" s="275"/>
      <c r="J255" s="275"/>
      <c r="K255" s="264"/>
    </row>
    <row r="256" spans="1:11">
      <c r="A256" s="273"/>
      <c r="B256" s="274"/>
      <c r="C256" s="278"/>
      <c r="D256" s="275">
        <v>0.82376000000000005</v>
      </c>
      <c r="E256" s="275">
        <v>0.82625999999999999</v>
      </c>
      <c r="F256" s="275"/>
      <c r="G256" s="275"/>
      <c r="H256" s="275"/>
      <c r="I256" s="275"/>
      <c r="J256" s="275"/>
      <c r="K256" s="264"/>
    </row>
    <row r="257" spans="1:11">
      <c r="A257" s="273"/>
      <c r="B257" s="274"/>
      <c r="C257" s="278"/>
      <c r="D257" s="275"/>
      <c r="E257" s="275"/>
      <c r="F257" s="275"/>
      <c r="G257" s="275"/>
      <c r="H257" s="275"/>
      <c r="I257" s="275"/>
      <c r="J257" s="275"/>
      <c r="K257" s="264"/>
    </row>
    <row r="258" spans="1:11">
      <c r="A258" s="273">
        <v>85</v>
      </c>
      <c r="B258" s="274">
        <v>28</v>
      </c>
      <c r="C258" s="278" t="s">
        <v>76</v>
      </c>
      <c r="D258" s="275" t="s">
        <v>441</v>
      </c>
      <c r="E258" s="275" t="s">
        <v>442</v>
      </c>
      <c r="F258" s="275"/>
      <c r="G258" s="275"/>
      <c r="H258" s="275"/>
      <c r="I258" s="275"/>
      <c r="J258" s="275"/>
      <c r="K258" s="264"/>
    </row>
    <row r="259" spans="1:11">
      <c r="A259" s="273"/>
      <c r="B259" s="274"/>
      <c r="C259" s="278"/>
      <c r="D259" s="275">
        <v>1.03304</v>
      </c>
      <c r="E259" s="275">
        <v>1.04206</v>
      </c>
      <c r="F259" s="275"/>
      <c r="G259" s="275"/>
      <c r="H259" s="275"/>
      <c r="I259" s="275"/>
      <c r="J259" s="275"/>
      <c r="K259" s="264"/>
    </row>
    <row r="260" spans="1:11">
      <c r="A260" s="273"/>
      <c r="B260" s="274"/>
      <c r="C260" s="278"/>
      <c r="D260" s="275"/>
      <c r="E260" s="275"/>
      <c r="F260" s="275"/>
      <c r="G260" s="275"/>
      <c r="H260" s="275"/>
      <c r="I260" s="275"/>
      <c r="J260" s="275"/>
      <c r="K260" s="264"/>
    </row>
    <row r="261" spans="1:11">
      <c r="A261" s="273">
        <v>86</v>
      </c>
      <c r="B261" s="274">
        <v>28</v>
      </c>
      <c r="C261" s="278" t="s">
        <v>77</v>
      </c>
      <c r="D261" s="275" t="s">
        <v>441</v>
      </c>
      <c r="E261" s="275" t="s">
        <v>442</v>
      </c>
      <c r="F261" s="275"/>
      <c r="G261" s="275"/>
      <c r="H261" s="275"/>
      <c r="I261" s="275"/>
      <c r="J261" s="275"/>
      <c r="K261" s="264"/>
    </row>
    <row r="262" spans="1:11">
      <c r="A262" s="273"/>
      <c r="B262" s="274"/>
      <c r="C262" s="278"/>
      <c r="D262" s="275">
        <v>0.94676000000000005</v>
      </c>
      <c r="E262" s="275">
        <v>0.95240000000000002</v>
      </c>
      <c r="F262" s="275"/>
      <c r="G262" s="275"/>
      <c r="H262" s="275"/>
      <c r="I262" s="275"/>
      <c r="J262" s="275"/>
      <c r="K262" s="264"/>
    </row>
    <row r="263" spans="1:11">
      <c r="A263" s="273"/>
      <c r="B263" s="274"/>
      <c r="C263" s="278"/>
      <c r="D263" s="275"/>
      <c r="E263" s="275"/>
      <c r="F263" s="275"/>
      <c r="G263" s="275"/>
      <c r="H263" s="275"/>
      <c r="I263" s="275"/>
      <c r="J263" s="275"/>
      <c r="K263" s="264"/>
    </row>
    <row r="264" spans="1:11">
      <c r="A264" s="273">
        <v>87</v>
      </c>
      <c r="B264" s="274">
        <v>28</v>
      </c>
      <c r="C264" s="278" t="s">
        <v>78</v>
      </c>
      <c r="D264" s="275" t="s">
        <v>441</v>
      </c>
      <c r="E264" s="275" t="s">
        <v>442</v>
      </c>
      <c r="F264" s="275"/>
      <c r="G264" s="275"/>
      <c r="H264" s="275"/>
      <c r="I264" s="275"/>
      <c r="J264" s="275"/>
      <c r="K264" s="264"/>
    </row>
    <row r="265" spans="1:11">
      <c r="A265" s="273"/>
      <c r="B265" s="274"/>
      <c r="C265" s="278"/>
      <c r="D265" s="275">
        <v>0.88261999999999996</v>
      </c>
      <c r="E265" s="275">
        <v>0.88675999999999999</v>
      </c>
      <c r="F265" s="275"/>
      <c r="G265" s="275"/>
      <c r="H265" s="275"/>
      <c r="I265" s="275"/>
      <c r="J265" s="275"/>
      <c r="K265" s="264"/>
    </row>
    <row r="266" spans="1:11">
      <c r="A266" s="273"/>
      <c r="B266" s="274"/>
      <c r="C266" s="278"/>
      <c r="D266" s="275"/>
      <c r="E266" s="275"/>
      <c r="F266" s="275"/>
      <c r="G266" s="275"/>
      <c r="H266" s="275"/>
      <c r="I266" s="275"/>
      <c r="J266" s="275"/>
      <c r="K266" s="264"/>
    </row>
    <row r="267" spans="1:11">
      <c r="A267" s="273">
        <v>88</v>
      </c>
      <c r="B267" s="274">
        <v>28</v>
      </c>
      <c r="C267" s="278" t="s">
        <v>79</v>
      </c>
      <c r="D267" s="275" t="s">
        <v>441</v>
      </c>
      <c r="E267" s="275" t="s">
        <v>442</v>
      </c>
      <c r="F267" s="275"/>
      <c r="G267" s="275"/>
      <c r="H267" s="275"/>
      <c r="I267" s="275"/>
      <c r="J267" s="275"/>
      <c r="K267" s="264"/>
    </row>
    <row r="268" spans="1:11">
      <c r="A268" s="273"/>
      <c r="B268" s="274"/>
      <c r="C268" s="278"/>
      <c r="D268" s="275">
        <v>0.83162999999999998</v>
      </c>
      <c r="E268" s="275">
        <v>0.83492</v>
      </c>
      <c r="F268" s="275"/>
      <c r="G268" s="275"/>
      <c r="H268" s="275"/>
      <c r="I268" s="275"/>
      <c r="J268" s="275"/>
      <c r="K268" s="264"/>
    </row>
    <row r="269" spans="1:11">
      <c r="A269" s="273"/>
      <c r="B269" s="274"/>
      <c r="C269" s="278"/>
      <c r="D269" s="275"/>
      <c r="E269" s="275"/>
      <c r="F269" s="275"/>
      <c r="G269" s="275"/>
      <c r="H269" s="275"/>
      <c r="I269" s="275"/>
      <c r="J269" s="275"/>
      <c r="K269" s="264"/>
    </row>
    <row r="270" spans="1:11">
      <c r="A270" s="273">
        <v>89</v>
      </c>
      <c r="B270" s="274">
        <v>29</v>
      </c>
      <c r="C270" s="278" t="s">
        <v>80</v>
      </c>
      <c r="D270" s="275" t="s">
        <v>441</v>
      </c>
      <c r="E270" s="275" t="s">
        <v>442</v>
      </c>
      <c r="F270" s="275"/>
      <c r="G270" s="275"/>
      <c r="H270" s="275"/>
      <c r="I270" s="275"/>
      <c r="J270" s="275"/>
      <c r="K270" s="264"/>
    </row>
    <row r="271" spans="1:11">
      <c r="A271" s="273"/>
      <c r="B271" s="274"/>
      <c r="C271" s="278"/>
      <c r="D271" s="275">
        <v>0.97702</v>
      </c>
      <c r="E271" s="275">
        <v>0.98677999999999999</v>
      </c>
      <c r="F271" s="275"/>
      <c r="G271" s="275"/>
      <c r="H271" s="275"/>
      <c r="I271" s="275"/>
      <c r="J271" s="275"/>
      <c r="K271" s="264"/>
    </row>
    <row r="272" spans="1:11">
      <c r="A272" s="273"/>
      <c r="B272" s="274"/>
      <c r="C272" s="278"/>
      <c r="D272" s="275"/>
      <c r="E272" s="275"/>
      <c r="F272" s="275"/>
      <c r="G272" s="275"/>
      <c r="H272" s="275"/>
      <c r="I272" s="275"/>
      <c r="J272" s="275"/>
      <c r="K272" s="264"/>
    </row>
    <row r="273" spans="1:11">
      <c r="A273" s="273">
        <v>90</v>
      </c>
      <c r="B273" s="274">
        <v>29</v>
      </c>
      <c r="C273" s="278" t="s">
        <v>81</v>
      </c>
      <c r="D273" s="275" t="s">
        <v>441</v>
      </c>
      <c r="E273" s="275" t="s">
        <v>442</v>
      </c>
      <c r="F273" s="275"/>
      <c r="G273" s="275"/>
      <c r="H273" s="275"/>
      <c r="I273" s="275"/>
      <c r="J273" s="275"/>
      <c r="K273" s="264"/>
    </row>
    <row r="274" spans="1:11">
      <c r="A274" s="273"/>
      <c r="B274" s="274"/>
      <c r="C274" s="278"/>
      <c r="D274" s="275">
        <v>0.90056999999999998</v>
      </c>
      <c r="E274" s="275">
        <v>0.90671000000000002</v>
      </c>
      <c r="F274" s="275"/>
      <c r="G274" s="275"/>
      <c r="H274" s="275"/>
      <c r="I274" s="275"/>
      <c r="J274" s="275"/>
      <c r="K274" s="264"/>
    </row>
    <row r="275" spans="1:11">
      <c r="A275" s="273"/>
      <c r="B275" s="274"/>
      <c r="C275" s="278"/>
      <c r="D275" s="275"/>
      <c r="E275" s="275"/>
      <c r="F275" s="275"/>
      <c r="G275" s="275"/>
      <c r="H275" s="275"/>
      <c r="I275" s="275"/>
      <c r="J275" s="275"/>
      <c r="K275" s="264"/>
    </row>
    <row r="276" spans="1:11">
      <c r="A276" s="273">
        <v>91</v>
      </c>
      <c r="B276" s="274">
        <v>29</v>
      </c>
      <c r="C276" s="278" t="s">
        <v>82</v>
      </c>
      <c r="D276" s="275" t="s">
        <v>441</v>
      </c>
      <c r="E276" s="275" t="s">
        <v>442</v>
      </c>
      <c r="F276" s="275"/>
      <c r="G276" s="275"/>
      <c r="H276" s="275"/>
      <c r="I276" s="275"/>
      <c r="J276" s="275"/>
      <c r="K276" s="264"/>
    </row>
    <row r="277" spans="1:11">
      <c r="A277" s="273"/>
      <c r="B277" s="274"/>
      <c r="C277" s="278"/>
      <c r="D277" s="275">
        <v>0.84286000000000005</v>
      </c>
      <c r="E277" s="275">
        <v>0.84738000000000002</v>
      </c>
      <c r="F277" s="275"/>
      <c r="G277" s="275"/>
      <c r="H277" s="275"/>
      <c r="I277" s="275"/>
      <c r="J277" s="275"/>
      <c r="K277" s="264"/>
    </row>
    <row r="278" spans="1:11">
      <c r="A278" s="273"/>
      <c r="B278" s="274"/>
      <c r="C278" s="278"/>
      <c r="D278" s="275"/>
      <c r="E278" s="275"/>
      <c r="F278" s="275"/>
      <c r="G278" s="275"/>
      <c r="H278" s="275"/>
      <c r="I278" s="275"/>
      <c r="J278" s="275"/>
      <c r="K278" s="264"/>
    </row>
    <row r="279" spans="1:11">
      <c r="A279" s="273">
        <v>92</v>
      </c>
      <c r="B279" s="274">
        <v>29</v>
      </c>
      <c r="C279" s="278" t="s">
        <v>83</v>
      </c>
      <c r="D279" s="275" t="s">
        <v>441</v>
      </c>
      <c r="E279" s="275" t="s">
        <v>442</v>
      </c>
      <c r="F279" s="275"/>
      <c r="G279" s="275"/>
      <c r="H279" s="275"/>
      <c r="I279" s="275"/>
      <c r="J279" s="275"/>
      <c r="K279" s="264"/>
    </row>
    <row r="280" spans="1:11">
      <c r="A280" s="273"/>
      <c r="B280" s="274"/>
      <c r="C280" s="278"/>
      <c r="D280" s="275">
        <v>0.79651000000000005</v>
      </c>
      <c r="E280" s="275">
        <v>0.80010000000000003</v>
      </c>
      <c r="F280" s="275"/>
      <c r="G280" s="275"/>
      <c r="H280" s="275"/>
      <c r="I280" s="275"/>
      <c r="J280" s="275"/>
      <c r="K280" s="264"/>
    </row>
    <row r="281" spans="1:11">
      <c r="A281" s="273"/>
      <c r="B281" s="274"/>
      <c r="C281" s="278"/>
      <c r="D281" s="275"/>
      <c r="E281" s="275"/>
      <c r="F281" s="275"/>
      <c r="G281" s="275"/>
      <c r="H281" s="275"/>
      <c r="I281" s="275"/>
      <c r="J281" s="275"/>
      <c r="K281" s="264"/>
    </row>
    <row r="282" spans="1:11">
      <c r="A282" s="273">
        <v>93</v>
      </c>
      <c r="B282" s="274">
        <v>30</v>
      </c>
      <c r="C282" s="278" t="s">
        <v>335</v>
      </c>
      <c r="D282" s="275" t="s">
        <v>441</v>
      </c>
      <c r="E282" s="275" t="s">
        <v>442</v>
      </c>
      <c r="F282" s="275"/>
      <c r="G282" s="275"/>
      <c r="H282" s="275"/>
      <c r="I282" s="275"/>
      <c r="J282" s="275"/>
      <c r="K282" s="264"/>
    </row>
    <row r="283" spans="1:11">
      <c r="A283" s="273"/>
      <c r="B283" s="274"/>
      <c r="C283" s="278"/>
      <c r="D283" s="275">
        <v>0.85902000000000001</v>
      </c>
      <c r="E283" s="275">
        <v>0.86568999999999996</v>
      </c>
      <c r="F283" s="275"/>
      <c r="G283" s="275"/>
      <c r="H283" s="275"/>
      <c r="I283" s="275"/>
      <c r="J283" s="275"/>
      <c r="K283" s="264"/>
    </row>
    <row r="284" spans="1:11">
      <c r="A284" s="273"/>
      <c r="B284" s="274"/>
      <c r="C284" s="278"/>
      <c r="D284" s="275"/>
      <c r="E284" s="275"/>
      <c r="F284" s="275"/>
      <c r="G284" s="275"/>
      <c r="H284" s="275"/>
      <c r="I284" s="275"/>
      <c r="J284" s="275"/>
      <c r="K284" s="264"/>
    </row>
    <row r="285" spans="1:11">
      <c r="A285" s="273">
        <v>94</v>
      </c>
      <c r="B285" s="274">
        <v>31</v>
      </c>
      <c r="C285" s="278" t="s">
        <v>84</v>
      </c>
      <c r="D285" s="275" t="s">
        <v>441</v>
      </c>
      <c r="E285" s="275" t="s">
        <v>442</v>
      </c>
      <c r="F285" s="275" t="s">
        <v>443</v>
      </c>
      <c r="G285" s="275"/>
      <c r="H285" s="275"/>
      <c r="I285" s="275"/>
      <c r="J285" s="275"/>
      <c r="K285" s="264"/>
    </row>
    <row r="286" spans="1:11">
      <c r="A286" s="273"/>
      <c r="B286" s="274"/>
      <c r="C286" s="278"/>
      <c r="D286" s="275">
        <v>0.78664999999999996</v>
      </c>
      <c r="E286" s="275">
        <v>0.79262999999999995</v>
      </c>
      <c r="F286" s="275">
        <v>2.3103699999999998</v>
      </c>
      <c r="G286" s="275"/>
      <c r="H286" s="275"/>
      <c r="I286" s="275"/>
      <c r="J286" s="275"/>
      <c r="K286" s="264"/>
    </row>
    <row r="287" spans="1:11">
      <c r="A287" s="273"/>
      <c r="B287" s="274"/>
      <c r="C287" s="278"/>
      <c r="D287" s="275"/>
      <c r="E287" s="275"/>
      <c r="F287" s="275"/>
      <c r="G287" s="275"/>
      <c r="H287" s="275"/>
      <c r="I287" s="275"/>
      <c r="J287" s="275"/>
      <c r="K287" s="264"/>
    </row>
    <row r="288" spans="1:11">
      <c r="A288" s="273">
        <v>95</v>
      </c>
      <c r="B288" s="274">
        <v>31</v>
      </c>
      <c r="C288" s="278" t="s">
        <v>85</v>
      </c>
      <c r="D288" s="275" t="s">
        <v>441</v>
      </c>
      <c r="E288" s="275" t="s">
        <v>442</v>
      </c>
      <c r="F288" s="275" t="s">
        <v>443</v>
      </c>
      <c r="G288" s="275"/>
      <c r="H288" s="275"/>
      <c r="I288" s="275"/>
      <c r="J288" s="275"/>
      <c r="K288" s="264"/>
    </row>
    <row r="289" spans="1:11">
      <c r="A289" s="273"/>
      <c r="B289" s="274"/>
      <c r="C289" s="278"/>
      <c r="D289" s="275">
        <v>0.78085000000000004</v>
      </c>
      <c r="E289" s="275">
        <v>0.78651000000000004</v>
      </c>
      <c r="F289" s="275">
        <v>2.1471800000000001</v>
      </c>
      <c r="G289" s="275"/>
      <c r="H289" s="275"/>
      <c r="I289" s="275"/>
      <c r="J289" s="275"/>
      <c r="K289" s="264"/>
    </row>
    <row r="290" spans="1:11">
      <c r="A290" s="273"/>
      <c r="B290" s="274"/>
      <c r="C290" s="278"/>
      <c r="D290" s="275"/>
      <c r="E290" s="275"/>
      <c r="F290" s="275"/>
      <c r="G290" s="275"/>
      <c r="H290" s="275"/>
      <c r="I290" s="275"/>
      <c r="J290" s="275"/>
      <c r="K290" s="264"/>
    </row>
    <row r="291" spans="1:11">
      <c r="A291" s="273">
        <v>96</v>
      </c>
      <c r="B291" s="274">
        <v>31</v>
      </c>
      <c r="C291" s="278" t="s">
        <v>86</v>
      </c>
      <c r="D291" s="275" t="s">
        <v>441</v>
      </c>
      <c r="E291" s="275" t="s">
        <v>442</v>
      </c>
      <c r="F291" s="275"/>
      <c r="G291" s="275"/>
      <c r="H291" s="275"/>
      <c r="I291" s="275"/>
      <c r="J291" s="275"/>
      <c r="K291" s="264"/>
    </row>
    <row r="292" spans="1:11">
      <c r="A292" s="273"/>
      <c r="B292" s="274"/>
      <c r="C292" s="278"/>
      <c r="D292" s="275">
        <v>0.77376</v>
      </c>
      <c r="E292" s="275">
        <v>0.77908999999999995</v>
      </c>
      <c r="F292" s="275"/>
      <c r="G292" s="275"/>
      <c r="H292" s="275"/>
      <c r="I292" s="275"/>
      <c r="J292" s="275"/>
      <c r="K292" s="264"/>
    </row>
    <row r="293" spans="1:11">
      <c r="A293" s="273"/>
      <c r="B293" s="274"/>
      <c r="C293" s="278"/>
      <c r="D293" s="275"/>
      <c r="E293" s="275"/>
      <c r="F293" s="275"/>
      <c r="G293" s="275"/>
      <c r="H293" s="275"/>
      <c r="I293" s="275"/>
      <c r="J293" s="275"/>
      <c r="K293" s="264"/>
    </row>
    <row r="294" spans="1:11">
      <c r="A294" s="273">
        <v>97</v>
      </c>
      <c r="B294" s="274">
        <v>32</v>
      </c>
      <c r="C294" s="278" t="s">
        <v>87</v>
      </c>
      <c r="D294" s="275" t="s">
        <v>441</v>
      </c>
      <c r="E294" s="275" t="s">
        <v>442</v>
      </c>
      <c r="F294" s="275" t="s">
        <v>443</v>
      </c>
      <c r="G294" s="275" t="s">
        <v>444</v>
      </c>
      <c r="H294" s="275" t="s">
        <v>445</v>
      </c>
      <c r="I294" s="275"/>
      <c r="J294" s="275"/>
      <c r="K294" s="264"/>
    </row>
    <row r="295" spans="1:11">
      <c r="A295" s="273"/>
      <c r="B295" s="274"/>
      <c r="C295" s="278"/>
      <c r="D295" s="275">
        <v>0.72028000000000003</v>
      </c>
      <c r="E295" s="275">
        <v>0.72538999999999998</v>
      </c>
      <c r="F295" s="275">
        <v>2.0907900000000001</v>
      </c>
      <c r="G295" s="275">
        <v>2.5614599999999998</v>
      </c>
      <c r="H295" s="275">
        <v>2.59321</v>
      </c>
      <c r="I295" s="275"/>
      <c r="J295" s="275"/>
      <c r="K295" s="264"/>
    </row>
    <row r="296" spans="1:11">
      <c r="A296" s="273"/>
      <c r="B296" s="274"/>
      <c r="C296" s="278"/>
      <c r="D296" s="275"/>
      <c r="E296" s="275"/>
      <c r="F296" s="275"/>
      <c r="G296" s="275"/>
      <c r="H296" s="275"/>
      <c r="I296" s="275"/>
      <c r="J296" s="275"/>
      <c r="K296" s="264"/>
    </row>
    <row r="297" spans="1:11">
      <c r="A297" s="273">
        <v>98</v>
      </c>
      <c r="B297" s="274">
        <v>32</v>
      </c>
      <c r="C297" s="278" t="s">
        <v>88</v>
      </c>
      <c r="D297" s="275" t="s">
        <v>441</v>
      </c>
      <c r="E297" s="275" t="s">
        <v>442</v>
      </c>
      <c r="F297" s="275" t="s">
        <v>443</v>
      </c>
      <c r="G297" s="275"/>
      <c r="H297" s="275"/>
      <c r="I297" s="275"/>
      <c r="J297" s="275"/>
      <c r="K297" s="264"/>
    </row>
    <row r="298" spans="1:11">
      <c r="A298" s="273"/>
      <c r="B298" s="274"/>
      <c r="C298" s="278"/>
      <c r="D298" s="275">
        <v>0.71792</v>
      </c>
      <c r="E298" s="275">
        <v>0.72294000000000003</v>
      </c>
      <c r="F298" s="275">
        <v>1.9995000000000001</v>
      </c>
      <c r="G298" s="275"/>
      <c r="H298" s="275"/>
      <c r="I298" s="275"/>
      <c r="J298" s="275"/>
      <c r="K298" s="264"/>
    </row>
    <row r="299" spans="1:11">
      <c r="A299" s="273"/>
      <c r="B299" s="274"/>
      <c r="C299" s="278"/>
      <c r="D299" s="275"/>
      <c r="E299" s="275"/>
      <c r="F299" s="275"/>
      <c r="G299" s="275"/>
      <c r="H299" s="275"/>
      <c r="I299" s="275"/>
      <c r="J299" s="275"/>
      <c r="K299" s="264"/>
    </row>
    <row r="300" spans="1:11">
      <c r="A300" s="273">
        <v>99</v>
      </c>
      <c r="B300" s="274">
        <v>32</v>
      </c>
      <c r="C300" s="278" t="s">
        <v>89</v>
      </c>
      <c r="D300" s="275" t="s">
        <v>441</v>
      </c>
      <c r="E300" s="275" t="s">
        <v>442</v>
      </c>
      <c r="F300" s="275" t="s">
        <v>443</v>
      </c>
      <c r="G300" s="275"/>
      <c r="H300" s="275"/>
      <c r="I300" s="275"/>
      <c r="J300" s="275"/>
      <c r="K300" s="264"/>
    </row>
    <row r="301" spans="1:11">
      <c r="A301" s="273"/>
      <c r="B301" s="274"/>
      <c r="C301" s="278"/>
      <c r="D301" s="275">
        <v>0.71313000000000004</v>
      </c>
      <c r="E301" s="275">
        <v>0.71794000000000002</v>
      </c>
      <c r="F301" s="275">
        <v>1.8964399999999999</v>
      </c>
      <c r="G301" s="275"/>
      <c r="H301" s="275"/>
      <c r="I301" s="275"/>
      <c r="J301" s="275"/>
      <c r="K301" s="264"/>
    </row>
    <row r="302" spans="1:11">
      <c r="A302" s="273"/>
      <c r="B302" s="274"/>
      <c r="C302" s="278"/>
      <c r="D302" s="275"/>
      <c r="E302" s="275"/>
      <c r="F302" s="275"/>
      <c r="G302" s="275"/>
      <c r="H302" s="275"/>
      <c r="I302" s="275"/>
      <c r="J302" s="275"/>
      <c r="K302" s="264"/>
    </row>
    <row r="303" spans="1:11">
      <c r="A303" s="273">
        <v>100</v>
      </c>
      <c r="B303" s="274">
        <v>32</v>
      </c>
      <c r="C303" s="278" t="s">
        <v>90</v>
      </c>
      <c r="D303" s="275" t="s">
        <v>441</v>
      </c>
      <c r="E303" s="275" t="s">
        <v>442</v>
      </c>
      <c r="F303" s="275"/>
      <c r="G303" s="275"/>
      <c r="H303" s="275"/>
      <c r="I303" s="275"/>
      <c r="J303" s="275"/>
      <c r="K303" s="264"/>
    </row>
    <row r="304" spans="1:11">
      <c r="A304" s="273"/>
      <c r="B304" s="274"/>
      <c r="C304" s="278"/>
      <c r="D304" s="275">
        <v>0.70760000000000001</v>
      </c>
      <c r="E304" s="275">
        <v>0.71218999999999999</v>
      </c>
      <c r="F304" s="275"/>
      <c r="G304" s="275"/>
      <c r="H304" s="275"/>
      <c r="I304" s="275"/>
      <c r="J304" s="275"/>
      <c r="K304" s="264"/>
    </row>
    <row r="305" spans="1:11">
      <c r="A305" s="273"/>
      <c r="B305" s="274"/>
      <c r="C305" s="278"/>
      <c r="D305" s="275"/>
      <c r="E305" s="275"/>
      <c r="F305" s="275"/>
      <c r="G305" s="275"/>
      <c r="H305" s="275"/>
      <c r="I305" s="275"/>
      <c r="J305" s="275"/>
      <c r="K305" s="264"/>
    </row>
    <row r="306" spans="1:11">
      <c r="A306" s="273">
        <v>101</v>
      </c>
      <c r="B306" s="274">
        <v>33</v>
      </c>
      <c r="C306" s="278" t="s">
        <v>336</v>
      </c>
      <c r="D306" s="275" t="s">
        <v>441</v>
      </c>
      <c r="E306" s="275" t="s">
        <v>442</v>
      </c>
      <c r="F306" s="275" t="s">
        <v>443</v>
      </c>
      <c r="G306" s="275" t="s">
        <v>444</v>
      </c>
      <c r="H306" s="275" t="s">
        <v>445</v>
      </c>
      <c r="I306" s="275"/>
      <c r="J306" s="275"/>
      <c r="K306" s="264"/>
    </row>
    <row r="307" spans="1:11">
      <c r="A307" s="273"/>
      <c r="B307" s="274"/>
      <c r="C307" s="278"/>
      <c r="D307" s="275">
        <v>0.66486000000000001</v>
      </c>
      <c r="E307" s="275">
        <v>0.66939000000000004</v>
      </c>
      <c r="F307" s="275">
        <v>1.8487899999999999</v>
      </c>
      <c r="G307" s="275">
        <v>2.1530999999999998</v>
      </c>
      <c r="H307" s="275">
        <v>2.1792899999999999</v>
      </c>
      <c r="I307" s="275"/>
      <c r="J307" s="275"/>
      <c r="K307" s="264"/>
    </row>
    <row r="308" spans="1:11">
      <c r="A308" s="273"/>
      <c r="B308" s="274"/>
      <c r="C308" s="278"/>
      <c r="D308" s="275"/>
      <c r="E308" s="275"/>
      <c r="F308" s="275"/>
      <c r="G308" s="275"/>
      <c r="H308" s="275"/>
      <c r="I308" s="275"/>
      <c r="J308" s="275"/>
      <c r="K308" s="264"/>
    </row>
    <row r="309" spans="1:11">
      <c r="A309" s="273">
        <v>102</v>
      </c>
      <c r="B309" s="274">
        <v>33</v>
      </c>
      <c r="C309" s="278" t="s">
        <v>91</v>
      </c>
      <c r="D309" s="275" t="s">
        <v>441</v>
      </c>
      <c r="E309" s="275" t="s">
        <v>442</v>
      </c>
      <c r="F309" s="275" t="s">
        <v>443</v>
      </c>
      <c r="G309" s="275"/>
      <c r="H309" s="275"/>
      <c r="I309" s="275"/>
      <c r="J309" s="275"/>
      <c r="K309" s="264"/>
    </row>
    <row r="310" spans="1:11">
      <c r="A310" s="273"/>
      <c r="B310" s="274"/>
      <c r="C310" s="278"/>
      <c r="D310" s="275">
        <v>0.66244000000000003</v>
      </c>
      <c r="E310" s="275">
        <v>0.66690000000000005</v>
      </c>
      <c r="F310" s="275">
        <v>1.7840499999999999</v>
      </c>
      <c r="G310" s="275"/>
      <c r="H310" s="275"/>
      <c r="I310" s="275"/>
      <c r="J310" s="275"/>
      <c r="K310" s="264"/>
    </row>
    <row r="311" spans="1:11">
      <c r="A311" s="273"/>
      <c r="B311" s="274"/>
      <c r="C311" s="278"/>
      <c r="D311" s="275"/>
      <c r="E311" s="275"/>
      <c r="F311" s="275"/>
      <c r="G311" s="275"/>
      <c r="H311" s="275"/>
      <c r="I311" s="275"/>
      <c r="J311" s="275"/>
      <c r="K311" s="264"/>
    </row>
    <row r="312" spans="1:11">
      <c r="A312" s="273">
        <v>103</v>
      </c>
      <c r="B312" s="274">
        <v>33</v>
      </c>
      <c r="C312" s="278" t="s">
        <v>337</v>
      </c>
      <c r="D312" s="275" t="s">
        <v>441</v>
      </c>
      <c r="E312" s="275" t="s">
        <v>442</v>
      </c>
      <c r="F312" s="275"/>
      <c r="G312" s="275"/>
      <c r="H312" s="275"/>
      <c r="I312" s="275"/>
      <c r="J312" s="275"/>
      <c r="K312" s="264"/>
    </row>
    <row r="313" spans="1:11">
      <c r="A313" s="273"/>
      <c r="B313" s="274"/>
      <c r="C313" s="278"/>
      <c r="D313" s="275">
        <v>0.65393000000000001</v>
      </c>
      <c r="E313" s="275">
        <v>0.65807000000000004</v>
      </c>
      <c r="F313" s="275"/>
      <c r="G313" s="275"/>
      <c r="H313" s="275"/>
      <c r="I313" s="275"/>
      <c r="J313" s="275"/>
      <c r="K313" s="264"/>
    </row>
    <row r="314" spans="1:11">
      <c r="A314" s="273"/>
      <c r="B314" s="274"/>
      <c r="C314" s="278"/>
      <c r="D314" s="275"/>
      <c r="E314" s="275"/>
      <c r="F314" s="275"/>
      <c r="G314" s="275"/>
      <c r="H314" s="275"/>
      <c r="I314" s="275"/>
      <c r="J314" s="275"/>
      <c r="K314" s="264"/>
    </row>
    <row r="315" spans="1:11">
      <c r="A315" s="273">
        <v>104</v>
      </c>
      <c r="B315" s="274">
        <v>34</v>
      </c>
      <c r="C315" s="278" t="s">
        <v>338</v>
      </c>
      <c r="D315" s="275" t="s">
        <v>441</v>
      </c>
      <c r="E315" s="275" t="s">
        <v>442</v>
      </c>
      <c r="F315" s="275" t="s">
        <v>443</v>
      </c>
      <c r="G315" s="275" t="s">
        <v>444</v>
      </c>
      <c r="H315" s="275" t="s">
        <v>445</v>
      </c>
      <c r="I315" s="275"/>
      <c r="J315" s="275"/>
      <c r="K315" s="264"/>
    </row>
    <row r="316" spans="1:11">
      <c r="A316" s="273"/>
      <c r="B316" s="274"/>
      <c r="C316" s="278"/>
      <c r="D316" s="275">
        <v>0.62039999999999995</v>
      </c>
      <c r="E316" s="275">
        <v>0.62458999999999998</v>
      </c>
      <c r="F316" s="275">
        <v>1.7226699999999999</v>
      </c>
      <c r="G316" s="275">
        <v>1.9875799999999999</v>
      </c>
      <c r="H316" s="275">
        <v>2.0145300000000002</v>
      </c>
      <c r="I316" s="275"/>
      <c r="J316" s="275"/>
      <c r="K316" s="264"/>
    </row>
    <row r="317" spans="1:11">
      <c r="A317" s="273"/>
      <c r="B317" s="274"/>
      <c r="C317" s="278"/>
      <c r="D317" s="275"/>
      <c r="E317" s="275"/>
      <c r="F317" s="275"/>
      <c r="G317" s="275"/>
      <c r="H317" s="275"/>
      <c r="I317" s="275"/>
      <c r="J317" s="275"/>
      <c r="K317" s="264"/>
    </row>
    <row r="318" spans="1:11">
      <c r="A318" s="273">
        <v>105</v>
      </c>
      <c r="B318" s="274">
        <v>34</v>
      </c>
      <c r="C318" s="278" t="s">
        <v>339</v>
      </c>
      <c r="D318" s="275" t="s">
        <v>441</v>
      </c>
      <c r="E318" s="275" t="s">
        <v>442</v>
      </c>
      <c r="F318" s="275" t="s">
        <v>443</v>
      </c>
      <c r="G318" s="275"/>
      <c r="H318" s="275"/>
      <c r="I318" s="275"/>
      <c r="J318" s="275"/>
      <c r="K318" s="264"/>
    </row>
    <row r="319" spans="1:11">
      <c r="A319" s="273"/>
      <c r="B319" s="274"/>
      <c r="C319" s="278"/>
      <c r="D319" s="275">
        <v>0.61628000000000005</v>
      </c>
      <c r="E319" s="275">
        <v>0.62036000000000002</v>
      </c>
      <c r="F319" s="275">
        <v>1.6209800000000001</v>
      </c>
      <c r="G319" s="275"/>
      <c r="H319" s="275"/>
      <c r="I319" s="275"/>
      <c r="J319" s="275"/>
      <c r="K319" s="264"/>
    </row>
    <row r="320" spans="1:11">
      <c r="A320" s="273"/>
      <c r="B320" s="274"/>
      <c r="C320" s="278"/>
      <c r="D320" s="275"/>
      <c r="E320" s="275"/>
      <c r="F320" s="275"/>
      <c r="G320" s="275"/>
      <c r="H320" s="275"/>
      <c r="I320" s="275"/>
      <c r="J320" s="275"/>
      <c r="K320" s="264"/>
    </row>
    <row r="321" spans="1:11">
      <c r="A321" s="273">
        <v>106</v>
      </c>
      <c r="B321" s="274">
        <v>34</v>
      </c>
      <c r="C321" s="278" t="s">
        <v>340</v>
      </c>
      <c r="D321" s="275" t="s">
        <v>441</v>
      </c>
      <c r="E321" s="275" t="s">
        <v>442</v>
      </c>
      <c r="F321" s="275"/>
      <c r="G321" s="275"/>
      <c r="H321" s="275"/>
      <c r="I321" s="275"/>
      <c r="J321" s="275"/>
      <c r="K321" s="264"/>
    </row>
    <row r="322" spans="1:11">
      <c r="A322" s="273"/>
      <c r="B322" s="274"/>
      <c r="C322" s="278"/>
      <c r="D322" s="275">
        <v>0.60909999999999997</v>
      </c>
      <c r="E322" s="275">
        <v>0.61292999999999997</v>
      </c>
      <c r="F322" s="275"/>
      <c r="G322" s="275"/>
      <c r="H322" s="275"/>
      <c r="I322" s="275"/>
      <c r="J322" s="275"/>
      <c r="K322" s="264"/>
    </row>
    <row r="323" spans="1:11">
      <c r="A323" s="273"/>
      <c r="B323" s="274"/>
      <c r="C323" s="278"/>
      <c r="D323" s="275"/>
      <c r="E323" s="275"/>
      <c r="F323" s="275"/>
      <c r="G323" s="275"/>
      <c r="H323" s="275"/>
      <c r="I323" s="275"/>
      <c r="J323" s="275"/>
      <c r="K323" s="264"/>
    </row>
    <row r="324" spans="1:11">
      <c r="A324" s="273">
        <v>107</v>
      </c>
      <c r="B324" s="274">
        <v>35</v>
      </c>
      <c r="C324" s="278" t="s">
        <v>92</v>
      </c>
      <c r="D324" s="275" t="s">
        <v>441</v>
      </c>
      <c r="E324" s="275" t="s">
        <v>442</v>
      </c>
      <c r="F324" s="275" t="s">
        <v>443</v>
      </c>
      <c r="G324" s="275" t="s">
        <v>444</v>
      </c>
      <c r="H324" s="275" t="s">
        <v>445</v>
      </c>
      <c r="I324" s="275"/>
      <c r="J324" s="275"/>
      <c r="K324" s="264"/>
    </row>
    <row r="325" spans="1:11">
      <c r="A325" s="273"/>
      <c r="B325" s="274"/>
      <c r="C325" s="278"/>
      <c r="D325" s="275">
        <v>0.58331999999999995</v>
      </c>
      <c r="E325" s="275">
        <v>0.58730000000000004</v>
      </c>
      <c r="F325" s="275">
        <v>1.66151</v>
      </c>
      <c r="G325" s="275">
        <v>1.94831</v>
      </c>
      <c r="H325" s="275">
        <v>1.9818199999999999</v>
      </c>
      <c r="I325" s="275"/>
      <c r="J325" s="275"/>
      <c r="K325" s="264"/>
    </row>
    <row r="326" spans="1:11">
      <c r="A326" s="273"/>
      <c r="B326" s="274"/>
      <c r="C326" s="278"/>
      <c r="D326" s="275"/>
      <c r="E326" s="275"/>
      <c r="F326" s="275"/>
      <c r="G326" s="275"/>
      <c r="H326" s="275"/>
      <c r="I326" s="275"/>
      <c r="J326" s="275"/>
      <c r="K326" s="264"/>
    </row>
    <row r="327" spans="1:11">
      <c r="A327" s="273">
        <v>108</v>
      </c>
      <c r="B327" s="274">
        <v>35</v>
      </c>
      <c r="C327" s="278" t="s">
        <v>341</v>
      </c>
      <c r="D327" s="275" t="s">
        <v>441</v>
      </c>
      <c r="E327" s="275" t="s">
        <v>442</v>
      </c>
      <c r="F327" s="275" t="s">
        <v>443</v>
      </c>
      <c r="G327" s="275" t="s">
        <v>444</v>
      </c>
      <c r="H327" s="275" t="s">
        <v>445</v>
      </c>
      <c r="I327" s="275"/>
      <c r="J327" s="275"/>
      <c r="K327" s="264"/>
    </row>
    <row r="328" spans="1:11">
      <c r="A328" s="273"/>
      <c r="B328" s="274"/>
      <c r="C328" s="278"/>
      <c r="D328" s="275">
        <v>0.58096000000000003</v>
      </c>
      <c r="E328" s="275">
        <v>0.58487999999999996</v>
      </c>
      <c r="F328" s="275">
        <v>1.5707899999999999</v>
      </c>
      <c r="G328" s="275">
        <v>1.76579</v>
      </c>
      <c r="H328" s="275">
        <v>1.78962</v>
      </c>
      <c r="I328" s="275"/>
      <c r="J328" s="275"/>
      <c r="K328" s="264"/>
    </row>
    <row r="329" spans="1:11">
      <c r="A329" s="273"/>
      <c r="B329" s="274"/>
      <c r="C329" s="278"/>
      <c r="D329" s="275"/>
      <c r="E329" s="275"/>
      <c r="F329" s="275"/>
      <c r="G329" s="275"/>
      <c r="H329" s="275"/>
      <c r="I329" s="275"/>
      <c r="J329" s="275"/>
      <c r="K329" s="264"/>
    </row>
    <row r="330" spans="1:11">
      <c r="A330" s="273">
        <v>109</v>
      </c>
      <c r="B330" s="274">
        <v>35</v>
      </c>
      <c r="C330" s="278" t="s">
        <v>93</v>
      </c>
      <c r="D330" s="275" t="s">
        <v>441</v>
      </c>
      <c r="E330" s="275" t="s">
        <v>442</v>
      </c>
      <c r="F330" s="275" t="s">
        <v>443</v>
      </c>
      <c r="G330" s="275" t="s">
        <v>444</v>
      </c>
      <c r="H330" s="275" t="s">
        <v>445</v>
      </c>
      <c r="I330" s="275"/>
      <c r="J330" s="275"/>
      <c r="K330" s="264"/>
    </row>
    <row r="331" spans="1:11">
      <c r="A331" s="273"/>
      <c r="B331" s="274"/>
      <c r="C331" s="278"/>
      <c r="D331" s="275">
        <v>0.57916999999999996</v>
      </c>
      <c r="E331" s="275">
        <v>0.58304999999999996</v>
      </c>
      <c r="F331" s="275">
        <v>1.5295000000000001</v>
      </c>
      <c r="G331" s="275">
        <v>1.6951700000000001</v>
      </c>
      <c r="H331" s="275">
        <v>1.7163299999999999</v>
      </c>
      <c r="I331" s="275"/>
      <c r="J331" s="275"/>
      <c r="K331" s="264"/>
    </row>
    <row r="332" spans="1:11">
      <c r="A332" s="273"/>
      <c r="B332" s="274"/>
      <c r="C332" s="278"/>
      <c r="D332" s="275"/>
      <c r="E332" s="275"/>
      <c r="F332" s="275"/>
      <c r="G332" s="275"/>
      <c r="H332" s="275"/>
      <c r="I332" s="275"/>
      <c r="J332" s="275"/>
      <c r="K332" s="264"/>
    </row>
    <row r="333" spans="1:11">
      <c r="A333" s="273">
        <v>110</v>
      </c>
      <c r="B333" s="274">
        <v>35</v>
      </c>
      <c r="C333" s="278" t="s">
        <v>94</v>
      </c>
      <c r="D333" s="275" t="s">
        <v>441</v>
      </c>
      <c r="E333" s="275" t="s">
        <v>442</v>
      </c>
      <c r="F333" s="275" t="s">
        <v>443</v>
      </c>
      <c r="G333" s="275"/>
      <c r="H333" s="275"/>
      <c r="I333" s="275"/>
      <c r="J333" s="275"/>
      <c r="K333" s="264"/>
    </row>
    <row r="334" spans="1:11">
      <c r="A334" s="273"/>
      <c r="B334" s="274"/>
      <c r="C334" s="278"/>
      <c r="D334" s="275">
        <v>0.57699999999999996</v>
      </c>
      <c r="E334" s="275">
        <v>0.58082999999999996</v>
      </c>
      <c r="F334" s="275">
        <v>1.49098</v>
      </c>
      <c r="G334" s="275"/>
      <c r="H334" s="275"/>
      <c r="I334" s="275"/>
      <c r="J334" s="275"/>
      <c r="K334" s="264"/>
    </row>
    <row r="335" spans="1:11">
      <c r="A335" s="273"/>
      <c r="B335" s="274"/>
      <c r="C335" s="278"/>
      <c r="D335" s="275"/>
      <c r="E335" s="275"/>
      <c r="F335" s="275"/>
      <c r="G335" s="275"/>
      <c r="H335" s="275"/>
      <c r="I335" s="275"/>
      <c r="J335" s="275"/>
      <c r="K335" s="264"/>
    </row>
    <row r="336" spans="1:11">
      <c r="A336" s="273">
        <v>111</v>
      </c>
      <c r="B336" s="274">
        <v>35</v>
      </c>
      <c r="C336" s="278" t="s">
        <v>342</v>
      </c>
      <c r="D336" s="275" t="s">
        <v>441</v>
      </c>
      <c r="E336" s="275" t="s">
        <v>442</v>
      </c>
      <c r="F336" s="275"/>
      <c r="G336" s="275"/>
      <c r="H336" s="275"/>
      <c r="I336" s="275"/>
      <c r="J336" s="275"/>
      <c r="K336" s="264"/>
    </row>
    <row r="337" spans="1:11">
      <c r="A337" s="273"/>
      <c r="B337" s="274"/>
      <c r="C337" s="278"/>
      <c r="D337" s="275">
        <v>0.57081999999999999</v>
      </c>
      <c r="E337" s="275">
        <v>0.57445000000000002</v>
      </c>
      <c r="F337" s="275"/>
      <c r="G337" s="275"/>
      <c r="H337" s="275"/>
      <c r="I337" s="275"/>
      <c r="J337" s="275"/>
      <c r="K337" s="264"/>
    </row>
    <row r="338" spans="1:11">
      <c r="A338" s="273"/>
      <c r="B338" s="274"/>
      <c r="C338" s="278"/>
      <c r="D338" s="275"/>
      <c r="E338" s="275"/>
      <c r="F338" s="275"/>
      <c r="G338" s="275"/>
      <c r="H338" s="275"/>
      <c r="I338" s="275"/>
      <c r="J338" s="275"/>
      <c r="K338" s="264"/>
    </row>
    <row r="339" spans="1:11">
      <c r="A339" s="273">
        <v>112</v>
      </c>
      <c r="B339" s="274">
        <v>35</v>
      </c>
      <c r="C339" s="278" t="s">
        <v>343</v>
      </c>
      <c r="D339" s="275" t="s">
        <v>441</v>
      </c>
      <c r="E339" s="275" t="s">
        <v>442</v>
      </c>
      <c r="F339" s="275" t="s">
        <v>443</v>
      </c>
      <c r="G339" s="275" t="s">
        <v>444</v>
      </c>
      <c r="H339" s="275" t="s">
        <v>445</v>
      </c>
      <c r="I339" s="275"/>
      <c r="J339" s="275"/>
      <c r="K339" s="264"/>
    </row>
    <row r="340" spans="1:11">
      <c r="A340" s="273"/>
      <c r="B340" s="274"/>
      <c r="C340" s="278"/>
      <c r="D340" s="275">
        <v>0.58406999999999998</v>
      </c>
      <c r="E340" s="275">
        <v>0.58804000000000001</v>
      </c>
      <c r="F340" s="275">
        <v>1.7540100000000001</v>
      </c>
      <c r="G340" s="275">
        <v>2.2501899999999999</v>
      </c>
      <c r="H340" s="275">
        <v>2.3233000000000001</v>
      </c>
      <c r="I340" s="275"/>
      <c r="J340" s="275"/>
      <c r="K340" s="264"/>
    </row>
    <row r="341" spans="1:11">
      <c r="A341" s="273"/>
      <c r="B341" s="274"/>
      <c r="C341" s="278"/>
      <c r="D341" s="275"/>
      <c r="E341" s="275"/>
      <c r="F341" s="275"/>
      <c r="G341" s="275"/>
      <c r="H341" s="275"/>
      <c r="I341" s="275"/>
      <c r="J341" s="275"/>
      <c r="K341" s="264"/>
    </row>
    <row r="342" spans="1:11">
      <c r="A342" s="273">
        <v>113</v>
      </c>
      <c r="B342" s="274">
        <v>36</v>
      </c>
      <c r="C342" s="278" t="s">
        <v>344</v>
      </c>
      <c r="D342" s="275" t="s">
        <v>441</v>
      </c>
      <c r="E342" s="275" t="s">
        <v>442</v>
      </c>
      <c r="F342" s="275" t="s">
        <v>443</v>
      </c>
      <c r="G342" s="275" t="s">
        <v>444</v>
      </c>
      <c r="H342" s="275" t="s">
        <v>445</v>
      </c>
      <c r="I342" s="275"/>
      <c r="J342" s="275"/>
      <c r="K342" s="264"/>
    </row>
    <row r="343" spans="1:11">
      <c r="A343" s="273"/>
      <c r="B343" s="274"/>
      <c r="C343" s="278"/>
      <c r="D343" s="275">
        <v>0.54925999999999997</v>
      </c>
      <c r="E343" s="275">
        <v>0.55305000000000004</v>
      </c>
      <c r="F343" s="275">
        <v>1.5213399999999999</v>
      </c>
      <c r="G343" s="275">
        <v>1.7293799999999999</v>
      </c>
      <c r="H343" s="275">
        <v>1.7576400000000001</v>
      </c>
      <c r="I343" s="275"/>
      <c r="J343" s="275"/>
      <c r="K343" s="264"/>
    </row>
    <row r="344" spans="1:11">
      <c r="A344" s="273"/>
      <c r="B344" s="274"/>
      <c r="C344" s="278"/>
      <c r="D344" s="275"/>
      <c r="E344" s="275"/>
      <c r="F344" s="275"/>
      <c r="G344" s="275"/>
      <c r="H344" s="275"/>
      <c r="I344" s="275"/>
      <c r="J344" s="275"/>
      <c r="K344" s="264"/>
    </row>
    <row r="345" spans="1:11">
      <c r="A345" s="273">
        <v>114</v>
      </c>
      <c r="B345" s="274">
        <v>37</v>
      </c>
      <c r="C345" s="278" t="s">
        <v>95</v>
      </c>
      <c r="D345" s="275" t="s">
        <v>441</v>
      </c>
      <c r="E345" s="275" t="s">
        <v>442</v>
      </c>
      <c r="F345" s="275" t="s">
        <v>443</v>
      </c>
      <c r="G345" s="275" t="s">
        <v>444</v>
      </c>
      <c r="H345" s="275" t="s">
        <v>445</v>
      </c>
      <c r="I345" s="275"/>
      <c r="J345" s="275"/>
      <c r="K345" s="264"/>
    </row>
    <row r="346" spans="1:11">
      <c r="A346" s="273"/>
      <c r="B346" s="274"/>
      <c r="C346" s="278"/>
      <c r="D346" s="275">
        <v>0.52076999999999996</v>
      </c>
      <c r="E346" s="275">
        <v>0.52444999999999997</v>
      </c>
      <c r="F346" s="275">
        <v>1.4727399999999999</v>
      </c>
      <c r="G346" s="275">
        <v>1.6960500000000001</v>
      </c>
      <c r="H346" s="275">
        <v>1.7304200000000001</v>
      </c>
      <c r="I346" s="275"/>
      <c r="J346" s="275"/>
      <c r="K346" s="264"/>
    </row>
    <row r="347" spans="1:11">
      <c r="A347" s="273"/>
      <c r="B347" s="274"/>
      <c r="C347" s="278"/>
      <c r="D347" s="275"/>
      <c r="E347" s="275"/>
      <c r="F347" s="275"/>
      <c r="G347" s="275"/>
      <c r="H347" s="275"/>
      <c r="I347" s="275"/>
      <c r="J347" s="275"/>
      <c r="K347" s="264"/>
    </row>
    <row r="348" spans="1:11">
      <c r="A348" s="273">
        <v>115</v>
      </c>
      <c r="B348" s="274">
        <v>38</v>
      </c>
      <c r="C348" s="278" t="s">
        <v>345</v>
      </c>
      <c r="D348" s="275" t="s">
        <v>441</v>
      </c>
      <c r="E348" s="275" t="s">
        <v>442</v>
      </c>
      <c r="F348" s="275" t="s">
        <v>443</v>
      </c>
      <c r="G348" s="275" t="s">
        <v>444</v>
      </c>
      <c r="H348" s="275" t="s">
        <v>445</v>
      </c>
      <c r="I348" s="275"/>
      <c r="J348" s="275"/>
      <c r="K348" s="264"/>
    </row>
    <row r="349" spans="1:11">
      <c r="A349" s="273"/>
      <c r="B349" s="274"/>
      <c r="C349" s="278"/>
      <c r="D349" s="275">
        <v>0.49421999999999999</v>
      </c>
      <c r="E349" s="275">
        <v>0.49780000000000002</v>
      </c>
      <c r="F349" s="275">
        <v>1.3659699999999999</v>
      </c>
      <c r="G349" s="275">
        <v>1.53508</v>
      </c>
      <c r="H349" s="275">
        <v>1.56454</v>
      </c>
      <c r="I349" s="275"/>
      <c r="J349" s="275"/>
      <c r="K349" s="264"/>
    </row>
    <row r="350" spans="1:11">
      <c r="A350" s="273"/>
      <c r="B350" s="274"/>
      <c r="C350" s="278"/>
      <c r="D350" s="275"/>
      <c r="E350" s="275"/>
      <c r="F350" s="275"/>
      <c r="G350" s="275"/>
      <c r="H350" s="275"/>
      <c r="I350" s="275"/>
      <c r="J350" s="275"/>
      <c r="K350" s="264"/>
    </row>
    <row r="351" spans="1:11">
      <c r="A351" s="273">
        <v>116</v>
      </c>
      <c r="B351" s="274">
        <v>39</v>
      </c>
      <c r="C351" s="278" t="s">
        <v>346</v>
      </c>
      <c r="D351" s="275" t="s">
        <v>446</v>
      </c>
      <c r="E351" s="275" t="s">
        <v>447</v>
      </c>
      <c r="F351" s="275"/>
      <c r="G351" s="275"/>
      <c r="H351" s="275"/>
      <c r="I351" s="275"/>
      <c r="J351" s="275"/>
      <c r="K351" s="264"/>
    </row>
    <row r="352" spans="1:11">
      <c r="A352" s="273"/>
      <c r="B352" s="274"/>
      <c r="C352" s="278"/>
      <c r="D352" s="275">
        <v>2.2049599999999998</v>
      </c>
      <c r="E352" s="275">
        <v>2.2185600000000001</v>
      </c>
      <c r="F352" s="275"/>
      <c r="G352" s="275"/>
      <c r="H352" s="275"/>
      <c r="I352" s="275"/>
      <c r="J352" s="275"/>
      <c r="K352" s="264"/>
    </row>
    <row r="353" spans="1:11">
      <c r="A353" s="273"/>
      <c r="B353" s="274"/>
      <c r="C353" s="278"/>
      <c r="D353" s="275"/>
      <c r="E353" s="275"/>
      <c r="F353" s="275"/>
      <c r="G353" s="275"/>
      <c r="H353" s="275"/>
      <c r="I353" s="275"/>
      <c r="J353" s="275"/>
      <c r="K353" s="264"/>
    </row>
    <row r="354" spans="1:11">
      <c r="A354" s="273">
        <v>117</v>
      </c>
      <c r="B354" s="274">
        <v>39</v>
      </c>
      <c r="C354" s="278" t="s">
        <v>96</v>
      </c>
      <c r="D354" s="275" t="s">
        <v>441</v>
      </c>
      <c r="E354" s="275" t="s">
        <v>442</v>
      </c>
      <c r="F354" s="275" t="s">
        <v>443</v>
      </c>
      <c r="G354" s="275" t="s">
        <v>444</v>
      </c>
      <c r="H354" s="275" t="s">
        <v>445</v>
      </c>
      <c r="I354" s="275"/>
      <c r="J354" s="275"/>
      <c r="K354" s="264"/>
    </row>
    <row r="355" spans="1:11">
      <c r="A355" s="273"/>
      <c r="B355" s="274"/>
      <c r="C355" s="278"/>
      <c r="D355" s="275">
        <v>0.47036</v>
      </c>
      <c r="E355" s="275">
        <v>0.47387000000000001</v>
      </c>
      <c r="F355" s="275">
        <v>1.2755700000000001</v>
      </c>
      <c r="G355" s="275">
        <v>1.40873</v>
      </c>
      <c r="H355" s="275">
        <v>1.4351799999999999</v>
      </c>
      <c r="I355" s="275"/>
      <c r="J355" s="275"/>
      <c r="K355" s="264"/>
    </row>
    <row r="356" spans="1:11">
      <c r="A356" s="273"/>
      <c r="B356" s="274"/>
      <c r="C356" s="278"/>
      <c r="D356" s="275"/>
      <c r="E356" s="275"/>
      <c r="F356" s="275"/>
      <c r="G356" s="275"/>
      <c r="H356" s="275"/>
      <c r="I356" s="275"/>
      <c r="J356" s="275"/>
      <c r="K356" s="264"/>
    </row>
    <row r="357" spans="1:11">
      <c r="A357" s="273">
        <v>118</v>
      </c>
      <c r="B357" s="274">
        <v>40</v>
      </c>
      <c r="C357" s="278" t="s">
        <v>97</v>
      </c>
      <c r="D357" s="275" t="s">
        <v>446</v>
      </c>
      <c r="E357" s="275" t="s">
        <v>447</v>
      </c>
      <c r="F357" s="275" t="s">
        <v>448</v>
      </c>
      <c r="G357" s="275"/>
      <c r="H357" s="275"/>
      <c r="I357" s="275"/>
      <c r="J357" s="275"/>
      <c r="K357" s="264"/>
    </row>
    <row r="358" spans="1:11">
      <c r="A358" s="273"/>
      <c r="B358" s="274"/>
      <c r="C358" s="278"/>
      <c r="D358" s="275">
        <v>2.08527</v>
      </c>
      <c r="E358" s="275">
        <v>2.10188</v>
      </c>
      <c r="F358" s="275">
        <v>3.5892499999999998</v>
      </c>
      <c r="G358" s="275"/>
      <c r="H358" s="275"/>
      <c r="I358" s="275"/>
      <c r="J358" s="275"/>
      <c r="K358" s="264"/>
    </row>
    <row r="359" spans="1:11">
      <c r="A359" s="273"/>
      <c r="B359" s="274"/>
      <c r="C359" s="278"/>
      <c r="D359" s="275"/>
      <c r="E359" s="275"/>
      <c r="F359" s="275"/>
      <c r="G359" s="275"/>
      <c r="H359" s="275"/>
      <c r="I359" s="275"/>
      <c r="J359" s="275"/>
      <c r="K359" s="264"/>
    </row>
    <row r="360" spans="1:11">
      <c r="A360" s="273">
        <v>119</v>
      </c>
      <c r="B360" s="274">
        <v>40</v>
      </c>
      <c r="C360" s="278" t="s">
        <v>98</v>
      </c>
      <c r="D360" s="275" t="s">
        <v>446</v>
      </c>
      <c r="E360" s="275" t="s">
        <v>447</v>
      </c>
      <c r="F360" s="275"/>
      <c r="G360" s="275"/>
      <c r="H360" s="275"/>
      <c r="I360" s="275"/>
      <c r="J360" s="275"/>
      <c r="K360" s="264"/>
    </row>
    <row r="361" spans="1:11">
      <c r="A361" s="273"/>
      <c r="B361" s="274"/>
      <c r="C361" s="278"/>
      <c r="D361" s="275">
        <v>1.9981199999999999</v>
      </c>
      <c r="E361" s="275">
        <v>2.01233</v>
      </c>
      <c r="F361" s="275"/>
      <c r="G361" s="275"/>
      <c r="H361" s="275"/>
      <c r="I361" s="275"/>
      <c r="J361" s="275"/>
      <c r="K361" s="264"/>
    </row>
    <row r="362" spans="1:11">
      <c r="A362" s="273"/>
      <c r="B362" s="274"/>
      <c r="C362" s="278"/>
      <c r="D362" s="275"/>
      <c r="E362" s="275"/>
      <c r="F362" s="275"/>
      <c r="G362" s="275"/>
      <c r="H362" s="275"/>
      <c r="I362" s="275"/>
      <c r="J362" s="275"/>
      <c r="K362" s="264"/>
    </row>
    <row r="363" spans="1:11">
      <c r="A363" s="273">
        <v>120</v>
      </c>
      <c r="B363" s="274">
        <v>40</v>
      </c>
      <c r="C363" s="278" t="s">
        <v>99</v>
      </c>
      <c r="D363" s="275" t="s">
        <v>446</v>
      </c>
      <c r="E363" s="275" t="s">
        <v>447</v>
      </c>
      <c r="F363" s="275"/>
      <c r="G363" s="275"/>
      <c r="H363" s="275"/>
      <c r="I363" s="275"/>
      <c r="J363" s="275"/>
      <c r="K363" s="264"/>
    </row>
    <row r="364" spans="1:11">
      <c r="A364" s="273"/>
      <c r="B364" s="274"/>
      <c r="C364" s="278"/>
      <c r="D364" s="275">
        <v>1.8362700000000001</v>
      </c>
      <c r="E364" s="275">
        <v>1.84741</v>
      </c>
      <c r="F364" s="275"/>
      <c r="G364" s="275"/>
      <c r="H364" s="275"/>
      <c r="I364" s="275"/>
      <c r="J364" s="275"/>
      <c r="K364" s="264"/>
    </row>
    <row r="365" spans="1:11">
      <c r="A365" s="273"/>
      <c r="B365" s="274"/>
      <c r="C365" s="278"/>
      <c r="D365" s="275"/>
      <c r="E365" s="275"/>
      <c r="F365" s="275"/>
      <c r="G365" s="275"/>
      <c r="H365" s="275"/>
      <c r="I365" s="275"/>
      <c r="J365" s="275"/>
      <c r="K365" s="264"/>
    </row>
    <row r="366" spans="1:11">
      <c r="A366" s="273">
        <v>121</v>
      </c>
      <c r="B366" s="274">
        <v>40</v>
      </c>
      <c r="C366" s="278" t="s">
        <v>100</v>
      </c>
      <c r="D366" s="275" t="s">
        <v>441</v>
      </c>
      <c r="E366" s="275" t="s">
        <v>442</v>
      </c>
      <c r="F366" s="275" t="s">
        <v>443</v>
      </c>
      <c r="G366" s="275" t="s">
        <v>444</v>
      </c>
      <c r="H366" s="275" t="s">
        <v>445</v>
      </c>
      <c r="I366" s="275"/>
      <c r="J366" s="275"/>
      <c r="K366" s="264"/>
    </row>
    <row r="367" spans="1:11">
      <c r="A367" s="273"/>
      <c r="B367" s="274"/>
      <c r="C367" s="278"/>
      <c r="D367" s="275">
        <v>0.44878000000000001</v>
      </c>
      <c r="E367" s="275">
        <v>0.45223000000000002</v>
      </c>
      <c r="F367" s="275">
        <v>1.19783</v>
      </c>
      <c r="G367" s="275">
        <v>1.3055099999999999</v>
      </c>
      <c r="H367" s="275">
        <v>1.3299300000000001</v>
      </c>
      <c r="I367" s="275"/>
      <c r="J367" s="275"/>
      <c r="K367" s="264"/>
    </row>
    <row r="368" spans="1:11">
      <c r="A368" s="273"/>
      <c r="B368" s="274"/>
      <c r="C368" s="278"/>
      <c r="D368" s="275"/>
      <c r="E368" s="275"/>
      <c r="F368" s="275"/>
      <c r="G368" s="275"/>
      <c r="H368" s="275"/>
      <c r="I368" s="275"/>
      <c r="J368" s="275"/>
      <c r="K368" s="264"/>
    </row>
    <row r="369" spans="1:11">
      <c r="A369" s="273">
        <v>122</v>
      </c>
      <c r="B369" s="274">
        <v>41</v>
      </c>
      <c r="C369" s="278" t="s">
        <v>347</v>
      </c>
      <c r="D369" s="275" t="s">
        <v>446</v>
      </c>
      <c r="E369" s="275" t="s">
        <v>447</v>
      </c>
      <c r="F369" s="275"/>
      <c r="G369" s="275"/>
      <c r="H369" s="275"/>
      <c r="I369" s="275"/>
      <c r="J369" s="275"/>
      <c r="K369" s="264"/>
    </row>
    <row r="370" spans="1:11">
      <c r="A370" s="273"/>
      <c r="B370" s="274"/>
      <c r="C370" s="278"/>
      <c r="D370" s="275">
        <v>1.8374900000000001</v>
      </c>
      <c r="E370" s="275">
        <v>1.85219</v>
      </c>
      <c r="F370" s="275"/>
      <c r="G370" s="275"/>
      <c r="H370" s="275"/>
      <c r="I370" s="275"/>
      <c r="J370" s="275"/>
      <c r="K370" s="264"/>
    </row>
    <row r="371" spans="1:11">
      <c r="A371" s="273"/>
      <c r="B371" s="274"/>
      <c r="C371" s="278"/>
      <c r="D371" s="275"/>
      <c r="E371" s="275"/>
      <c r="F371" s="275"/>
      <c r="G371" s="275"/>
      <c r="H371" s="275"/>
      <c r="I371" s="275"/>
      <c r="J371" s="275"/>
      <c r="K371" s="264"/>
    </row>
    <row r="372" spans="1:11">
      <c r="A372" s="273">
        <v>123</v>
      </c>
      <c r="B372" s="274">
        <v>41</v>
      </c>
      <c r="C372" s="278" t="s">
        <v>101</v>
      </c>
      <c r="D372" s="275" t="s">
        <v>446</v>
      </c>
      <c r="E372" s="275" t="s">
        <v>447</v>
      </c>
      <c r="F372" s="275"/>
      <c r="G372" s="275"/>
      <c r="H372" s="275"/>
      <c r="I372" s="275"/>
      <c r="J372" s="275"/>
      <c r="K372" s="264"/>
    </row>
    <row r="373" spans="1:11">
      <c r="A373" s="273"/>
      <c r="B373" s="274"/>
      <c r="C373" s="278"/>
      <c r="D373" s="275">
        <v>1.7078800000000001</v>
      </c>
      <c r="E373" s="275">
        <v>1.71943</v>
      </c>
      <c r="F373" s="275"/>
      <c r="G373" s="275"/>
      <c r="H373" s="275"/>
      <c r="I373" s="275"/>
      <c r="J373" s="275"/>
      <c r="K373" s="264"/>
    </row>
    <row r="374" spans="1:11">
      <c r="A374" s="273"/>
      <c r="B374" s="274"/>
      <c r="C374" s="278"/>
      <c r="D374" s="275"/>
      <c r="E374" s="275"/>
      <c r="F374" s="275"/>
      <c r="G374" s="275"/>
      <c r="H374" s="275"/>
      <c r="I374" s="275"/>
      <c r="J374" s="275"/>
      <c r="K374" s="264"/>
    </row>
    <row r="375" spans="1:11">
      <c r="A375" s="273">
        <v>124</v>
      </c>
      <c r="B375" s="274">
        <v>41</v>
      </c>
      <c r="C375" s="278" t="s">
        <v>102</v>
      </c>
      <c r="D375" s="275" t="s">
        <v>446</v>
      </c>
      <c r="E375" s="275" t="s">
        <v>447</v>
      </c>
      <c r="F375" s="275"/>
      <c r="G375" s="275"/>
      <c r="H375" s="275"/>
      <c r="I375" s="275"/>
      <c r="J375" s="275"/>
      <c r="K375" s="264"/>
    </row>
    <row r="376" spans="1:11">
      <c r="A376" s="273"/>
      <c r="B376" s="274"/>
      <c r="C376" s="278"/>
      <c r="D376" s="275">
        <v>1.6090100000000001</v>
      </c>
      <c r="E376" s="275">
        <v>1.61863</v>
      </c>
      <c r="F376" s="275"/>
      <c r="G376" s="275"/>
      <c r="H376" s="275"/>
      <c r="I376" s="275"/>
      <c r="J376" s="275"/>
      <c r="K376" s="264"/>
    </row>
    <row r="377" spans="1:11">
      <c r="A377" s="273"/>
      <c r="B377" s="274"/>
      <c r="C377" s="278"/>
      <c r="D377" s="275"/>
      <c r="E377" s="275"/>
      <c r="F377" s="275"/>
      <c r="G377" s="275"/>
      <c r="H377" s="275"/>
      <c r="I377" s="275"/>
      <c r="J377" s="275"/>
      <c r="K377" s="264"/>
    </row>
    <row r="378" spans="1:11">
      <c r="A378" s="273">
        <v>125</v>
      </c>
      <c r="B378" s="274">
        <v>41</v>
      </c>
      <c r="C378" s="278" t="s">
        <v>103</v>
      </c>
      <c r="D378" s="275" t="s">
        <v>441</v>
      </c>
      <c r="E378" s="275" t="s">
        <v>442</v>
      </c>
      <c r="F378" s="275" t="s">
        <v>443</v>
      </c>
      <c r="G378" s="275" t="s">
        <v>444</v>
      </c>
      <c r="H378" s="275" t="s">
        <v>445</v>
      </c>
      <c r="I378" s="275"/>
      <c r="J378" s="275"/>
      <c r="K378" s="264"/>
    </row>
    <row r="379" spans="1:11">
      <c r="A379" s="273"/>
      <c r="B379" s="274"/>
      <c r="C379" s="278"/>
      <c r="D379" s="275">
        <v>0.42915999999999999</v>
      </c>
      <c r="E379" s="275">
        <v>0.43257000000000001</v>
      </c>
      <c r="F379" s="275">
        <v>1.1300699999999999</v>
      </c>
      <c r="G379" s="275">
        <v>1.2188300000000001</v>
      </c>
      <c r="H379" s="275">
        <v>1.2417899999999999</v>
      </c>
      <c r="I379" s="275"/>
      <c r="J379" s="275"/>
      <c r="K379" s="264"/>
    </row>
    <row r="380" spans="1:11">
      <c r="A380" s="273"/>
      <c r="B380" s="274"/>
      <c r="C380" s="278"/>
      <c r="D380" s="275"/>
      <c r="E380" s="275"/>
      <c r="F380" s="275"/>
      <c r="G380" s="275"/>
      <c r="H380" s="275"/>
      <c r="I380" s="275"/>
      <c r="J380" s="275"/>
      <c r="K380" s="264"/>
    </row>
    <row r="381" spans="1:11">
      <c r="A381" s="273">
        <v>126</v>
      </c>
      <c r="B381" s="274">
        <v>42</v>
      </c>
      <c r="C381" s="278" t="s">
        <v>104</v>
      </c>
      <c r="D381" s="275" t="s">
        <v>446</v>
      </c>
      <c r="E381" s="275" t="s">
        <v>447</v>
      </c>
      <c r="F381" s="275"/>
      <c r="G381" s="275"/>
      <c r="H381" s="275"/>
      <c r="I381" s="275"/>
      <c r="J381" s="275"/>
      <c r="K381" s="264"/>
    </row>
    <row r="382" spans="1:11">
      <c r="A382" s="273"/>
      <c r="B382" s="274"/>
      <c r="C382" s="278"/>
      <c r="D382" s="275">
        <v>1.85425</v>
      </c>
      <c r="E382" s="275">
        <v>1.8755599999999999</v>
      </c>
      <c r="F382" s="275"/>
      <c r="G382" s="275"/>
      <c r="H382" s="275"/>
      <c r="I382" s="275"/>
      <c r="J382" s="275"/>
      <c r="K382" s="264"/>
    </row>
    <row r="383" spans="1:11">
      <c r="A383" s="273"/>
      <c r="B383" s="274"/>
      <c r="C383" s="278"/>
      <c r="D383" s="275"/>
      <c r="E383" s="275"/>
      <c r="F383" s="275"/>
      <c r="G383" s="275"/>
      <c r="H383" s="275"/>
      <c r="I383" s="275"/>
      <c r="J383" s="275"/>
      <c r="K383" s="264"/>
    </row>
    <row r="384" spans="1:11">
      <c r="A384" s="273">
        <v>127</v>
      </c>
      <c r="B384" s="274">
        <v>42</v>
      </c>
      <c r="C384" s="278" t="s">
        <v>105</v>
      </c>
      <c r="D384" s="275" t="s">
        <v>446</v>
      </c>
      <c r="E384" s="275" t="s">
        <v>447</v>
      </c>
      <c r="F384" s="275"/>
      <c r="G384" s="275"/>
      <c r="H384" s="275"/>
      <c r="I384" s="275"/>
      <c r="J384" s="275"/>
      <c r="K384" s="264"/>
    </row>
    <row r="385" spans="1:11">
      <c r="A385" s="273"/>
      <c r="B385" s="274"/>
      <c r="C385" s="278"/>
      <c r="D385" s="275">
        <v>1.7070099999999999</v>
      </c>
      <c r="E385" s="275">
        <v>1.7221200000000001</v>
      </c>
      <c r="F385" s="275"/>
      <c r="G385" s="275"/>
      <c r="H385" s="275"/>
      <c r="I385" s="275"/>
      <c r="J385" s="275"/>
      <c r="K385" s="264"/>
    </row>
    <row r="386" spans="1:11">
      <c r="A386" s="273"/>
      <c r="B386" s="274"/>
      <c r="C386" s="278"/>
      <c r="D386" s="275"/>
      <c r="E386" s="275"/>
      <c r="F386" s="275"/>
      <c r="G386" s="275"/>
      <c r="H386" s="275"/>
      <c r="I386" s="275"/>
      <c r="J386" s="275"/>
      <c r="K386" s="264"/>
    </row>
    <row r="387" spans="1:11">
      <c r="A387" s="273">
        <v>128</v>
      </c>
      <c r="B387" s="274">
        <v>42</v>
      </c>
      <c r="C387" s="278" t="s">
        <v>106</v>
      </c>
      <c r="D387" s="275" t="s">
        <v>446</v>
      </c>
      <c r="E387" s="275" t="s">
        <v>447</v>
      </c>
      <c r="F387" s="275"/>
      <c r="G387" s="275"/>
      <c r="H387" s="275"/>
      <c r="I387" s="275"/>
      <c r="J387" s="275"/>
      <c r="K387" s="264"/>
    </row>
    <row r="388" spans="1:11">
      <c r="A388" s="273"/>
      <c r="B388" s="274"/>
      <c r="C388" s="278"/>
      <c r="D388" s="275">
        <v>1.59989</v>
      </c>
      <c r="E388" s="275">
        <v>1.6118300000000001</v>
      </c>
      <c r="F388" s="275"/>
      <c r="G388" s="275"/>
      <c r="H388" s="275"/>
      <c r="I388" s="275"/>
      <c r="J388" s="275"/>
      <c r="K388" s="264"/>
    </row>
    <row r="389" spans="1:11">
      <c r="A389" s="273"/>
      <c r="B389" s="274"/>
      <c r="C389" s="278"/>
      <c r="D389" s="275"/>
      <c r="E389" s="275"/>
      <c r="F389" s="275"/>
      <c r="G389" s="275"/>
      <c r="H389" s="275"/>
      <c r="I389" s="275"/>
      <c r="J389" s="275"/>
      <c r="K389" s="264"/>
    </row>
    <row r="390" spans="1:11">
      <c r="A390" s="273">
        <v>129</v>
      </c>
      <c r="B390" s="274">
        <v>42</v>
      </c>
      <c r="C390" s="278" t="s">
        <v>107</v>
      </c>
      <c r="D390" s="275" t="s">
        <v>446</v>
      </c>
      <c r="E390" s="275" t="s">
        <v>447</v>
      </c>
      <c r="F390" s="275"/>
      <c r="G390" s="275"/>
      <c r="H390" s="275"/>
      <c r="I390" s="275"/>
      <c r="J390" s="275"/>
      <c r="K390" s="264"/>
    </row>
    <row r="391" spans="1:11">
      <c r="A391" s="273"/>
      <c r="B391" s="274"/>
      <c r="C391" s="278"/>
      <c r="D391" s="275">
        <v>1.5159400000000001</v>
      </c>
      <c r="E391" s="275">
        <v>1.5259199999999999</v>
      </c>
      <c r="F391" s="275"/>
      <c r="G391" s="275"/>
      <c r="H391" s="275"/>
      <c r="I391" s="275"/>
      <c r="J391" s="275"/>
      <c r="K391" s="264"/>
    </row>
    <row r="392" spans="1:11">
      <c r="A392" s="273"/>
      <c r="B392" s="274"/>
      <c r="C392" s="278"/>
      <c r="D392" s="275"/>
      <c r="E392" s="275"/>
      <c r="F392" s="275"/>
      <c r="G392" s="275"/>
      <c r="H392" s="275"/>
      <c r="I392" s="275"/>
      <c r="J392" s="275"/>
      <c r="K392" s="264"/>
    </row>
    <row r="393" spans="1:11">
      <c r="A393" s="273">
        <v>130</v>
      </c>
      <c r="B393" s="274">
        <v>42</v>
      </c>
      <c r="C393" s="278" t="s">
        <v>108</v>
      </c>
      <c r="D393" s="275" t="s">
        <v>446</v>
      </c>
      <c r="E393" s="275" t="s">
        <v>447</v>
      </c>
      <c r="F393" s="275"/>
      <c r="G393" s="275"/>
      <c r="H393" s="275"/>
      <c r="I393" s="275"/>
      <c r="J393" s="275"/>
      <c r="K393" s="264"/>
    </row>
    <row r="394" spans="1:11">
      <c r="A394" s="273"/>
      <c r="B394" s="274"/>
      <c r="C394" s="278"/>
      <c r="D394" s="275">
        <v>1.4468700000000001</v>
      </c>
      <c r="E394" s="275">
        <v>1.45549</v>
      </c>
      <c r="F394" s="275"/>
      <c r="G394" s="275"/>
      <c r="H394" s="275"/>
      <c r="I394" s="275"/>
      <c r="J394" s="275"/>
      <c r="K394" s="264"/>
    </row>
    <row r="395" spans="1:11">
      <c r="A395" s="273"/>
      <c r="B395" s="274"/>
      <c r="C395" s="278"/>
      <c r="D395" s="275"/>
      <c r="E395" s="275"/>
      <c r="F395" s="275"/>
      <c r="G395" s="275"/>
      <c r="H395" s="275"/>
      <c r="I395" s="275"/>
      <c r="J395" s="275"/>
      <c r="K395" s="264"/>
    </row>
    <row r="396" spans="1:11">
      <c r="A396" s="273">
        <v>131</v>
      </c>
      <c r="B396" s="274">
        <v>42</v>
      </c>
      <c r="C396" s="278" t="s">
        <v>109</v>
      </c>
      <c r="D396" s="275" t="s">
        <v>441</v>
      </c>
      <c r="E396" s="275" t="s">
        <v>442</v>
      </c>
      <c r="F396" s="275" t="s">
        <v>443</v>
      </c>
      <c r="G396" s="275" t="s">
        <v>444</v>
      </c>
      <c r="H396" s="275" t="s">
        <v>445</v>
      </c>
      <c r="I396" s="275"/>
      <c r="J396" s="275"/>
      <c r="K396" s="264"/>
    </row>
    <row r="397" spans="1:11">
      <c r="A397" s="273"/>
      <c r="B397" s="274"/>
      <c r="C397" s="278"/>
      <c r="D397" s="275">
        <v>0.41123999999999999</v>
      </c>
      <c r="E397" s="275">
        <v>0.41461999999999999</v>
      </c>
      <c r="F397" s="275">
        <v>1.0703199999999999</v>
      </c>
      <c r="G397" s="275">
        <v>1.1445399999999999</v>
      </c>
      <c r="H397" s="275">
        <v>1.1664099999999999</v>
      </c>
      <c r="I397" s="275"/>
      <c r="J397" s="275"/>
      <c r="K397" s="264"/>
    </row>
    <row r="398" spans="1:11">
      <c r="A398" s="273"/>
      <c r="B398" s="274"/>
      <c r="C398" s="278"/>
      <c r="D398" s="275"/>
      <c r="E398" s="275"/>
      <c r="F398" s="275"/>
      <c r="G398" s="275"/>
      <c r="H398" s="275"/>
      <c r="I398" s="275"/>
      <c r="J398" s="275"/>
      <c r="K398" s="264"/>
    </row>
    <row r="399" spans="1:11">
      <c r="A399" s="273">
        <v>132</v>
      </c>
      <c r="B399" s="274">
        <v>43</v>
      </c>
      <c r="C399" s="278" t="s">
        <v>110</v>
      </c>
      <c r="D399" s="275" t="s">
        <v>446</v>
      </c>
      <c r="E399" s="275" t="s">
        <v>447</v>
      </c>
      <c r="F399" s="275" t="s">
        <v>448</v>
      </c>
      <c r="G399" s="275"/>
      <c r="H399" s="275"/>
      <c r="I399" s="275"/>
      <c r="J399" s="275"/>
      <c r="K399" s="264"/>
    </row>
    <row r="400" spans="1:11">
      <c r="A400" s="273"/>
      <c r="B400" s="274"/>
      <c r="C400" s="278"/>
      <c r="D400" s="275">
        <v>1.6332800000000001</v>
      </c>
      <c r="E400" s="275">
        <v>1.65072</v>
      </c>
      <c r="F400" s="275">
        <v>3.1876099999999998</v>
      </c>
      <c r="G400" s="275"/>
      <c r="H400" s="275"/>
      <c r="I400" s="275"/>
      <c r="J400" s="275"/>
      <c r="K400" s="264"/>
    </row>
    <row r="401" spans="1:11">
      <c r="A401" s="273"/>
      <c r="B401" s="274"/>
      <c r="C401" s="278"/>
      <c r="D401" s="275"/>
      <c r="E401" s="275"/>
      <c r="F401" s="275"/>
      <c r="G401" s="275"/>
      <c r="H401" s="275"/>
      <c r="I401" s="275"/>
      <c r="J401" s="275"/>
      <c r="K401" s="264"/>
    </row>
    <row r="402" spans="1:11">
      <c r="A402" s="273">
        <v>133</v>
      </c>
      <c r="B402" s="274">
        <v>43</v>
      </c>
      <c r="C402" s="278" t="s">
        <v>111</v>
      </c>
      <c r="D402" s="275" t="s">
        <v>446</v>
      </c>
      <c r="E402" s="275" t="s">
        <v>447</v>
      </c>
      <c r="F402" s="275"/>
      <c r="G402" s="275"/>
      <c r="H402" s="275"/>
      <c r="I402" s="275"/>
      <c r="J402" s="275"/>
      <c r="K402" s="264"/>
    </row>
    <row r="403" spans="1:11">
      <c r="A403" s="273"/>
      <c r="B403" s="274"/>
      <c r="C403" s="278"/>
      <c r="D403" s="275">
        <v>1.5977600000000001</v>
      </c>
      <c r="E403" s="275">
        <v>1.6132500000000001</v>
      </c>
      <c r="F403" s="275"/>
      <c r="G403" s="275"/>
      <c r="H403" s="275"/>
      <c r="I403" s="275"/>
      <c r="J403" s="275"/>
      <c r="K403" s="264"/>
    </row>
    <row r="404" spans="1:11">
      <c r="A404" s="273"/>
      <c r="B404" s="274"/>
      <c r="C404" s="278"/>
      <c r="D404" s="275"/>
      <c r="E404" s="275"/>
      <c r="F404" s="275"/>
      <c r="G404" s="275"/>
      <c r="H404" s="275"/>
      <c r="I404" s="275"/>
      <c r="J404" s="275"/>
      <c r="K404" s="264"/>
    </row>
    <row r="405" spans="1:11">
      <c r="A405" s="273">
        <v>134</v>
      </c>
      <c r="B405" s="274">
        <v>43</v>
      </c>
      <c r="C405" s="278" t="s">
        <v>112</v>
      </c>
      <c r="D405" s="275" t="s">
        <v>446</v>
      </c>
      <c r="E405" s="275" t="s">
        <v>447</v>
      </c>
      <c r="F405" s="275"/>
      <c r="G405" s="275"/>
      <c r="H405" s="275"/>
      <c r="I405" s="275"/>
      <c r="J405" s="275"/>
      <c r="K405" s="264"/>
    </row>
    <row r="406" spans="1:11">
      <c r="A406" s="273"/>
      <c r="B406" s="274"/>
      <c r="C406" s="278"/>
      <c r="D406" s="275">
        <v>1.5071699999999999</v>
      </c>
      <c r="E406" s="275">
        <v>1.51949</v>
      </c>
      <c r="F406" s="275"/>
      <c r="G406" s="275"/>
      <c r="H406" s="275"/>
      <c r="I406" s="275"/>
      <c r="J406" s="275"/>
      <c r="K406" s="264"/>
    </row>
    <row r="407" spans="1:11">
      <c r="A407" s="273"/>
      <c r="B407" s="274"/>
      <c r="C407" s="278"/>
      <c r="D407" s="275"/>
      <c r="E407" s="275"/>
      <c r="F407" s="275"/>
      <c r="G407" s="275"/>
      <c r="H407" s="275"/>
      <c r="I407" s="275"/>
      <c r="J407" s="275"/>
      <c r="K407" s="264"/>
    </row>
    <row r="408" spans="1:11">
      <c r="A408" s="273">
        <v>135</v>
      </c>
      <c r="B408" s="274">
        <v>43</v>
      </c>
      <c r="C408" s="278" t="s">
        <v>113</v>
      </c>
      <c r="D408" s="275" t="s">
        <v>446</v>
      </c>
      <c r="E408" s="275" t="s">
        <v>447</v>
      </c>
      <c r="F408" s="275"/>
      <c r="G408" s="275"/>
      <c r="H408" s="275"/>
      <c r="I408" s="275"/>
      <c r="J408" s="275"/>
      <c r="K408" s="264"/>
    </row>
    <row r="409" spans="1:11">
      <c r="A409" s="273"/>
      <c r="B409" s="274"/>
      <c r="C409" s="278"/>
      <c r="D409" s="275">
        <v>1.4347000000000001</v>
      </c>
      <c r="E409" s="275">
        <v>1.44503</v>
      </c>
      <c r="F409" s="275"/>
      <c r="G409" s="275"/>
      <c r="H409" s="275"/>
      <c r="I409" s="275"/>
      <c r="J409" s="275"/>
      <c r="K409" s="264"/>
    </row>
    <row r="410" spans="1:11">
      <c r="A410" s="273"/>
      <c r="B410" s="274"/>
      <c r="C410" s="278"/>
      <c r="D410" s="275"/>
      <c r="E410" s="275"/>
      <c r="F410" s="275"/>
      <c r="G410" s="275"/>
      <c r="H410" s="275"/>
      <c r="I410" s="275"/>
      <c r="J410" s="275"/>
      <c r="K410" s="264"/>
    </row>
    <row r="411" spans="1:11">
      <c r="A411" s="273">
        <v>136</v>
      </c>
      <c r="B411" s="274">
        <v>43</v>
      </c>
      <c r="C411" s="278" t="s">
        <v>114</v>
      </c>
      <c r="D411" s="275" t="s">
        <v>446</v>
      </c>
      <c r="E411" s="275" t="s">
        <v>447</v>
      </c>
      <c r="F411" s="275"/>
      <c r="G411" s="275"/>
      <c r="H411" s="275"/>
      <c r="I411" s="275"/>
      <c r="J411" s="275"/>
      <c r="K411" s="264"/>
    </row>
    <row r="412" spans="1:11">
      <c r="A412" s="273"/>
      <c r="B412" s="274"/>
      <c r="C412" s="278"/>
      <c r="D412" s="275">
        <v>1.37418</v>
      </c>
      <c r="E412" s="275">
        <v>1.38313</v>
      </c>
      <c r="F412" s="275"/>
      <c r="G412" s="275"/>
      <c r="H412" s="275"/>
      <c r="I412" s="275"/>
      <c r="J412" s="275"/>
      <c r="K412" s="264"/>
    </row>
    <row r="413" spans="1:11">
      <c r="A413" s="273"/>
      <c r="B413" s="274"/>
      <c r="C413" s="278"/>
      <c r="D413" s="275"/>
      <c r="E413" s="275"/>
      <c r="F413" s="275"/>
      <c r="G413" s="275"/>
      <c r="H413" s="275"/>
      <c r="I413" s="275"/>
      <c r="J413" s="275"/>
      <c r="K413" s="264"/>
    </row>
    <row r="414" spans="1:11">
      <c r="A414" s="273">
        <v>137</v>
      </c>
      <c r="B414" s="274">
        <v>43</v>
      </c>
      <c r="C414" s="278" t="s">
        <v>115</v>
      </c>
      <c r="D414" s="275" t="s">
        <v>446</v>
      </c>
      <c r="E414" s="275" t="s">
        <v>447</v>
      </c>
      <c r="F414" s="275"/>
      <c r="G414" s="275"/>
      <c r="H414" s="275"/>
      <c r="I414" s="275"/>
      <c r="J414" s="275"/>
      <c r="K414" s="264"/>
    </row>
    <row r="415" spans="1:11">
      <c r="A415" s="273"/>
      <c r="B415" s="274"/>
      <c r="C415" s="278"/>
      <c r="D415" s="275">
        <v>1.32209</v>
      </c>
      <c r="E415" s="275">
        <v>1.3300099999999999</v>
      </c>
      <c r="F415" s="275"/>
      <c r="G415" s="275"/>
      <c r="H415" s="275"/>
      <c r="I415" s="275"/>
      <c r="J415" s="275"/>
      <c r="K415" s="264"/>
    </row>
    <row r="416" spans="1:11">
      <c r="A416" s="273"/>
      <c r="B416" s="274"/>
      <c r="C416" s="278"/>
      <c r="D416" s="275"/>
      <c r="E416" s="275"/>
      <c r="F416" s="275"/>
      <c r="G416" s="275"/>
      <c r="H416" s="275"/>
      <c r="I416" s="275"/>
      <c r="J416" s="275"/>
      <c r="K416" s="264"/>
    </row>
    <row r="417" spans="1:11">
      <c r="A417" s="273">
        <v>138</v>
      </c>
      <c r="B417" s="274">
        <v>43</v>
      </c>
      <c r="C417" s="278" t="s">
        <v>116</v>
      </c>
      <c r="D417" s="275" t="s">
        <v>441</v>
      </c>
      <c r="E417" s="275" t="s">
        <v>442</v>
      </c>
      <c r="F417" s="275" t="s">
        <v>443</v>
      </c>
      <c r="G417" s="275" t="s">
        <v>444</v>
      </c>
      <c r="H417" s="275" t="s">
        <v>445</v>
      </c>
      <c r="I417" s="275"/>
      <c r="J417" s="275"/>
      <c r="K417" s="264"/>
    </row>
    <row r="418" spans="1:11">
      <c r="A418" s="273"/>
      <c r="B418" s="274"/>
      <c r="C418" s="278"/>
      <c r="D418" s="275">
        <v>0.39479999999999998</v>
      </c>
      <c r="E418" s="275">
        <v>0.39816000000000001</v>
      </c>
      <c r="F418" s="275">
        <v>1.01712</v>
      </c>
      <c r="G418" s="275">
        <v>1.0798700000000001</v>
      </c>
      <c r="H418" s="275">
        <v>1.1009100000000001</v>
      </c>
      <c r="I418" s="275"/>
      <c r="J418" s="275"/>
      <c r="K418" s="264"/>
    </row>
    <row r="419" spans="1:11">
      <c r="A419" s="273"/>
      <c r="B419" s="274"/>
      <c r="C419" s="278"/>
      <c r="D419" s="275"/>
      <c r="E419" s="275"/>
      <c r="F419" s="275"/>
      <c r="G419" s="275"/>
      <c r="H419" s="275"/>
      <c r="I419" s="275"/>
      <c r="J419" s="275"/>
      <c r="K419" s="264"/>
    </row>
    <row r="420" spans="1:11">
      <c r="A420" s="273">
        <v>139</v>
      </c>
      <c r="B420" s="274">
        <v>44</v>
      </c>
      <c r="C420" s="278" t="s">
        <v>117</v>
      </c>
      <c r="D420" s="275" t="s">
        <v>446</v>
      </c>
      <c r="E420" s="275" t="s">
        <v>447</v>
      </c>
      <c r="F420" s="275"/>
      <c r="G420" s="275"/>
      <c r="H420" s="275"/>
      <c r="I420" s="275"/>
      <c r="J420" s="275"/>
      <c r="K420" s="264"/>
    </row>
    <row r="421" spans="1:11">
      <c r="A421" s="273"/>
      <c r="B421" s="274"/>
      <c r="C421" s="278"/>
      <c r="D421" s="275">
        <v>1.60575</v>
      </c>
      <c r="E421" s="275">
        <v>1.6275500000000001</v>
      </c>
      <c r="F421" s="275"/>
      <c r="G421" s="275"/>
      <c r="H421" s="275"/>
      <c r="I421" s="275"/>
      <c r="J421" s="275"/>
      <c r="K421" s="264"/>
    </row>
    <row r="422" spans="1:11">
      <c r="A422" s="273"/>
      <c r="B422" s="274"/>
      <c r="C422" s="278"/>
      <c r="D422" s="275"/>
      <c r="E422" s="275"/>
      <c r="F422" s="275"/>
      <c r="G422" s="275"/>
      <c r="H422" s="275"/>
      <c r="I422" s="275"/>
      <c r="J422" s="275"/>
      <c r="K422" s="264"/>
    </row>
    <row r="423" spans="1:11">
      <c r="A423" s="273">
        <v>140</v>
      </c>
      <c r="B423" s="274">
        <v>44</v>
      </c>
      <c r="C423" s="278" t="s">
        <v>118</v>
      </c>
      <c r="D423" s="275" t="s">
        <v>446</v>
      </c>
      <c r="E423" s="275" t="s">
        <v>447</v>
      </c>
      <c r="F423" s="275"/>
      <c r="G423" s="275"/>
      <c r="H423" s="275"/>
      <c r="I423" s="275"/>
      <c r="J423" s="275"/>
      <c r="K423" s="264"/>
    </row>
    <row r="424" spans="1:11">
      <c r="A424" s="273"/>
      <c r="B424" s="274"/>
      <c r="C424" s="278"/>
      <c r="D424" s="275">
        <v>1.5042800000000001</v>
      </c>
      <c r="E424" s="275">
        <v>1.52014</v>
      </c>
      <c r="F424" s="275"/>
      <c r="G424" s="275"/>
      <c r="H424" s="275"/>
      <c r="I424" s="275"/>
      <c r="J424" s="275"/>
      <c r="K424" s="264"/>
    </row>
    <row r="425" spans="1:11">
      <c r="A425" s="273"/>
      <c r="B425" s="274"/>
      <c r="C425" s="278"/>
      <c r="D425" s="275"/>
      <c r="E425" s="275"/>
      <c r="F425" s="275"/>
      <c r="G425" s="275"/>
      <c r="H425" s="275"/>
      <c r="I425" s="275"/>
      <c r="J425" s="275"/>
      <c r="K425" s="264"/>
    </row>
    <row r="426" spans="1:11">
      <c r="A426" s="273">
        <v>141</v>
      </c>
      <c r="B426" s="274">
        <v>44</v>
      </c>
      <c r="C426" s="278" t="s">
        <v>119</v>
      </c>
      <c r="D426" s="275" t="s">
        <v>446</v>
      </c>
      <c r="E426" s="275" t="s">
        <v>447</v>
      </c>
      <c r="F426" s="275"/>
      <c r="G426" s="275"/>
      <c r="H426" s="275"/>
      <c r="I426" s="275"/>
      <c r="J426" s="275"/>
      <c r="K426" s="264"/>
    </row>
    <row r="427" spans="1:11">
      <c r="A427" s="273"/>
      <c r="B427" s="274"/>
      <c r="C427" s="278"/>
      <c r="D427" s="275">
        <v>1.4263300000000001</v>
      </c>
      <c r="E427" s="275">
        <v>1.43902</v>
      </c>
      <c r="F427" s="275"/>
      <c r="G427" s="275"/>
      <c r="H427" s="275"/>
      <c r="I427" s="275"/>
      <c r="J427" s="275"/>
      <c r="K427" s="264"/>
    </row>
    <row r="428" spans="1:11">
      <c r="A428" s="273"/>
      <c r="B428" s="274"/>
      <c r="C428" s="278"/>
      <c r="D428" s="275"/>
      <c r="E428" s="275"/>
      <c r="F428" s="275"/>
      <c r="G428" s="275"/>
      <c r="H428" s="275"/>
      <c r="I428" s="275"/>
      <c r="J428" s="275"/>
      <c r="K428" s="264"/>
    </row>
    <row r="429" spans="1:11">
      <c r="A429" s="273">
        <v>142</v>
      </c>
      <c r="B429" s="274">
        <v>44</v>
      </c>
      <c r="C429" s="278" t="s">
        <v>120</v>
      </c>
      <c r="D429" s="275" t="s">
        <v>446</v>
      </c>
      <c r="E429" s="275" t="s">
        <v>447</v>
      </c>
      <c r="F429" s="275"/>
      <c r="G429" s="275"/>
      <c r="H429" s="275"/>
      <c r="I429" s="275"/>
      <c r="J429" s="275"/>
      <c r="K429" s="264"/>
    </row>
    <row r="430" spans="1:11">
      <c r="A430" s="273"/>
      <c r="B430" s="274"/>
      <c r="C430" s="278"/>
      <c r="D430" s="275">
        <v>1.3629199999999999</v>
      </c>
      <c r="E430" s="275">
        <v>1.3735900000000001</v>
      </c>
      <c r="F430" s="275"/>
      <c r="G430" s="275"/>
      <c r="H430" s="275"/>
      <c r="I430" s="275"/>
      <c r="J430" s="275"/>
      <c r="K430" s="264"/>
    </row>
    <row r="431" spans="1:11">
      <c r="A431" s="273"/>
      <c r="B431" s="274"/>
      <c r="C431" s="278"/>
      <c r="D431" s="275"/>
      <c r="E431" s="275"/>
      <c r="F431" s="275"/>
      <c r="G431" s="275"/>
      <c r="H431" s="275"/>
      <c r="I431" s="275"/>
      <c r="J431" s="275"/>
      <c r="K431" s="264"/>
    </row>
    <row r="432" spans="1:11">
      <c r="A432" s="273">
        <v>143</v>
      </c>
      <c r="B432" s="274">
        <v>44</v>
      </c>
      <c r="C432" s="278" t="s">
        <v>121</v>
      </c>
      <c r="D432" s="275" t="s">
        <v>446</v>
      </c>
      <c r="E432" s="275" t="s">
        <v>447</v>
      </c>
      <c r="F432" s="275"/>
      <c r="G432" s="275"/>
      <c r="H432" s="275"/>
      <c r="I432" s="275"/>
      <c r="J432" s="275"/>
      <c r="K432" s="264"/>
    </row>
    <row r="433" spans="1:11">
      <c r="A433" s="273"/>
      <c r="B433" s="274"/>
      <c r="C433" s="278"/>
      <c r="D433" s="275">
        <v>1.30932</v>
      </c>
      <c r="E433" s="275">
        <v>1.3185899999999999</v>
      </c>
      <c r="F433" s="275"/>
      <c r="G433" s="275"/>
      <c r="H433" s="275"/>
      <c r="I433" s="275"/>
      <c r="J433" s="275"/>
      <c r="K433" s="264"/>
    </row>
    <row r="434" spans="1:11">
      <c r="A434" s="273"/>
      <c r="B434" s="274"/>
      <c r="C434" s="278"/>
      <c r="D434" s="275"/>
      <c r="E434" s="275"/>
      <c r="F434" s="275"/>
      <c r="G434" s="275"/>
      <c r="H434" s="275"/>
      <c r="I434" s="275"/>
      <c r="J434" s="275"/>
      <c r="K434" s="264"/>
    </row>
    <row r="435" spans="1:11">
      <c r="A435" s="273">
        <v>144</v>
      </c>
      <c r="B435" s="274">
        <v>44</v>
      </c>
      <c r="C435" s="278" t="s">
        <v>122</v>
      </c>
      <c r="D435" s="275" t="s">
        <v>446</v>
      </c>
      <c r="E435" s="275" t="s">
        <v>447</v>
      </c>
      <c r="F435" s="275"/>
      <c r="G435" s="275"/>
      <c r="H435" s="275"/>
      <c r="I435" s="275"/>
      <c r="J435" s="275"/>
      <c r="K435" s="264"/>
    </row>
    <row r="436" spans="1:11">
      <c r="A436" s="273"/>
      <c r="B436" s="274"/>
      <c r="C436" s="278"/>
      <c r="D436" s="275">
        <v>1.26278</v>
      </c>
      <c r="E436" s="275">
        <v>1.2709999999999999</v>
      </c>
      <c r="F436" s="275"/>
      <c r="G436" s="275"/>
      <c r="H436" s="275"/>
      <c r="I436" s="275"/>
      <c r="J436" s="275"/>
      <c r="K436" s="264"/>
    </row>
    <row r="437" spans="1:11">
      <c r="A437" s="273"/>
      <c r="B437" s="274"/>
      <c r="C437" s="278"/>
      <c r="D437" s="275"/>
      <c r="E437" s="275"/>
      <c r="F437" s="275"/>
      <c r="G437" s="275"/>
      <c r="H437" s="275"/>
      <c r="I437" s="275"/>
      <c r="J437" s="275"/>
      <c r="K437" s="264"/>
    </row>
    <row r="438" spans="1:11">
      <c r="A438" s="273">
        <v>145</v>
      </c>
      <c r="B438" s="274">
        <v>44</v>
      </c>
      <c r="C438" s="278" t="s">
        <v>123</v>
      </c>
      <c r="D438" s="275" t="s">
        <v>446</v>
      </c>
      <c r="E438" s="275" t="s">
        <v>447</v>
      </c>
      <c r="F438" s="275"/>
      <c r="G438" s="275"/>
      <c r="H438" s="275"/>
      <c r="I438" s="275"/>
      <c r="J438" s="275"/>
      <c r="K438" s="264"/>
    </row>
    <row r="439" spans="1:11">
      <c r="A439" s="273"/>
      <c r="B439" s="274"/>
      <c r="C439" s="278"/>
      <c r="D439" s="275">
        <v>1.2215199999999999</v>
      </c>
      <c r="E439" s="275">
        <v>1.2289300000000001</v>
      </c>
      <c r="F439" s="275"/>
      <c r="G439" s="275"/>
      <c r="H439" s="275"/>
      <c r="I439" s="275"/>
      <c r="J439" s="275"/>
      <c r="K439" s="264"/>
    </row>
    <row r="440" spans="1:11">
      <c r="A440" s="273"/>
      <c r="B440" s="274"/>
      <c r="C440" s="278"/>
      <c r="D440" s="275"/>
      <c r="E440" s="275"/>
      <c r="F440" s="275"/>
      <c r="G440" s="275"/>
      <c r="H440" s="275"/>
      <c r="I440" s="275"/>
      <c r="J440" s="275"/>
      <c r="K440" s="264"/>
    </row>
    <row r="441" spans="1:11">
      <c r="A441" s="273">
        <v>146</v>
      </c>
      <c r="B441" s="274">
        <v>44</v>
      </c>
      <c r="C441" s="278" t="s">
        <v>124</v>
      </c>
      <c r="D441" s="275" t="s">
        <v>441</v>
      </c>
      <c r="E441" s="275" t="s">
        <v>442</v>
      </c>
      <c r="F441" s="275" t="s">
        <v>443</v>
      </c>
      <c r="G441" s="275" t="s">
        <v>444</v>
      </c>
      <c r="H441" s="275" t="s">
        <v>445</v>
      </c>
      <c r="I441" s="275"/>
      <c r="J441" s="275"/>
      <c r="K441" s="264"/>
    </row>
    <row r="442" spans="1:11">
      <c r="A442" s="273"/>
      <c r="B442" s="274"/>
      <c r="C442" s="278"/>
      <c r="D442" s="275">
        <v>0.37966</v>
      </c>
      <c r="E442" s="275">
        <v>0.38301000000000002</v>
      </c>
      <c r="F442" s="275">
        <v>0.96936</v>
      </c>
      <c r="G442" s="275">
        <v>1.0228699999999999</v>
      </c>
      <c r="H442" s="275">
        <v>1.0432699999999999</v>
      </c>
      <c r="I442" s="275"/>
      <c r="J442" s="275"/>
      <c r="K442" s="264"/>
    </row>
    <row r="443" spans="1:11">
      <c r="A443" s="273"/>
      <c r="B443" s="274"/>
      <c r="C443" s="278"/>
      <c r="D443" s="275"/>
      <c r="E443" s="275"/>
      <c r="F443" s="275"/>
      <c r="G443" s="275"/>
      <c r="H443" s="275"/>
      <c r="I443" s="275"/>
      <c r="J443" s="275"/>
      <c r="K443" s="264"/>
    </row>
    <row r="444" spans="1:11">
      <c r="A444" s="273">
        <v>147</v>
      </c>
      <c r="B444" s="274">
        <v>45</v>
      </c>
      <c r="C444" s="278" t="s">
        <v>125</v>
      </c>
      <c r="D444" s="275" t="s">
        <v>446</v>
      </c>
      <c r="E444" s="275" t="s">
        <v>447</v>
      </c>
      <c r="F444" s="275"/>
      <c r="G444" s="275"/>
      <c r="H444" s="275"/>
      <c r="I444" s="275"/>
      <c r="J444" s="275"/>
      <c r="K444" s="264"/>
    </row>
    <row r="445" spans="1:11">
      <c r="A445" s="273"/>
      <c r="B445" s="274"/>
      <c r="C445" s="278"/>
      <c r="D445" s="275">
        <v>1.50976</v>
      </c>
      <c r="E445" s="275">
        <v>1.5318000000000001</v>
      </c>
      <c r="F445" s="275"/>
      <c r="G445" s="275"/>
      <c r="H445" s="275"/>
      <c r="I445" s="275"/>
      <c r="J445" s="275"/>
      <c r="K445" s="264"/>
    </row>
    <row r="446" spans="1:11">
      <c r="A446" s="273"/>
      <c r="B446" s="274"/>
      <c r="C446" s="278"/>
      <c r="D446" s="275"/>
      <c r="E446" s="275"/>
      <c r="F446" s="275"/>
      <c r="G446" s="275"/>
      <c r="H446" s="275"/>
      <c r="I446" s="275"/>
      <c r="J446" s="275"/>
      <c r="K446" s="264"/>
    </row>
    <row r="447" spans="1:11">
      <c r="A447" s="273">
        <v>148</v>
      </c>
      <c r="B447" s="274">
        <v>45</v>
      </c>
      <c r="C447" s="278" t="s">
        <v>126</v>
      </c>
      <c r="D447" s="275" t="s">
        <v>446</v>
      </c>
      <c r="E447" s="275" t="s">
        <v>447</v>
      </c>
      <c r="F447" s="275"/>
      <c r="G447" s="275"/>
      <c r="H447" s="275"/>
      <c r="I447" s="275"/>
      <c r="J447" s="275"/>
      <c r="K447" s="264"/>
    </row>
    <row r="448" spans="1:11">
      <c r="A448" s="273"/>
      <c r="B448" s="274"/>
      <c r="C448" s="278"/>
      <c r="D448" s="275">
        <v>1.42296</v>
      </c>
      <c r="E448" s="275">
        <v>1.43919</v>
      </c>
      <c r="F448" s="275"/>
      <c r="G448" s="275"/>
      <c r="H448" s="275"/>
      <c r="I448" s="275"/>
      <c r="J448" s="275"/>
      <c r="K448" s="264"/>
    </row>
    <row r="449" spans="1:11">
      <c r="A449" s="273"/>
      <c r="B449" s="274"/>
      <c r="C449" s="278"/>
      <c r="D449" s="275"/>
      <c r="E449" s="275"/>
      <c r="F449" s="275"/>
      <c r="G449" s="275"/>
      <c r="H449" s="275"/>
      <c r="I449" s="275"/>
      <c r="J449" s="275"/>
      <c r="K449" s="264"/>
    </row>
    <row r="450" spans="1:11">
      <c r="A450" s="273">
        <v>149</v>
      </c>
      <c r="B450" s="274">
        <v>45</v>
      </c>
      <c r="C450" s="278" t="s">
        <v>127</v>
      </c>
      <c r="D450" s="275" t="s">
        <v>446</v>
      </c>
      <c r="E450" s="275" t="s">
        <v>447</v>
      </c>
      <c r="F450" s="275"/>
      <c r="G450" s="275"/>
      <c r="H450" s="275"/>
      <c r="I450" s="275"/>
      <c r="J450" s="275"/>
      <c r="K450" s="264"/>
    </row>
    <row r="451" spans="1:11">
      <c r="A451" s="273"/>
      <c r="B451" s="274"/>
      <c r="C451" s="278"/>
      <c r="D451" s="275">
        <v>1.3549599999999999</v>
      </c>
      <c r="E451" s="275">
        <v>1.3680099999999999</v>
      </c>
      <c r="F451" s="275"/>
      <c r="G451" s="275"/>
      <c r="H451" s="275"/>
      <c r="I451" s="275"/>
      <c r="J451" s="275"/>
      <c r="K451" s="264"/>
    </row>
    <row r="452" spans="1:11">
      <c r="A452" s="273"/>
      <c r="B452" s="274"/>
      <c r="C452" s="278"/>
      <c r="D452" s="275"/>
      <c r="E452" s="275"/>
      <c r="F452" s="275"/>
      <c r="G452" s="275"/>
      <c r="H452" s="275"/>
      <c r="I452" s="275"/>
      <c r="J452" s="275"/>
      <c r="K452" s="264"/>
    </row>
    <row r="453" spans="1:11">
      <c r="A453" s="273">
        <v>150</v>
      </c>
      <c r="B453" s="274">
        <v>45</v>
      </c>
      <c r="C453" s="278" t="s">
        <v>128</v>
      </c>
      <c r="D453" s="275" t="s">
        <v>446</v>
      </c>
      <c r="E453" s="275" t="s">
        <v>447</v>
      </c>
      <c r="F453" s="275"/>
      <c r="G453" s="275"/>
      <c r="H453" s="275"/>
      <c r="I453" s="275"/>
      <c r="J453" s="275"/>
      <c r="K453" s="264"/>
    </row>
    <row r="454" spans="1:11">
      <c r="A454" s="273"/>
      <c r="B454" s="274"/>
      <c r="C454" s="278"/>
      <c r="D454" s="275">
        <v>1.29887</v>
      </c>
      <c r="E454" s="275">
        <v>1.30989</v>
      </c>
      <c r="F454" s="275"/>
      <c r="G454" s="275"/>
      <c r="H454" s="275"/>
      <c r="I454" s="275"/>
      <c r="J454" s="275"/>
      <c r="K454" s="264"/>
    </row>
    <row r="455" spans="1:11">
      <c r="A455" s="273"/>
      <c r="B455" s="274"/>
      <c r="C455" s="278"/>
      <c r="D455" s="275"/>
      <c r="E455" s="275"/>
      <c r="F455" s="275"/>
      <c r="G455" s="275"/>
      <c r="H455" s="275"/>
      <c r="I455" s="275"/>
      <c r="J455" s="275"/>
      <c r="K455" s="264"/>
    </row>
    <row r="456" spans="1:11">
      <c r="A456" s="273">
        <v>151</v>
      </c>
      <c r="B456" s="274">
        <v>45</v>
      </c>
      <c r="C456" s="278" t="s">
        <v>129</v>
      </c>
      <c r="D456" s="275" t="s">
        <v>446</v>
      </c>
      <c r="E456" s="275" t="s">
        <v>447</v>
      </c>
      <c r="F456" s="275"/>
      <c r="G456" s="275"/>
      <c r="H456" s="275"/>
      <c r="I456" s="275"/>
      <c r="J456" s="275"/>
      <c r="K456" s="264"/>
    </row>
    <row r="457" spans="1:11">
      <c r="A457" s="273"/>
      <c r="B457" s="274"/>
      <c r="C457" s="278"/>
      <c r="D457" s="275">
        <v>1.25098</v>
      </c>
      <c r="E457" s="275">
        <v>1.26058</v>
      </c>
      <c r="F457" s="275"/>
      <c r="G457" s="275"/>
      <c r="H457" s="275"/>
      <c r="I457" s="275"/>
      <c r="J457" s="275"/>
      <c r="K457" s="264"/>
    </row>
    <row r="458" spans="1:11">
      <c r="A458" s="273"/>
      <c r="B458" s="274"/>
      <c r="C458" s="278"/>
      <c r="D458" s="275"/>
      <c r="E458" s="275"/>
      <c r="F458" s="275"/>
      <c r="G458" s="275"/>
      <c r="H458" s="275"/>
      <c r="I458" s="275"/>
      <c r="J458" s="275"/>
      <c r="K458" s="264"/>
    </row>
    <row r="459" spans="1:11">
      <c r="A459" s="273">
        <v>152</v>
      </c>
      <c r="B459" s="274">
        <v>45</v>
      </c>
      <c r="C459" s="278" t="s">
        <v>130</v>
      </c>
      <c r="D459" s="275" t="s">
        <v>446</v>
      </c>
      <c r="E459" s="275" t="s">
        <v>447</v>
      </c>
      <c r="F459" s="275"/>
      <c r="G459" s="275"/>
      <c r="H459" s="275"/>
      <c r="I459" s="275"/>
      <c r="J459" s="275"/>
      <c r="K459" s="264"/>
    </row>
    <row r="460" spans="1:11">
      <c r="A460" s="273"/>
      <c r="B460" s="274"/>
      <c r="C460" s="278"/>
      <c r="D460" s="275">
        <v>1.2090700000000001</v>
      </c>
      <c r="E460" s="275">
        <v>1.2176</v>
      </c>
      <c r="F460" s="275"/>
      <c r="G460" s="275"/>
      <c r="H460" s="275"/>
      <c r="I460" s="275"/>
      <c r="J460" s="275"/>
      <c r="K460" s="264"/>
    </row>
    <row r="461" spans="1:11">
      <c r="A461" s="273"/>
      <c r="B461" s="274"/>
      <c r="C461" s="278"/>
      <c r="D461" s="275"/>
      <c r="E461" s="275"/>
      <c r="F461" s="275"/>
      <c r="G461" s="275"/>
      <c r="H461" s="275"/>
      <c r="I461" s="275"/>
      <c r="J461" s="275"/>
      <c r="K461" s="264"/>
    </row>
    <row r="462" spans="1:11">
      <c r="A462" s="273">
        <v>153</v>
      </c>
      <c r="B462" s="274">
        <v>46</v>
      </c>
      <c r="C462" s="278" t="s">
        <v>348</v>
      </c>
      <c r="D462" s="275" t="s">
        <v>446</v>
      </c>
      <c r="E462" s="275" t="s">
        <v>447</v>
      </c>
      <c r="F462" s="275"/>
      <c r="G462" s="275"/>
      <c r="H462" s="275"/>
      <c r="I462" s="275"/>
      <c r="J462" s="275"/>
      <c r="K462" s="264"/>
    </row>
    <row r="463" spans="1:11">
      <c r="A463" s="273"/>
      <c r="B463" s="274"/>
      <c r="C463" s="278"/>
      <c r="D463" s="275">
        <v>1.3512900000000001</v>
      </c>
      <c r="E463" s="275">
        <v>1.3678900000000001</v>
      </c>
      <c r="F463" s="275"/>
      <c r="G463" s="275"/>
      <c r="H463" s="275"/>
      <c r="I463" s="275"/>
      <c r="J463" s="275"/>
      <c r="K463" s="264"/>
    </row>
    <row r="464" spans="1:11">
      <c r="A464" s="273"/>
      <c r="B464" s="274"/>
      <c r="C464" s="278"/>
      <c r="D464" s="275"/>
      <c r="E464" s="275"/>
      <c r="F464" s="275"/>
      <c r="G464" s="275"/>
      <c r="H464" s="275"/>
      <c r="I464" s="275"/>
      <c r="J464" s="275"/>
      <c r="K464" s="264"/>
    </row>
    <row r="465" spans="1:11">
      <c r="A465" s="273">
        <v>154</v>
      </c>
      <c r="B465" s="274">
        <v>46</v>
      </c>
      <c r="C465" s="278" t="s">
        <v>349</v>
      </c>
      <c r="D465" s="275" t="s">
        <v>446</v>
      </c>
      <c r="E465" s="275" t="s">
        <v>447</v>
      </c>
      <c r="F465" s="275"/>
      <c r="G465" s="275"/>
      <c r="H465" s="275"/>
      <c r="I465" s="275"/>
      <c r="J465" s="275"/>
      <c r="K465" s="264"/>
    </row>
    <row r="466" spans="1:11">
      <c r="A466" s="273"/>
      <c r="B466" s="274"/>
      <c r="C466" s="278"/>
      <c r="D466" s="275">
        <v>1.2412399999999999</v>
      </c>
      <c r="E466" s="275">
        <v>1.25261</v>
      </c>
      <c r="F466" s="275"/>
      <c r="G466" s="275"/>
      <c r="H466" s="275"/>
      <c r="I466" s="275"/>
      <c r="J466" s="275"/>
      <c r="K466" s="264"/>
    </row>
    <row r="467" spans="1:11">
      <c r="A467" s="273"/>
      <c r="B467" s="274"/>
      <c r="C467" s="278"/>
      <c r="D467" s="275"/>
      <c r="E467" s="275"/>
      <c r="F467" s="275"/>
      <c r="G467" s="275"/>
      <c r="H467" s="275"/>
      <c r="I467" s="275"/>
      <c r="J467" s="275"/>
      <c r="K467" s="264"/>
    </row>
    <row r="468" spans="1:11">
      <c r="A468" s="273">
        <v>155</v>
      </c>
      <c r="B468" s="274">
        <v>47</v>
      </c>
      <c r="C468" s="278" t="s">
        <v>131</v>
      </c>
      <c r="D468" s="275" t="s">
        <v>446</v>
      </c>
      <c r="E468" s="275" t="s">
        <v>447</v>
      </c>
      <c r="F468" s="275"/>
      <c r="G468" s="275"/>
      <c r="H468" s="275"/>
      <c r="I468" s="275"/>
      <c r="J468" s="275"/>
      <c r="K468" s="264"/>
    </row>
    <row r="469" spans="1:11">
      <c r="A469" s="273"/>
      <c r="B469" s="274"/>
      <c r="C469" s="278"/>
      <c r="D469" s="275">
        <v>1.3535699999999999</v>
      </c>
      <c r="E469" s="275">
        <v>1.3761399999999999</v>
      </c>
      <c r="F469" s="275"/>
      <c r="G469" s="275"/>
      <c r="H469" s="275"/>
      <c r="I469" s="275"/>
      <c r="J469" s="275"/>
      <c r="K469" s="264"/>
    </row>
    <row r="470" spans="1:11">
      <c r="A470" s="273"/>
      <c r="B470" s="274"/>
      <c r="C470" s="278"/>
      <c r="D470" s="275"/>
      <c r="E470" s="275"/>
      <c r="F470" s="275"/>
      <c r="G470" s="275"/>
      <c r="H470" s="275"/>
      <c r="I470" s="275"/>
      <c r="J470" s="275"/>
      <c r="K470" s="264"/>
    </row>
    <row r="471" spans="1:11">
      <c r="A471" s="273">
        <v>156</v>
      </c>
      <c r="B471" s="274">
        <v>47</v>
      </c>
      <c r="C471" s="278" t="s">
        <v>132</v>
      </c>
      <c r="D471" s="275" t="s">
        <v>446</v>
      </c>
      <c r="E471" s="275" t="s">
        <v>447</v>
      </c>
      <c r="F471" s="275"/>
      <c r="G471" s="275"/>
      <c r="H471" s="275"/>
      <c r="I471" s="275"/>
      <c r="J471" s="275"/>
      <c r="K471" s="264"/>
    </row>
    <row r="472" spans="1:11">
      <c r="A472" s="273"/>
      <c r="B472" s="274"/>
      <c r="C472" s="278"/>
      <c r="D472" s="275">
        <v>1.28746</v>
      </c>
      <c r="E472" s="275">
        <v>1.30443</v>
      </c>
      <c r="F472" s="275"/>
      <c r="G472" s="275"/>
      <c r="H472" s="275"/>
      <c r="I472" s="275"/>
      <c r="J472" s="275"/>
      <c r="K472" s="264"/>
    </row>
    <row r="473" spans="1:11">
      <c r="A473" s="273"/>
      <c r="B473" s="274"/>
      <c r="C473" s="278"/>
      <c r="D473" s="275"/>
      <c r="E473" s="275"/>
      <c r="F473" s="275"/>
      <c r="G473" s="275"/>
      <c r="H473" s="275"/>
      <c r="I473" s="275"/>
      <c r="J473" s="275"/>
      <c r="K473" s="264"/>
    </row>
    <row r="474" spans="1:11">
      <c r="A474" s="273">
        <v>157</v>
      </c>
      <c r="B474" s="274">
        <v>47</v>
      </c>
      <c r="C474" s="278" t="s">
        <v>133</v>
      </c>
      <c r="D474" s="275" t="s">
        <v>446</v>
      </c>
      <c r="E474" s="275" t="s">
        <v>447</v>
      </c>
      <c r="F474" s="275"/>
      <c r="G474" s="275"/>
      <c r="H474" s="275"/>
      <c r="I474" s="275"/>
      <c r="J474" s="275"/>
      <c r="K474" s="264"/>
    </row>
    <row r="475" spans="1:11">
      <c r="A475" s="273"/>
      <c r="B475" s="274"/>
      <c r="C475" s="278"/>
      <c r="D475" s="275">
        <v>1.2340500000000001</v>
      </c>
      <c r="E475" s="275">
        <v>1.2478499999999999</v>
      </c>
      <c r="F475" s="275"/>
      <c r="G475" s="275"/>
      <c r="H475" s="275"/>
      <c r="I475" s="275"/>
      <c r="J475" s="275"/>
      <c r="K475" s="264"/>
    </row>
    <row r="476" spans="1:11">
      <c r="A476" s="273"/>
      <c r="B476" s="274"/>
      <c r="C476" s="278"/>
      <c r="D476" s="275"/>
      <c r="E476" s="275"/>
      <c r="F476" s="275"/>
      <c r="G476" s="275"/>
      <c r="H476" s="275"/>
      <c r="I476" s="275"/>
      <c r="J476" s="275"/>
      <c r="K476" s="264"/>
    </row>
    <row r="477" spans="1:11">
      <c r="A477" s="273">
        <v>158</v>
      </c>
      <c r="B477" s="274">
        <v>48</v>
      </c>
      <c r="C477" s="278" t="s">
        <v>350</v>
      </c>
      <c r="D477" s="275" t="s">
        <v>446</v>
      </c>
      <c r="E477" s="275" t="s">
        <v>447</v>
      </c>
      <c r="F477" s="275"/>
      <c r="G477" s="275"/>
      <c r="H477" s="275"/>
      <c r="I477" s="275"/>
      <c r="J477" s="275"/>
      <c r="K477" s="264"/>
    </row>
    <row r="478" spans="1:11">
      <c r="A478" s="273"/>
      <c r="B478" s="274"/>
      <c r="C478" s="278"/>
      <c r="D478" s="275">
        <v>1.23011</v>
      </c>
      <c r="E478" s="275">
        <v>1.2474499999999999</v>
      </c>
      <c r="F478" s="275"/>
      <c r="G478" s="275"/>
      <c r="H478" s="275"/>
      <c r="I478" s="275"/>
      <c r="J478" s="275"/>
      <c r="K478" s="264"/>
    </row>
    <row r="479" spans="1:11">
      <c r="A479" s="273"/>
      <c r="B479" s="274"/>
      <c r="C479" s="278"/>
      <c r="D479" s="275"/>
      <c r="E479" s="275"/>
      <c r="F479" s="275"/>
      <c r="G479" s="275"/>
      <c r="H479" s="275"/>
      <c r="I479" s="275"/>
      <c r="J479" s="275"/>
      <c r="K479" s="264"/>
    </row>
    <row r="480" spans="1:11">
      <c r="A480" s="273">
        <v>159</v>
      </c>
      <c r="B480" s="274">
        <v>49</v>
      </c>
      <c r="C480" s="278" t="s">
        <v>134</v>
      </c>
      <c r="D480" s="275" t="s">
        <v>446</v>
      </c>
      <c r="E480" s="275" t="s">
        <v>447</v>
      </c>
      <c r="F480" s="275" t="s">
        <v>448</v>
      </c>
      <c r="G480" s="275"/>
      <c r="H480" s="275"/>
      <c r="I480" s="275"/>
      <c r="J480" s="275"/>
      <c r="K480" s="264"/>
    </row>
    <row r="481" spans="1:11">
      <c r="A481" s="273"/>
      <c r="B481" s="274"/>
      <c r="C481" s="278"/>
      <c r="D481" s="275">
        <v>1.1551800000000001</v>
      </c>
      <c r="E481" s="275">
        <v>1.17164</v>
      </c>
      <c r="F481" s="275">
        <v>2.5827100000000001</v>
      </c>
      <c r="G481" s="275"/>
      <c r="H481" s="275"/>
      <c r="I481" s="275"/>
      <c r="J481" s="275"/>
      <c r="K481" s="264"/>
    </row>
    <row r="482" spans="1:11">
      <c r="A482" s="273"/>
      <c r="B482" s="274"/>
      <c r="C482" s="278"/>
      <c r="D482" s="275"/>
      <c r="E482" s="275"/>
      <c r="F482" s="275"/>
      <c r="G482" s="275"/>
      <c r="H482" s="275"/>
      <c r="I482" s="275"/>
      <c r="J482" s="275"/>
      <c r="K482" s="264"/>
    </row>
    <row r="483" spans="1:11">
      <c r="A483" s="273">
        <v>160</v>
      </c>
      <c r="B483" s="274">
        <v>49</v>
      </c>
      <c r="C483" s="278" t="s">
        <v>135</v>
      </c>
      <c r="D483" s="275" t="s">
        <v>446</v>
      </c>
      <c r="E483" s="275" t="s">
        <v>447</v>
      </c>
      <c r="F483" s="275" t="s">
        <v>448</v>
      </c>
      <c r="G483" s="275"/>
      <c r="H483" s="275"/>
      <c r="I483" s="275"/>
      <c r="J483" s="275"/>
      <c r="K483" s="264"/>
    </row>
    <row r="484" spans="1:11">
      <c r="A484" s="273"/>
      <c r="B484" s="274"/>
      <c r="C484" s="278"/>
      <c r="D484" s="275">
        <v>1.1458299999999999</v>
      </c>
      <c r="E484" s="275">
        <v>1.16134</v>
      </c>
      <c r="F484" s="275">
        <v>2.4200200000000001</v>
      </c>
      <c r="G484" s="275"/>
      <c r="H484" s="275"/>
      <c r="I484" s="275"/>
      <c r="J484" s="275"/>
      <c r="K484" s="264"/>
    </row>
    <row r="485" spans="1:11">
      <c r="A485" s="273"/>
      <c r="B485" s="274"/>
      <c r="C485" s="278"/>
      <c r="D485" s="275"/>
      <c r="E485" s="275"/>
      <c r="F485" s="275"/>
      <c r="G485" s="275"/>
      <c r="H485" s="275"/>
      <c r="I485" s="275"/>
      <c r="J485" s="275"/>
      <c r="K485" s="264"/>
    </row>
    <row r="486" spans="1:11">
      <c r="A486" s="273">
        <v>161</v>
      </c>
      <c r="B486" s="274">
        <v>49</v>
      </c>
      <c r="C486" s="278" t="s">
        <v>136</v>
      </c>
      <c r="D486" s="275" t="s">
        <v>446</v>
      </c>
      <c r="E486" s="275" t="s">
        <v>447</v>
      </c>
      <c r="F486" s="275"/>
      <c r="G486" s="275"/>
      <c r="H486" s="275"/>
      <c r="I486" s="275"/>
      <c r="J486" s="275"/>
      <c r="K486" s="264"/>
    </row>
    <row r="487" spans="1:11">
      <c r="A487" s="273"/>
      <c r="B487" s="274"/>
      <c r="C487" s="278"/>
      <c r="D487" s="275">
        <v>1.1349199999999999</v>
      </c>
      <c r="E487" s="275">
        <v>1.1494599999999999</v>
      </c>
      <c r="F487" s="275"/>
      <c r="G487" s="275"/>
      <c r="H487" s="275"/>
      <c r="I487" s="275"/>
      <c r="J487" s="275"/>
      <c r="K487" s="264"/>
    </row>
    <row r="488" spans="1:11">
      <c r="A488" s="273"/>
      <c r="B488" s="274"/>
      <c r="C488" s="278"/>
      <c r="D488" s="275"/>
      <c r="E488" s="275"/>
      <c r="F488" s="275"/>
      <c r="G488" s="275"/>
      <c r="H488" s="275"/>
      <c r="I488" s="275"/>
      <c r="J488" s="275"/>
      <c r="K488" s="264"/>
    </row>
    <row r="489" spans="1:11">
      <c r="A489" s="273">
        <v>162</v>
      </c>
      <c r="B489" s="274">
        <v>50</v>
      </c>
      <c r="C489" s="278" t="s">
        <v>351</v>
      </c>
      <c r="D489" s="275" t="s">
        <v>446</v>
      </c>
      <c r="E489" s="275" t="s">
        <v>447</v>
      </c>
      <c r="F489" s="275" t="s">
        <v>448</v>
      </c>
      <c r="G489" s="275"/>
      <c r="H489" s="275"/>
      <c r="I489" s="275"/>
      <c r="J489" s="275"/>
      <c r="K489" s="264"/>
    </row>
    <row r="490" spans="1:11">
      <c r="A490" s="273"/>
      <c r="B490" s="274"/>
      <c r="C490" s="278"/>
      <c r="D490" s="275">
        <v>1.07473</v>
      </c>
      <c r="E490" s="275">
        <v>1.0889200000000001</v>
      </c>
      <c r="F490" s="275">
        <v>2.2827799999999998</v>
      </c>
      <c r="G490" s="275"/>
      <c r="H490" s="275"/>
      <c r="I490" s="275"/>
      <c r="J490" s="275"/>
      <c r="K490" s="264"/>
    </row>
    <row r="491" spans="1:11">
      <c r="A491" s="273"/>
      <c r="B491" s="274"/>
      <c r="C491" s="278"/>
      <c r="D491" s="275"/>
      <c r="E491" s="275"/>
      <c r="F491" s="275"/>
      <c r="G491" s="275"/>
      <c r="H491" s="275"/>
      <c r="I491" s="275"/>
      <c r="J491" s="275"/>
      <c r="K491" s="264"/>
    </row>
    <row r="492" spans="1:11">
      <c r="A492" s="273">
        <v>163</v>
      </c>
      <c r="B492" s="274">
        <v>50</v>
      </c>
      <c r="C492" s="278" t="s">
        <v>352</v>
      </c>
      <c r="D492" s="275" t="s">
        <v>446</v>
      </c>
      <c r="E492" s="275" t="s">
        <v>447</v>
      </c>
      <c r="F492" s="275"/>
      <c r="G492" s="275"/>
      <c r="H492" s="275"/>
      <c r="I492" s="275"/>
      <c r="J492" s="275"/>
      <c r="K492" s="264"/>
    </row>
    <row r="493" spans="1:11">
      <c r="A493" s="273"/>
      <c r="B493" s="274"/>
      <c r="C493" s="278"/>
      <c r="D493" s="275">
        <v>1.05766</v>
      </c>
      <c r="E493" s="275">
        <v>1.07046</v>
      </c>
      <c r="F493" s="275"/>
      <c r="G493" s="275"/>
      <c r="H493" s="275"/>
      <c r="I493" s="275"/>
      <c r="J493" s="275"/>
      <c r="K493" s="264"/>
    </row>
    <row r="494" spans="1:11">
      <c r="A494" s="273"/>
      <c r="B494" s="274"/>
      <c r="C494" s="278"/>
      <c r="D494" s="275"/>
      <c r="E494" s="275"/>
      <c r="F494" s="275"/>
      <c r="G494" s="275"/>
      <c r="H494" s="275"/>
      <c r="I494" s="275"/>
      <c r="J494" s="275"/>
      <c r="K494" s="264"/>
    </row>
    <row r="495" spans="1:11">
      <c r="A495" s="273">
        <v>164</v>
      </c>
      <c r="B495" s="274">
        <v>51</v>
      </c>
      <c r="C495" s="278" t="s">
        <v>353</v>
      </c>
      <c r="D495" s="275" t="s">
        <v>446</v>
      </c>
      <c r="E495" s="275" t="s">
        <v>447</v>
      </c>
      <c r="F495" s="275" t="s">
        <v>448</v>
      </c>
      <c r="G495" s="275"/>
      <c r="H495" s="275"/>
      <c r="I495" s="275"/>
      <c r="J495" s="275"/>
      <c r="K495" s="264"/>
    </row>
    <row r="496" spans="1:11">
      <c r="A496" s="273"/>
      <c r="B496" s="274"/>
      <c r="C496" s="278"/>
      <c r="D496" s="275">
        <v>1.0074399999999999</v>
      </c>
      <c r="E496" s="275">
        <v>1.0201100000000001</v>
      </c>
      <c r="F496" s="275">
        <v>2.0705</v>
      </c>
      <c r="G496" s="275"/>
      <c r="H496" s="275"/>
      <c r="I496" s="275"/>
      <c r="J496" s="275"/>
      <c r="K496" s="264"/>
    </row>
    <row r="497" spans="1:11">
      <c r="A497" s="273"/>
      <c r="B497" s="274"/>
      <c r="C497" s="278"/>
      <c r="D497" s="275"/>
      <c r="E497" s="275"/>
      <c r="F497" s="275"/>
      <c r="G497" s="275"/>
      <c r="H497" s="275"/>
      <c r="I497" s="275"/>
      <c r="J497" s="275"/>
      <c r="K497" s="264"/>
    </row>
    <row r="498" spans="1:11">
      <c r="A498" s="273">
        <v>165</v>
      </c>
      <c r="B498" s="274">
        <v>51</v>
      </c>
      <c r="C498" s="278" t="s">
        <v>354</v>
      </c>
      <c r="D498" s="275" t="s">
        <v>446</v>
      </c>
      <c r="E498" s="275" t="s">
        <v>447</v>
      </c>
      <c r="F498" s="275"/>
      <c r="G498" s="275"/>
      <c r="H498" s="275"/>
      <c r="I498" s="275"/>
      <c r="J498" s="275"/>
      <c r="K498" s="264"/>
    </row>
    <row r="499" spans="1:11">
      <c r="A499" s="273"/>
      <c r="B499" s="274"/>
      <c r="C499" s="278"/>
      <c r="D499" s="275">
        <v>0.99285000000000001</v>
      </c>
      <c r="E499" s="275">
        <v>1.0044500000000001</v>
      </c>
      <c r="F499" s="275"/>
      <c r="G499" s="275"/>
      <c r="H499" s="275"/>
      <c r="I499" s="275"/>
      <c r="J499" s="275"/>
      <c r="K499" s="264"/>
    </row>
    <row r="500" spans="1:11">
      <c r="A500" s="273"/>
      <c r="B500" s="274"/>
      <c r="C500" s="278"/>
      <c r="D500" s="275"/>
      <c r="E500" s="275"/>
      <c r="F500" s="275"/>
      <c r="G500" s="275"/>
      <c r="H500" s="275"/>
      <c r="I500" s="275"/>
      <c r="J500" s="275"/>
      <c r="K500" s="264"/>
    </row>
    <row r="501" spans="1:11">
      <c r="A501" s="273">
        <v>166</v>
      </c>
      <c r="B501" s="274">
        <v>52</v>
      </c>
      <c r="C501" s="278" t="s">
        <v>355</v>
      </c>
      <c r="D501" s="275" t="s">
        <v>446</v>
      </c>
      <c r="E501" s="275" t="s">
        <v>447</v>
      </c>
      <c r="F501" s="275" t="s">
        <v>448</v>
      </c>
      <c r="G501" s="275" t="s">
        <v>449</v>
      </c>
      <c r="H501" s="275" t="s">
        <v>450</v>
      </c>
      <c r="I501" s="275"/>
      <c r="J501" s="275"/>
      <c r="K501" s="264"/>
    </row>
    <row r="502" spans="1:11">
      <c r="A502" s="273"/>
      <c r="B502" s="274"/>
      <c r="C502" s="278"/>
      <c r="D502" s="275">
        <v>0.95720000000000005</v>
      </c>
      <c r="E502" s="275">
        <v>0.96916999999999998</v>
      </c>
      <c r="F502" s="275">
        <v>2.0162800000000001</v>
      </c>
      <c r="G502" s="275">
        <v>2.3175699999999999</v>
      </c>
      <c r="H502" s="275">
        <v>2.3912300000000002</v>
      </c>
      <c r="I502" s="275"/>
      <c r="J502" s="275"/>
      <c r="K502" s="264"/>
    </row>
    <row r="503" spans="1:11">
      <c r="A503" s="273"/>
      <c r="B503" s="274"/>
      <c r="C503" s="278"/>
      <c r="D503" s="275"/>
      <c r="E503" s="275"/>
      <c r="F503" s="275"/>
      <c r="G503" s="275"/>
      <c r="H503" s="275"/>
      <c r="I503" s="275"/>
      <c r="J503" s="275"/>
      <c r="K503" s="264"/>
    </row>
    <row r="504" spans="1:11">
      <c r="A504" s="273">
        <v>167</v>
      </c>
      <c r="B504" s="274">
        <v>52</v>
      </c>
      <c r="C504" s="278" t="s">
        <v>356</v>
      </c>
      <c r="D504" s="275" t="s">
        <v>446</v>
      </c>
      <c r="E504" s="275" t="s">
        <v>447</v>
      </c>
      <c r="F504" s="275" t="s">
        <v>448</v>
      </c>
      <c r="G504" s="275"/>
      <c r="H504" s="275"/>
      <c r="I504" s="275"/>
      <c r="J504" s="275"/>
      <c r="K504" s="264"/>
    </row>
    <row r="505" spans="1:11">
      <c r="A505" s="273"/>
      <c r="B505" s="274"/>
      <c r="C505" s="278"/>
      <c r="D505" s="275">
        <v>0.94986999999999999</v>
      </c>
      <c r="E505" s="275">
        <v>0.96147000000000005</v>
      </c>
      <c r="F505" s="275">
        <v>1.90696</v>
      </c>
      <c r="G505" s="275"/>
      <c r="H505" s="275"/>
      <c r="I505" s="275"/>
      <c r="J505" s="275"/>
      <c r="K505" s="264"/>
    </row>
    <row r="506" spans="1:11">
      <c r="A506" s="273"/>
      <c r="B506" s="274"/>
      <c r="C506" s="278"/>
      <c r="D506" s="275"/>
      <c r="E506" s="275"/>
      <c r="F506" s="275"/>
      <c r="G506" s="275"/>
      <c r="H506" s="275"/>
      <c r="I506" s="275"/>
      <c r="J506" s="275"/>
      <c r="K506" s="264"/>
    </row>
    <row r="507" spans="1:11">
      <c r="A507" s="273">
        <v>168</v>
      </c>
      <c r="B507" s="274">
        <v>52</v>
      </c>
      <c r="C507" s="278" t="s">
        <v>137</v>
      </c>
      <c r="D507" s="275" t="s">
        <v>446</v>
      </c>
      <c r="E507" s="275" t="s">
        <v>447</v>
      </c>
      <c r="F507" s="275" t="s">
        <v>448</v>
      </c>
      <c r="G507" s="275"/>
      <c r="H507" s="275"/>
      <c r="I507" s="275"/>
      <c r="J507" s="275"/>
      <c r="K507" s="264"/>
    </row>
    <row r="508" spans="1:11">
      <c r="A508" s="273"/>
      <c r="B508" s="274"/>
      <c r="C508" s="278"/>
      <c r="D508" s="275">
        <v>0.94377</v>
      </c>
      <c r="E508" s="275">
        <v>0.95492999999999995</v>
      </c>
      <c r="F508" s="275">
        <v>1.84856</v>
      </c>
      <c r="G508" s="275"/>
      <c r="H508" s="275"/>
      <c r="I508" s="275"/>
      <c r="J508" s="275"/>
      <c r="K508" s="264"/>
    </row>
    <row r="509" spans="1:11">
      <c r="A509" s="273"/>
      <c r="B509" s="274"/>
      <c r="C509" s="278"/>
      <c r="D509" s="275"/>
      <c r="E509" s="275"/>
      <c r="F509" s="275"/>
      <c r="G509" s="275"/>
      <c r="H509" s="275"/>
      <c r="I509" s="275"/>
      <c r="J509" s="275"/>
      <c r="K509" s="264"/>
    </row>
    <row r="510" spans="1:11">
      <c r="A510" s="273">
        <v>169</v>
      </c>
      <c r="B510" s="274">
        <v>52</v>
      </c>
      <c r="C510" s="278" t="s">
        <v>138</v>
      </c>
      <c r="D510" s="275" t="s">
        <v>446</v>
      </c>
      <c r="E510" s="275" t="s">
        <v>447</v>
      </c>
      <c r="F510" s="275"/>
      <c r="G510" s="275"/>
      <c r="H510" s="275"/>
      <c r="I510" s="275"/>
      <c r="J510" s="275"/>
      <c r="K510" s="264"/>
    </row>
    <row r="511" spans="1:11">
      <c r="A511" s="273"/>
      <c r="B511" s="274"/>
      <c r="C511" s="278"/>
      <c r="D511" s="275">
        <v>0.93722000000000005</v>
      </c>
      <c r="E511" s="275">
        <v>0.94794999999999996</v>
      </c>
      <c r="F511" s="275"/>
      <c r="G511" s="275"/>
      <c r="H511" s="275"/>
      <c r="I511" s="275"/>
      <c r="J511" s="275"/>
      <c r="K511" s="264"/>
    </row>
    <row r="512" spans="1:11">
      <c r="A512" s="273"/>
      <c r="B512" s="274"/>
      <c r="C512" s="278"/>
      <c r="D512" s="275"/>
      <c r="E512" s="275"/>
      <c r="F512" s="275"/>
      <c r="G512" s="275"/>
      <c r="H512" s="275"/>
      <c r="I512" s="275"/>
      <c r="J512" s="275"/>
      <c r="K512" s="264"/>
    </row>
    <row r="513" spans="1:11">
      <c r="A513" s="273">
        <v>170</v>
      </c>
      <c r="B513" s="274">
        <v>53</v>
      </c>
      <c r="C513" s="278" t="s">
        <v>139</v>
      </c>
      <c r="D513" s="275" t="s">
        <v>446</v>
      </c>
      <c r="E513" s="275" t="s">
        <v>447</v>
      </c>
      <c r="F513" s="275" t="s">
        <v>448</v>
      </c>
      <c r="G513" s="275" t="s">
        <v>449</v>
      </c>
      <c r="H513" s="275" t="s">
        <v>450</v>
      </c>
      <c r="I513" s="275"/>
      <c r="J513" s="275"/>
      <c r="K513" s="264"/>
    </row>
    <row r="514" spans="1:11">
      <c r="A514" s="273"/>
      <c r="B514" s="274"/>
      <c r="C514" s="278"/>
      <c r="D514" s="275">
        <v>0.91147999999999996</v>
      </c>
      <c r="E514" s="275">
        <v>0.92279</v>
      </c>
      <c r="F514" s="275">
        <v>1.96096</v>
      </c>
      <c r="G514" s="275">
        <v>2.2780900000000002</v>
      </c>
      <c r="H514" s="275">
        <v>2.3662800000000002</v>
      </c>
      <c r="I514" s="275"/>
      <c r="J514" s="275"/>
      <c r="K514" s="264"/>
    </row>
    <row r="515" spans="1:11">
      <c r="A515" s="273"/>
      <c r="B515" s="274"/>
      <c r="C515" s="278"/>
      <c r="D515" s="275"/>
      <c r="E515" s="275"/>
      <c r="F515" s="275"/>
      <c r="G515" s="275"/>
      <c r="H515" s="275"/>
      <c r="I515" s="275"/>
      <c r="J515" s="275"/>
      <c r="K515" s="264"/>
    </row>
    <row r="516" spans="1:11">
      <c r="A516" s="273">
        <v>171</v>
      </c>
      <c r="B516" s="274">
        <v>53</v>
      </c>
      <c r="C516" s="278" t="s">
        <v>357</v>
      </c>
      <c r="D516" s="275" t="s">
        <v>446</v>
      </c>
      <c r="E516" s="275" t="s">
        <v>447</v>
      </c>
      <c r="F516" s="275" t="s">
        <v>448</v>
      </c>
      <c r="G516" s="275" t="s">
        <v>449</v>
      </c>
      <c r="H516" s="275" t="s">
        <v>450</v>
      </c>
      <c r="I516" s="275"/>
      <c r="J516" s="275"/>
      <c r="K516" s="264"/>
    </row>
    <row r="517" spans="1:11">
      <c r="A517" s="273"/>
      <c r="B517" s="274"/>
      <c r="C517" s="278"/>
      <c r="D517" s="275">
        <v>0.90683000000000002</v>
      </c>
      <c r="E517" s="275">
        <v>0.91795000000000004</v>
      </c>
      <c r="F517" s="275">
        <v>1.86155</v>
      </c>
      <c r="G517" s="275">
        <v>2.0924</v>
      </c>
      <c r="H517" s="275">
        <v>2.1566000000000001</v>
      </c>
      <c r="I517" s="275"/>
      <c r="J517" s="275"/>
      <c r="K517" s="264"/>
    </row>
    <row r="518" spans="1:11">
      <c r="A518" s="273"/>
      <c r="B518" s="274"/>
      <c r="C518" s="278"/>
      <c r="D518" s="275"/>
      <c r="E518" s="275"/>
      <c r="F518" s="275"/>
      <c r="G518" s="275"/>
      <c r="H518" s="275"/>
      <c r="I518" s="275"/>
      <c r="J518" s="275"/>
      <c r="K518" s="264"/>
    </row>
    <row r="519" spans="1:11">
      <c r="A519" s="273">
        <v>172</v>
      </c>
      <c r="B519" s="274">
        <v>53</v>
      </c>
      <c r="C519" s="278" t="s">
        <v>358</v>
      </c>
      <c r="D519" s="275" t="s">
        <v>446</v>
      </c>
      <c r="E519" s="275" t="s">
        <v>447</v>
      </c>
      <c r="F519" s="275" t="s">
        <v>448</v>
      </c>
      <c r="G519" s="275"/>
      <c r="H519" s="275"/>
      <c r="I519" s="275"/>
      <c r="J519" s="275"/>
      <c r="K519" s="264"/>
    </row>
    <row r="520" spans="1:11">
      <c r="A520" s="273"/>
      <c r="B520" s="274"/>
      <c r="C520" s="278"/>
      <c r="D520" s="275">
        <v>0.89976</v>
      </c>
      <c r="E520" s="275">
        <v>0.91056000000000004</v>
      </c>
      <c r="F520" s="275">
        <v>1.7745599999999999</v>
      </c>
      <c r="G520" s="275"/>
      <c r="H520" s="275"/>
      <c r="I520" s="275"/>
      <c r="J520" s="275"/>
      <c r="K520" s="264"/>
    </row>
    <row r="521" spans="1:11">
      <c r="A521" s="273"/>
      <c r="B521" s="274"/>
      <c r="C521" s="278"/>
      <c r="D521" s="275"/>
      <c r="E521" s="275"/>
      <c r="F521" s="275"/>
      <c r="G521" s="275"/>
      <c r="H521" s="275"/>
      <c r="I521" s="275"/>
      <c r="J521" s="275"/>
      <c r="K521" s="264"/>
    </row>
    <row r="522" spans="1:11">
      <c r="A522" s="273">
        <v>173</v>
      </c>
      <c r="B522" s="274">
        <v>53</v>
      </c>
      <c r="C522" s="278" t="s">
        <v>359</v>
      </c>
      <c r="D522" s="275" t="s">
        <v>446</v>
      </c>
      <c r="E522" s="275" t="s">
        <v>447</v>
      </c>
      <c r="F522" s="275"/>
      <c r="G522" s="275"/>
      <c r="H522" s="275"/>
      <c r="I522" s="275"/>
      <c r="J522" s="275"/>
      <c r="K522" s="264"/>
    </row>
    <row r="523" spans="1:11">
      <c r="A523" s="273"/>
      <c r="B523" s="274"/>
      <c r="C523" s="278"/>
      <c r="D523" s="275">
        <v>0.88865000000000005</v>
      </c>
      <c r="E523" s="275">
        <v>0.89871999999999996</v>
      </c>
      <c r="F523" s="275"/>
      <c r="G523" s="275"/>
      <c r="H523" s="275"/>
      <c r="I523" s="275"/>
      <c r="J523" s="275"/>
      <c r="K523" s="264"/>
    </row>
    <row r="524" spans="1:11">
      <c r="A524" s="273"/>
      <c r="B524" s="274"/>
      <c r="C524" s="278"/>
      <c r="D524" s="275"/>
      <c r="E524" s="275"/>
      <c r="F524" s="275"/>
      <c r="G524" s="275"/>
      <c r="H524" s="275"/>
      <c r="I524" s="275"/>
      <c r="J524" s="275"/>
      <c r="K524" s="264"/>
    </row>
    <row r="525" spans="1:11">
      <c r="A525" s="273">
        <v>174</v>
      </c>
      <c r="B525" s="274">
        <v>53</v>
      </c>
      <c r="C525" s="278" t="s">
        <v>360</v>
      </c>
      <c r="D525" s="275" t="s">
        <v>446</v>
      </c>
      <c r="E525" s="275" t="s">
        <v>447</v>
      </c>
      <c r="F525" s="275" t="s">
        <v>448</v>
      </c>
      <c r="G525" s="275" t="s">
        <v>449</v>
      </c>
      <c r="H525" s="275" t="s">
        <v>450</v>
      </c>
      <c r="I525" s="275"/>
      <c r="J525" s="275"/>
      <c r="K525" s="264"/>
    </row>
    <row r="526" spans="1:11">
      <c r="A526" s="273"/>
      <c r="B526" s="274"/>
      <c r="C526" s="278"/>
      <c r="D526" s="275">
        <v>0.91335</v>
      </c>
      <c r="E526" s="275">
        <v>0.92459999999999998</v>
      </c>
      <c r="F526" s="275">
        <v>2.0651799999999998</v>
      </c>
      <c r="G526" s="275">
        <v>2.5648</v>
      </c>
      <c r="H526" s="275">
        <v>2.7420599999999999</v>
      </c>
      <c r="I526" s="275"/>
      <c r="J526" s="275"/>
      <c r="K526" s="264"/>
    </row>
    <row r="527" spans="1:11">
      <c r="A527" s="273"/>
      <c r="B527" s="274"/>
      <c r="C527" s="278"/>
      <c r="D527" s="275"/>
      <c r="E527" s="275"/>
      <c r="F527" s="275"/>
      <c r="G527" s="275"/>
      <c r="H527" s="275"/>
      <c r="I527" s="275"/>
      <c r="J527" s="275"/>
      <c r="K527" s="264"/>
    </row>
    <row r="528" spans="1:11">
      <c r="A528" s="273">
        <v>175</v>
      </c>
      <c r="B528" s="274">
        <v>54</v>
      </c>
      <c r="C528" s="278" t="s">
        <v>361</v>
      </c>
      <c r="D528" s="275" t="s">
        <v>446</v>
      </c>
      <c r="E528" s="275" t="s">
        <v>447</v>
      </c>
      <c r="F528" s="275" t="s">
        <v>448</v>
      </c>
      <c r="G528" s="275" t="s">
        <v>449</v>
      </c>
      <c r="H528" s="275" t="s">
        <v>450</v>
      </c>
      <c r="I528" s="275"/>
      <c r="J528" s="275"/>
      <c r="K528" s="264"/>
    </row>
    <row r="529" spans="1:11">
      <c r="A529" s="273"/>
      <c r="B529" s="274"/>
      <c r="C529" s="278"/>
      <c r="D529" s="275">
        <v>0.86712</v>
      </c>
      <c r="E529" s="275">
        <v>0.87778999999999996</v>
      </c>
      <c r="F529" s="275">
        <v>1.81585</v>
      </c>
      <c r="G529" s="275">
        <v>2.0555300000000001</v>
      </c>
      <c r="H529" s="275">
        <v>2.1292499999999999</v>
      </c>
      <c r="I529" s="275"/>
      <c r="J529" s="275"/>
      <c r="K529" s="264"/>
    </row>
    <row r="530" spans="1:11">
      <c r="A530" s="273"/>
      <c r="B530" s="274"/>
      <c r="C530" s="278"/>
      <c r="D530" s="275"/>
      <c r="E530" s="275"/>
      <c r="F530" s="275"/>
      <c r="G530" s="275"/>
      <c r="H530" s="275"/>
      <c r="I530" s="275"/>
      <c r="J530" s="275"/>
      <c r="K530" s="264"/>
    </row>
    <row r="531" spans="1:11">
      <c r="A531" s="273">
        <v>176</v>
      </c>
      <c r="B531" s="274">
        <v>54</v>
      </c>
      <c r="C531" s="278" t="s">
        <v>362</v>
      </c>
      <c r="D531" s="275" t="s">
        <v>446</v>
      </c>
      <c r="E531" s="275" t="s">
        <v>447</v>
      </c>
      <c r="F531" s="275" t="s">
        <v>448</v>
      </c>
      <c r="G531" s="275" t="s">
        <v>449</v>
      </c>
      <c r="H531" s="275" t="s">
        <v>450</v>
      </c>
      <c r="I531" s="275"/>
      <c r="J531" s="275"/>
      <c r="K531" s="264"/>
    </row>
    <row r="532" spans="1:11">
      <c r="A532" s="273"/>
      <c r="B532" s="274"/>
      <c r="C532" s="278"/>
      <c r="D532" s="275">
        <v>0.86224000000000001</v>
      </c>
      <c r="E532" s="275">
        <v>0.87270999999999999</v>
      </c>
      <c r="F532" s="275">
        <v>1.7352300000000001</v>
      </c>
      <c r="G532" s="275">
        <v>1.9200900000000001</v>
      </c>
      <c r="H532" s="275">
        <v>1.97803</v>
      </c>
      <c r="I532" s="275"/>
      <c r="J532" s="275"/>
      <c r="K532" s="264"/>
    </row>
    <row r="533" spans="1:11">
      <c r="A533" s="273"/>
      <c r="B533" s="274"/>
      <c r="C533" s="278"/>
      <c r="D533" s="275"/>
      <c r="E533" s="275"/>
      <c r="F533" s="275"/>
      <c r="G533" s="275"/>
      <c r="H533" s="275"/>
      <c r="I533" s="275"/>
      <c r="J533" s="275"/>
      <c r="K533" s="264"/>
    </row>
    <row r="534" spans="1:11">
      <c r="A534" s="273">
        <v>177</v>
      </c>
      <c r="B534" s="274">
        <v>54</v>
      </c>
      <c r="C534" s="278" t="s">
        <v>363</v>
      </c>
      <c r="D534" s="275" t="s">
        <v>446</v>
      </c>
      <c r="E534" s="275" t="s">
        <v>447</v>
      </c>
      <c r="F534" s="275" t="s">
        <v>448</v>
      </c>
      <c r="G534" s="275"/>
      <c r="H534" s="275"/>
      <c r="I534" s="275"/>
      <c r="J534" s="275"/>
      <c r="K534" s="264"/>
    </row>
    <row r="535" spans="1:11">
      <c r="A535" s="273"/>
      <c r="B535" s="274"/>
      <c r="C535" s="278"/>
      <c r="D535" s="275">
        <v>0.85555000000000003</v>
      </c>
      <c r="E535" s="275">
        <v>0.86573</v>
      </c>
      <c r="F535" s="275">
        <v>1.6637999999999999</v>
      </c>
      <c r="G535" s="275"/>
      <c r="H535" s="275"/>
      <c r="I535" s="275"/>
      <c r="J535" s="275"/>
      <c r="K535" s="264"/>
    </row>
    <row r="536" spans="1:11">
      <c r="A536" s="273"/>
      <c r="B536" s="274"/>
      <c r="C536" s="278"/>
      <c r="D536" s="275"/>
      <c r="E536" s="275"/>
      <c r="F536" s="275"/>
      <c r="G536" s="275"/>
      <c r="H536" s="275"/>
      <c r="I536" s="275"/>
      <c r="J536" s="275"/>
      <c r="K536" s="264"/>
    </row>
    <row r="537" spans="1:11">
      <c r="A537" s="273">
        <v>178</v>
      </c>
      <c r="B537" s="274">
        <v>54</v>
      </c>
      <c r="C537" s="278" t="s">
        <v>364</v>
      </c>
      <c r="D537" s="275" t="s">
        <v>446</v>
      </c>
      <c r="E537" s="275" t="s">
        <v>447</v>
      </c>
      <c r="F537" s="275"/>
      <c r="G537" s="275"/>
      <c r="H537" s="275"/>
      <c r="I537" s="275"/>
      <c r="J537" s="275"/>
      <c r="K537" s="264"/>
    </row>
    <row r="538" spans="1:11">
      <c r="A538" s="273"/>
      <c r="B538" s="274"/>
      <c r="C538" s="278"/>
      <c r="D538" s="275">
        <v>0.84567999999999999</v>
      </c>
      <c r="E538" s="275">
        <v>0.85524</v>
      </c>
      <c r="F538" s="275"/>
      <c r="G538" s="275"/>
      <c r="H538" s="275"/>
      <c r="I538" s="275"/>
      <c r="J538" s="275"/>
      <c r="K538" s="264"/>
    </row>
    <row r="539" spans="1:11">
      <c r="A539" s="273"/>
      <c r="B539" s="274"/>
      <c r="C539" s="278"/>
      <c r="D539" s="275"/>
      <c r="E539" s="275"/>
      <c r="F539" s="275"/>
      <c r="G539" s="275"/>
      <c r="H539" s="275"/>
      <c r="I539" s="275"/>
      <c r="J539" s="275"/>
      <c r="K539" s="264"/>
    </row>
    <row r="540" spans="1:11">
      <c r="A540" s="273">
        <v>179</v>
      </c>
      <c r="B540" s="274">
        <v>55</v>
      </c>
      <c r="C540" s="278" t="s">
        <v>140</v>
      </c>
      <c r="D540" s="275" t="s">
        <v>446</v>
      </c>
      <c r="E540" s="275" t="s">
        <v>447</v>
      </c>
      <c r="F540" s="275" t="s">
        <v>448</v>
      </c>
      <c r="G540" s="275" t="s">
        <v>449</v>
      </c>
      <c r="H540" s="275" t="s">
        <v>450</v>
      </c>
      <c r="I540" s="275"/>
      <c r="J540" s="275"/>
      <c r="K540" s="264"/>
    </row>
    <row r="541" spans="1:11">
      <c r="A541" s="273"/>
      <c r="B541" s="274"/>
      <c r="C541" s="278"/>
      <c r="D541" s="275">
        <v>0.83052999999999999</v>
      </c>
      <c r="E541" s="275">
        <v>0.84077999999999997</v>
      </c>
      <c r="F541" s="275">
        <v>1.77003</v>
      </c>
      <c r="G541" s="275">
        <v>2.0201799999999999</v>
      </c>
      <c r="H541" s="275">
        <v>2.1067900000000002</v>
      </c>
      <c r="I541" s="275"/>
      <c r="J541" s="275"/>
      <c r="K541" s="264"/>
    </row>
    <row r="542" spans="1:11">
      <c r="A542" s="273"/>
      <c r="B542" s="274"/>
      <c r="C542" s="278"/>
      <c r="D542" s="275"/>
      <c r="E542" s="275"/>
      <c r="F542" s="275"/>
      <c r="G542" s="275"/>
      <c r="H542" s="275"/>
      <c r="I542" s="275"/>
      <c r="J542" s="275"/>
      <c r="K542" s="264"/>
    </row>
    <row r="543" spans="1:11">
      <c r="A543" s="273">
        <v>180</v>
      </c>
      <c r="B543" s="274">
        <v>56</v>
      </c>
      <c r="C543" s="278" t="s">
        <v>365</v>
      </c>
      <c r="D543" s="275" t="s">
        <v>446</v>
      </c>
      <c r="E543" s="275" t="s">
        <v>447</v>
      </c>
      <c r="F543" s="275" t="s">
        <v>448</v>
      </c>
      <c r="G543" s="275" t="s">
        <v>449</v>
      </c>
      <c r="H543" s="275" t="s">
        <v>450</v>
      </c>
      <c r="I543" s="275"/>
      <c r="J543" s="275"/>
      <c r="K543" s="264"/>
    </row>
    <row r="544" spans="1:11">
      <c r="A544" s="273"/>
      <c r="B544" s="274"/>
      <c r="C544" s="278"/>
      <c r="D544" s="275">
        <v>0.79478000000000004</v>
      </c>
      <c r="E544" s="275">
        <v>0.80462</v>
      </c>
      <c r="F544" s="275">
        <v>1.6568499999999999</v>
      </c>
      <c r="G544" s="275">
        <v>1.8535900000000001</v>
      </c>
      <c r="H544" s="275">
        <v>1.92744</v>
      </c>
      <c r="I544" s="275"/>
      <c r="J544" s="275"/>
      <c r="K544" s="264"/>
    </row>
    <row r="545" spans="1:11">
      <c r="A545" s="273"/>
      <c r="B545" s="274"/>
      <c r="C545" s="278"/>
      <c r="D545" s="275"/>
      <c r="E545" s="275"/>
      <c r="F545" s="275"/>
      <c r="G545" s="275"/>
      <c r="H545" s="275"/>
      <c r="I545" s="275"/>
      <c r="J545" s="275"/>
      <c r="K545" s="264"/>
    </row>
    <row r="546" spans="1:11">
      <c r="A546" s="273">
        <v>181</v>
      </c>
      <c r="B546" s="274">
        <v>57</v>
      </c>
      <c r="C546" s="278" t="s">
        <v>366</v>
      </c>
      <c r="D546" s="275" t="s">
        <v>453</v>
      </c>
      <c r="E546" s="275" t="s">
        <v>454</v>
      </c>
      <c r="F546" s="275"/>
      <c r="G546" s="275"/>
      <c r="H546" s="275"/>
      <c r="I546" s="275"/>
      <c r="J546" s="275"/>
      <c r="K546" s="264"/>
    </row>
    <row r="547" spans="1:11">
      <c r="A547" s="273"/>
      <c r="B547" s="274"/>
      <c r="C547" s="278"/>
      <c r="D547" s="275">
        <v>2.60277</v>
      </c>
      <c r="E547" s="275">
        <v>2.6357900000000001</v>
      </c>
      <c r="F547" s="275"/>
      <c r="G547" s="275"/>
      <c r="H547" s="275"/>
      <c r="I547" s="275"/>
      <c r="J547" s="275"/>
      <c r="K547" s="264"/>
    </row>
    <row r="548" spans="1:11">
      <c r="A548" s="273"/>
      <c r="B548" s="274"/>
      <c r="C548" s="278"/>
      <c r="D548" s="275"/>
      <c r="E548" s="275"/>
      <c r="F548" s="275"/>
      <c r="G548" s="275"/>
      <c r="H548" s="275"/>
      <c r="I548" s="275"/>
      <c r="J548" s="275"/>
      <c r="K548" s="264"/>
    </row>
    <row r="549" spans="1:11">
      <c r="A549" s="273">
        <v>182</v>
      </c>
      <c r="B549" s="274">
        <v>57</v>
      </c>
      <c r="C549" s="278" t="s">
        <v>141</v>
      </c>
      <c r="D549" s="275" t="s">
        <v>446</v>
      </c>
      <c r="E549" s="275" t="s">
        <v>447</v>
      </c>
      <c r="F549" s="275" t="s">
        <v>448</v>
      </c>
      <c r="G549" s="275" t="s">
        <v>449</v>
      </c>
      <c r="H549" s="275" t="s">
        <v>450</v>
      </c>
      <c r="I549" s="275"/>
      <c r="J549" s="275"/>
      <c r="K549" s="264"/>
    </row>
    <row r="550" spans="1:11">
      <c r="A550" s="273"/>
      <c r="B550" s="274"/>
      <c r="C550" s="278"/>
      <c r="D550" s="275">
        <v>0.76215999999999995</v>
      </c>
      <c r="E550" s="275">
        <v>0.77164999999999995</v>
      </c>
      <c r="F550" s="275">
        <v>1.56019</v>
      </c>
      <c r="G550" s="275">
        <v>1.7205600000000001</v>
      </c>
      <c r="H550" s="275">
        <v>1.78634</v>
      </c>
      <c r="I550" s="275"/>
      <c r="J550" s="275"/>
      <c r="K550" s="264"/>
    </row>
    <row r="551" spans="1:11">
      <c r="A551" s="273"/>
      <c r="B551" s="274"/>
      <c r="C551" s="278"/>
      <c r="D551" s="275"/>
      <c r="E551" s="275"/>
      <c r="F551" s="275"/>
      <c r="G551" s="275"/>
      <c r="H551" s="275"/>
      <c r="I551" s="275"/>
      <c r="J551" s="275"/>
      <c r="K551" s="264"/>
    </row>
    <row r="552" spans="1:11">
      <c r="A552" s="273">
        <v>183</v>
      </c>
      <c r="B552" s="274">
        <v>58</v>
      </c>
      <c r="C552" s="278" t="s">
        <v>367</v>
      </c>
      <c r="D552" s="275" t="s">
        <v>451</v>
      </c>
      <c r="E552" s="275" t="s">
        <v>452</v>
      </c>
      <c r="F552" s="275"/>
      <c r="G552" s="275"/>
      <c r="H552" s="275"/>
      <c r="I552" s="275"/>
      <c r="J552" s="275"/>
      <c r="K552" s="264"/>
    </row>
    <row r="553" spans="1:11">
      <c r="A553" s="273"/>
      <c r="B553" s="274"/>
      <c r="C553" s="278"/>
      <c r="D553" s="275">
        <v>1.1406400000000001</v>
      </c>
      <c r="E553" s="275">
        <v>1.1521399999999999</v>
      </c>
      <c r="F553" s="275"/>
      <c r="G553" s="275"/>
      <c r="H553" s="275"/>
      <c r="I553" s="275"/>
      <c r="J553" s="275"/>
      <c r="K553" s="264"/>
    </row>
    <row r="554" spans="1:11">
      <c r="A554" s="273"/>
      <c r="B554" s="274"/>
      <c r="C554" s="278"/>
      <c r="D554" s="275"/>
      <c r="E554" s="275"/>
      <c r="F554" s="275"/>
      <c r="G554" s="275"/>
      <c r="H554" s="275"/>
      <c r="I554" s="275"/>
      <c r="J554" s="275"/>
      <c r="K554" s="264"/>
    </row>
    <row r="555" spans="1:11">
      <c r="A555" s="273">
        <v>184</v>
      </c>
      <c r="B555" s="274">
        <v>58</v>
      </c>
      <c r="C555" s="278" t="s">
        <v>142</v>
      </c>
      <c r="D555" s="275" t="s">
        <v>451</v>
      </c>
      <c r="E555" s="275" t="s">
        <v>452</v>
      </c>
      <c r="F555" s="275"/>
      <c r="G555" s="275"/>
      <c r="H555" s="275"/>
      <c r="I555" s="275"/>
      <c r="J555" s="275"/>
      <c r="K555" s="264"/>
    </row>
    <row r="556" spans="1:11">
      <c r="A556" s="273"/>
      <c r="B556" s="274"/>
      <c r="C556" s="278"/>
      <c r="D556" s="275">
        <v>1.0155400000000001</v>
      </c>
      <c r="E556" s="275">
        <v>1.0226500000000001</v>
      </c>
      <c r="F556" s="275"/>
      <c r="G556" s="275"/>
      <c r="H556" s="275"/>
      <c r="I556" s="275"/>
      <c r="J556" s="275"/>
      <c r="K556" s="264"/>
    </row>
    <row r="557" spans="1:11">
      <c r="A557" s="273"/>
      <c r="B557" s="274"/>
      <c r="C557" s="278"/>
      <c r="D557" s="275"/>
      <c r="E557" s="275"/>
      <c r="F557" s="275"/>
      <c r="G557" s="275"/>
      <c r="H557" s="275"/>
      <c r="I557" s="275"/>
      <c r="J557" s="275"/>
      <c r="K557" s="264"/>
    </row>
    <row r="558" spans="1:11">
      <c r="A558" s="273">
        <v>185</v>
      </c>
      <c r="B558" s="274">
        <v>58</v>
      </c>
      <c r="C558" s="278" t="s">
        <v>143</v>
      </c>
      <c r="D558" s="275" t="s">
        <v>446</v>
      </c>
      <c r="E558" s="275" t="s">
        <v>447</v>
      </c>
      <c r="F558" s="275" t="s">
        <v>448</v>
      </c>
      <c r="G558" s="275" t="s">
        <v>449</v>
      </c>
      <c r="H558" s="275" t="s">
        <v>450</v>
      </c>
      <c r="I558" s="275"/>
      <c r="J558" s="275"/>
      <c r="K558" s="264"/>
    </row>
    <row r="559" spans="1:11">
      <c r="A559" s="273"/>
      <c r="B559" s="274"/>
      <c r="C559" s="278"/>
      <c r="D559" s="275">
        <v>0.73226000000000002</v>
      </c>
      <c r="E559" s="275">
        <v>0.74146999999999996</v>
      </c>
      <c r="F559" s="275">
        <v>1.4763299999999999</v>
      </c>
      <c r="G559" s="275">
        <v>1.61033</v>
      </c>
      <c r="H559" s="275">
        <v>1.6705099999999999</v>
      </c>
      <c r="I559" s="275"/>
      <c r="J559" s="275"/>
      <c r="K559" s="264"/>
    </row>
    <row r="560" spans="1:11">
      <c r="A560" s="273"/>
      <c r="B560" s="274"/>
      <c r="C560" s="278"/>
      <c r="D560" s="275"/>
      <c r="E560" s="275"/>
      <c r="F560" s="275"/>
      <c r="G560" s="275"/>
      <c r="H560" s="275"/>
      <c r="I560" s="275"/>
      <c r="J560" s="275"/>
      <c r="K560" s="264"/>
    </row>
    <row r="561" spans="1:11">
      <c r="A561" s="273">
        <v>186</v>
      </c>
      <c r="B561" s="274">
        <v>59</v>
      </c>
      <c r="C561" s="278" t="s">
        <v>368</v>
      </c>
      <c r="D561" s="275" t="s">
        <v>451</v>
      </c>
      <c r="E561" s="275" t="s">
        <v>452</v>
      </c>
      <c r="F561" s="275"/>
      <c r="G561" s="275"/>
      <c r="H561" s="275"/>
      <c r="I561" s="275"/>
      <c r="J561" s="275"/>
      <c r="K561" s="264"/>
    </row>
    <row r="562" spans="1:11">
      <c r="A562" s="273"/>
      <c r="B562" s="274"/>
      <c r="C562" s="278"/>
      <c r="D562" s="275">
        <v>1.0754300000000001</v>
      </c>
      <c r="E562" s="275">
        <v>1.0869800000000001</v>
      </c>
      <c r="F562" s="275"/>
      <c r="G562" s="275"/>
      <c r="H562" s="275"/>
      <c r="I562" s="275"/>
      <c r="J562" s="275"/>
      <c r="K562" s="264"/>
    </row>
    <row r="563" spans="1:11">
      <c r="A563" s="273"/>
      <c r="B563" s="274"/>
      <c r="C563" s="278"/>
      <c r="D563" s="275"/>
      <c r="E563" s="275"/>
      <c r="F563" s="275"/>
      <c r="G563" s="275"/>
      <c r="H563" s="275"/>
      <c r="I563" s="275"/>
      <c r="J563" s="275"/>
      <c r="K563" s="264"/>
    </row>
    <row r="564" spans="1:11">
      <c r="A564" s="273">
        <v>187</v>
      </c>
      <c r="B564" s="274">
        <v>59</v>
      </c>
      <c r="C564" s="278" t="s">
        <v>144</v>
      </c>
      <c r="D564" s="275" t="s">
        <v>451</v>
      </c>
      <c r="E564" s="275" t="s">
        <v>452</v>
      </c>
      <c r="F564" s="275"/>
      <c r="G564" s="275"/>
      <c r="H564" s="275"/>
      <c r="I564" s="275"/>
      <c r="J564" s="275"/>
      <c r="K564" s="264"/>
    </row>
    <row r="565" spans="1:11">
      <c r="A565" s="273"/>
      <c r="B565" s="274"/>
      <c r="C565" s="278"/>
      <c r="D565" s="275">
        <v>0.97272000000000003</v>
      </c>
      <c r="E565" s="275">
        <v>0.98012999999999995</v>
      </c>
      <c r="F565" s="275"/>
      <c r="G565" s="275"/>
      <c r="H565" s="275"/>
      <c r="I565" s="275"/>
      <c r="J565" s="275"/>
      <c r="K565" s="264"/>
    </row>
    <row r="566" spans="1:11">
      <c r="A566" s="273"/>
      <c r="B566" s="274"/>
      <c r="C566" s="278"/>
      <c r="D566" s="275"/>
      <c r="E566" s="275"/>
      <c r="F566" s="275"/>
      <c r="G566" s="275"/>
      <c r="H566" s="275"/>
      <c r="I566" s="275"/>
      <c r="J566" s="275"/>
      <c r="K566" s="264"/>
    </row>
    <row r="567" spans="1:11">
      <c r="A567" s="273">
        <v>188</v>
      </c>
      <c r="B567" s="274">
        <v>59</v>
      </c>
      <c r="C567" s="278" t="s">
        <v>145</v>
      </c>
      <c r="D567" s="275" t="s">
        <v>451</v>
      </c>
      <c r="E567" s="275" t="s">
        <v>452</v>
      </c>
      <c r="F567" s="275"/>
      <c r="G567" s="275"/>
      <c r="H567" s="275"/>
      <c r="I567" s="275"/>
      <c r="J567" s="275"/>
      <c r="K567" s="264"/>
    </row>
    <row r="568" spans="1:11">
      <c r="A568" s="273"/>
      <c r="B568" s="274"/>
      <c r="C568" s="278"/>
      <c r="D568" s="275">
        <v>0.90493999999999997</v>
      </c>
      <c r="E568" s="275">
        <v>0.91061999999999999</v>
      </c>
      <c r="F568" s="275"/>
      <c r="G568" s="275"/>
      <c r="H568" s="275"/>
      <c r="I568" s="275"/>
      <c r="J568" s="275"/>
      <c r="K568" s="264"/>
    </row>
    <row r="569" spans="1:11">
      <c r="A569" s="273"/>
      <c r="B569" s="274"/>
      <c r="C569" s="278"/>
      <c r="D569" s="275"/>
      <c r="E569" s="275"/>
      <c r="F569" s="275"/>
      <c r="G569" s="275"/>
      <c r="H569" s="275"/>
      <c r="I569" s="275"/>
      <c r="J569" s="275"/>
      <c r="K569" s="264"/>
    </row>
    <row r="570" spans="1:11">
      <c r="A570" s="273">
        <v>189</v>
      </c>
      <c r="B570" s="274">
        <v>60</v>
      </c>
      <c r="C570" s="278" t="s">
        <v>369</v>
      </c>
      <c r="D570" s="275" t="s">
        <v>451</v>
      </c>
      <c r="E570" s="275" t="s">
        <v>452</v>
      </c>
      <c r="F570" s="275"/>
      <c r="G570" s="275"/>
      <c r="H570" s="275"/>
      <c r="I570" s="275"/>
      <c r="J570" s="275"/>
      <c r="K570" s="264"/>
    </row>
    <row r="571" spans="1:11">
      <c r="A571" s="273"/>
      <c r="B571" s="274"/>
      <c r="C571" s="278"/>
      <c r="D571" s="275">
        <v>1.0229600000000001</v>
      </c>
      <c r="E571" s="275">
        <v>1.03474</v>
      </c>
      <c r="F571" s="275"/>
      <c r="G571" s="275"/>
      <c r="H571" s="275"/>
      <c r="I571" s="275"/>
      <c r="J571" s="275"/>
      <c r="K571" s="264"/>
    </row>
    <row r="572" spans="1:11">
      <c r="A572" s="273"/>
      <c r="B572" s="274"/>
      <c r="C572" s="278"/>
      <c r="D572" s="275"/>
      <c r="E572" s="275"/>
      <c r="F572" s="275"/>
      <c r="G572" s="275"/>
      <c r="H572" s="275"/>
      <c r="I572" s="275"/>
      <c r="J572" s="275"/>
      <c r="K572" s="264"/>
    </row>
    <row r="573" spans="1:11">
      <c r="A573" s="273">
        <v>190</v>
      </c>
      <c r="B573" s="274">
        <v>60</v>
      </c>
      <c r="C573" s="278" t="s">
        <v>146</v>
      </c>
      <c r="D573" s="275" t="s">
        <v>451</v>
      </c>
      <c r="E573" s="275" t="s">
        <v>452</v>
      </c>
      <c r="F573" s="275"/>
      <c r="G573" s="275"/>
      <c r="H573" s="275"/>
      <c r="I573" s="275"/>
      <c r="J573" s="275"/>
      <c r="K573" s="264"/>
    </row>
    <row r="574" spans="1:11">
      <c r="A574" s="273"/>
      <c r="B574" s="274"/>
      <c r="C574" s="278"/>
      <c r="D574" s="275">
        <v>0.93550999999999995</v>
      </c>
      <c r="E574" s="275">
        <v>0.94325999999999999</v>
      </c>
      <c r="F574" s="275"/>
      <c r="G574" s="275"/>
      <c r="H574" s="275"/>
      <c r="I574" s="275"/>
      <c r="J574" s="275"/>
      <c r="K574" s="264"/>
    </row>
    <row r="575" spans="1:11">
      <c r="A575" s="273"/>
      <c r="B575" s="274"/>
      <c r="C575" s="278"/>
      <c r="D575" s="275"/>
      <c r="E575" s="275"/>
      <c r="F575" s="275"/>
      <c r="G575" s="275"/>
      <c r="H575" s="275"/>
      <c r="I575" s="275"/>
      <c r="J575" s="275"/>
      <c r="K575" s="264"/>
    </row>
    <row r="576" spans="1:11">
      <c r="A576" s="273">
        <v>191</v>
      </c>
      <c r="B576" s="274">
        <v>61</v>
      </c>
      <c r="C576" s="278" t="s">
        <v>370</v>
      </c>
      <c r="D576" s="275" t="s">
        <v>451</v>
      </c>
      <c r="E576" s="275" t="s">
        <v>452</v>
      </c>
      <c r="F576" s="275"/>
      <c r="G576" s="275"/>
      <c r="H576" s="275"/>
      <c r="I576" s="275"/>
      <c r="J576" s="275"/>
      <c r="K576" s="264"/>
    </row>
    <row r="577" spans="1:11">
      <c r="A577" s="273"/>
      <c r="B577" s="274"/>
      <c r="C577" s="278"/>
      <c r="D577" s="275">
        <v>0.90256000000000003</v>
      </c>
      <c r="E577" s="275">
        <v>0.91068000000000005</v>
      </c>
      <c r="F577" s="275"/>
      <c r="G577" s="275"/>
      <c r="H577" s="275"/>
      <c r="I577" s="275"/>
      <c r="J577" s="275"/>
      <c r="K577" s="264"/>
    </row>
    <row r="578" spans="1:11">
      <c r="A578" s="273"/>
      <c r="B578" s="274"/>
      <c r="C578" s="278"/>
      <c r="D578" s="275"/>
      <c r="E578" s="275"/>
      <c r="F578" s="275"/>
      <c r="G578" s="275"/>
      <c r="H578" s="275"/>
      <c r="I578" s="275"/>
      <c r="J578" s="275"/>
      <c r="K578" s="264"/>
    </row>
    <row r="579" spans="1:11">
      <c r="A579" s="273">
        <v>192</v>
      </c>
      <c r="B579" s="274">
        <v>62</v>
      </c>
      <c r="C579" s="278" t="s">
        <v>371</v>
      </c>
      <c r="D579" s="275" t="s">
        <v>451</v>
      </c>
      <c r="E579" s="275" t="s">
        <v>452</v>
      </c>
      <c r="F579" s="275"/>
      <c r="G579" s="275"/>
      <c r="H579" s="275"/>
      <c r="I579" s="275"/>
      <c r="J579" s="275"/>
      <c r="K579" s="264"/>
    </row>
    <row r="580" spans="1:11">
      <c r="A580" s="273"/>
      <c r="B580" s="274"/>
      <c r="C580" s="278"/>
      <c r="D580" s="275">
        <v>0.94071000000000005</v>
      </c>
      <c r="E580" s="275">
        <v>0.95323000000000002</v>
      </c>
      <c r="F580" s="275"/>
      <c r="G580" s="275"/>
      <c r="H580" s="275"/>
      <c r="I580" s="275"/>
      <c r="J580" s="275"/>
      <c r="K580" s="264"/>
    </row>
    <row r="581" spans="1:11">
      <c r="A581" s="273"/>
      <c r="B581" s="274"/>
      <c r="C581" s="278"/>
      <c r="D581" s="275"/>
      <c r="E581" s="275"/>
      <c r="F581" s="275"/>
      <c r="G581" s="275"/>
      <c r="H581" s="275"/>
      <c r="I581" s="275"/>
      <c r="J581" s="275"/>
      <c r="K581" s="264"/>
    </row>
    <row r="582" spans="1:11">
      <c r="A582" s="273">
        <v>193</v>
      </c>
      <c r="B582" s="274">
        <v>62</v>
      </c>
      <c r="C582" s="278" t="s">
        <v>147</v>
      </c>
      <c r="D582" s="275" t="s">
        <v>451</v>
      </c>
      <c r="E582" s="275" t="s">
        <v>452</v>
      </c>
      <c r="F582" s="275"/>
      <c r="G582" s="275"/>
      <c r="H582" s="275"/>
      <c r="I582" s="275"/>
      <c r="J582" s="275"/>
      <c r="K582" s="264"/>
    </row>
    <row r="583" spans="1:11">
      <c r="A583" s="273"/>
      <c r="B583" s="274"/>
      <c r="C583" s="278"/>
      <c r="D583" s="275">
        <v>0.87295999999999996</v>
      </c>
      <c r="E583" s="275">
        <v>0.88146999999999998</v>
      </c>
      <c r="F583" s="275"/>
      <c r="G583" s="275"/>
      <c r="H583" s="275"/>
      <c r="I583" s="275"/>
      <c r="J583" s="275"/>
      <c r="K583" s="264"/>
    </row>
    <row r="584" spans="1:11">
      <c r="A584" s="273"/>
      <c r="B584" s="274"/>
      <c r="C584" s="278"/>
      <c r="D584" s="275"/>
      <c r="E584" s="275"/>
      <c r="F584" s="275"/>
      <c r="G584" s="275"/>
      <c r="H584" s="275"/>
      <c r="I584" s="275"/>
      <c r="J584" s="275"/>
      <c r="K584" s="264"/>
    </row>
    <row r="585" spans="1:11">
      <c r="A585" s="273">
        <v>194</v>
      </c>
      <c r="B585" s="274">
        <v>63</v>
      </c>
      <c r="C585" s="278" t="s">
        <v>372</v>
      </c>
      <c r="D585" s="275" t="s">
        <v>451</v>
      </c>
      <c r="E585" s="275" t="s">
        <v>452</v>
      </c>
      <c r="F585" s="275"/>
      <c r="G585" s="275"/>
      <c r="H585" s="275"/>
      <c r="I585" s="275"/>
      <c r="J585" s="275"/>
      <c r="K585" s="264"/>
    </row>
    <row r="586" spans="1:11">
      <c r="A586" s="273"/>
      <c r="B586" s="274"/>
      <c r="C586" s="278"/>
      <c r="D586" s="275">
        <v>0.90703999999999996</v>
      </c>
      <c r="E586" s="275">
        <v>0.92005000000000003</v>
      </c>
      <c r="F586" s="275"/>
      <c r="G586" s="275"/>
      <c r="H586" s="275"/>
      <c r="I586" s="275"/>
      <c r="J586" s="275"/>
      <c r="K586" s="264"/>
    </row>
    <row r="587" spans="1:11">
      <c r="A587" s="273"/>
      <c r="B587" s="274"/>
      <c r="C587" s="278"/>
      <c r="D587" s="275"/>
      <c r="E587" s="275"/>
      <c r="F587" s="275"/>
      <c r="G587" s="275"/>
      <c r="H587" s="275"/>
      <c r="I587" s="275"/>
      <c r="J587" s="275"/>
      <c r="K587" s="264"/>
    </row>
    <row r="588" spans="1:11">
      <c r="A588" s="273">
        <v>195</v>
      </c>
      <c r="B588" s="274">
        <v>63</v>
      </c>
      <c r="C588" s="278" t="s">
        <v>148</v>
      </c>
      <c r="D588" s="275" t="s">
        <v>451</v>
      </c>
      <c r="E588" s="275" t="s">
        <v>452</v>
      </c>
      <c r="F588" s="275"/>
      <c r="G588" s="275"/>
      <c r="H588" s="275"/>
      <c r="I588" s="275"/>
      <c r="J588" s="275"/>
      <c r="K588" s="264"/>
    </row>
    <row r="589" spans="1:11">
      <c r="A589" s="273"/>
      <c r="B589" s="274"/>
      <c r="C589" s="278"/>
      <c r="D589" s="275">
        <v>0.84608000000000005</v>
      </c>
      <c r="E589" s="275">
        <v>0.85499999999999998</v>
      </c>
      <c r="F589" s="275"/>
      <c r="G589" s="275"/>
      <c r="H589" s="275"/>
      <c r="I589" s="275"/>
      <c r="J589" s="275"/>
      <c r="K589" s="264"/>
    </row>
    <row r="590" spans="1:11">
      <c r="A590" s="273"/>
      <c r="B590" s="274"/>
      <c r="C590" s="278"/>
      <c r="D590" s="275"/>
      <c r="E590" s="275"/>
      <c r="F590" s="275"/>
      <c r="G590" s="275"/>
      <c r="H590" s="275"/>
      <c r="I590" s="275"/>
      <c r="J590" s="275"/>
      <c r="K590" s="264"/>
    </row>
    <row r="591" spans="1:11">
      <c r="A591" s="273">
        <v>196</v>
      </c>
      <c r="B591" s="274">
        <v>64</v>
      </c>
      <c r="C591" s="278" t="s">
        <v>149</v>
      </c>
      <c r="D591" s="275" t="s">
        <v>451</v>
      </c>
      <c r="E591" s="275" t="s">
        <v>452</v>
      </c>
      <c r="F591" s="275" t="s">
        <v>453</v>
      </c>
      <c r="G591" s="275" t="s">
        <v>454</v>
      </c>
      <c r="H591" s="275" t="s">
        <v>455</v>
      </c>
      <c r="I591" s="275"/>
      <c r="J591" s="275"/>
      <c r="K591" s="264"/>
    </row>
    <row r="592" spans="1:11">
      <c r="A592" s="273"/>
      <c r="B592" s="274"/>
      <c r="C592" s="278"/>
      <c r="D592" s="275">
        <v>0.82857999999999998</v>
      </c>
      <c r="E592" s="275">
        <v>0.83855999999999997</v>
      </c>
      <c r="F592" s="275">
        <v>2.5072899999999998</v>
      </c>
      <c r="G592" s="275">
        <v>2.55755</v>
      </c>
      <c r="H592" s="275">
        <v>3.8594200000000001</v>
      </c>
      <c r="I592" s="275"/>
      <c r="J592" s="275"/>
      <c r="K592" s="264"/>
    </row>
    <row r="593" spans="1:11">
      <c r="A593" s="273"/>
      <c r="B593" s="274"/>
      <c r="C593" s="278"/>
      <c r="D593" s="275"/>
      <c r="E593" s="275"/>
      <c r="F593" s="275"/>
      <c r="G593" s="275"/>
      <c r="H593" s="275"/>
      <c r="I593" s="275"/>
      <c r="J593" s="275"/>
      <c r="K593" s="264"/>
    </row>
    <row r="594" spans="1:11">
      <c r="A594" s="273">
        <v>197</v>
      </c>
      <c r="B594" s="274">
        <v>64</v>
      </c>
      <c r="C594" s="278" t="s">
        <v>150</v>
      </c>
      <c r="D594" s="275" t="s">
        <v>451</v>
      </c>
      <c r="E594" s="275" t="s">
        <v>452</v>
      </c>
      <c r="F594" s="275" t="s">
        <v>453</v>
      </c>
      <c r="G594" s="275" t="s">
        <v>454</v>
      </c>
      <c r="H594" s="275"/>
      <c r="I594" s="275"/>
      <c r="J594" s="275"/>
      <c r="K594" s="264"/>
    </row>
    <row r="595" spans="1:11">
      <c r="A595" s="273"/>
      <c r="B595" s="274"/>
      <c r="C595" s="278"/>
      <c r="D595" s="275">
        <v>0.82754000000000005</v>
      </c>
      <c r="E595" s="275">
        <v>0.83740000000000003</v>
      </c>
      <c r="F595" s="275">
        <v>2.3702399999999999</v>
      </c>
      <c r="G595" s="275">
        <v>2.4126799999999999</v>
      </c>
      <c r="H595" s="275"/>
      <c r="I595" s="275"/>
      <c r="J595" s="275"/>
      <c r="K595" s="264"/>
    </row>
    <row r="596" spans="1:11">
      <c r="A596" s="273"/>
      <c r="B596" s="274"/>
      <c r="C596" s="278"/>
      <c r="D596" s="275"/>
      <c r="E596" s="275"/>
      <c r="F596" s="275"/>
      <c r="G596" s="275"/>
      <c r="H596" s="275"/>
      <c r="I596" s="275"/>
      <c r="J596" s="275"/>
      <c r="K596" s="264"/>
    </row>
    <row r="597" spans="1:11">
      <c r="A597" s="273">
        <v>198</v>
      </c>
      <c r="B597" s="274">
        <v>64</v>
      </c>
      <c r="C597" s="278" t="s">
        <v>151</v>
      </c>
      <c r="D597" s="275" t="s">
        <v>451</v>
      </c>
      <c r="E597" s="275" t="s">
        <v>452</v>
      </c>
      <c r="F597" s="275"/>
      <c r="G597" s="275"/>
      <c r="H597" s="275"/>
      <c r="I597" s="275"/>
      <c r="J597" s="275"/>
      <c r="K597" s="264"/>
    </row>
    <row r="598" spans="1:11">
      <c r="A598" s="273"/>
      <c r="B598" s="274"/>
      <c r="C598" s="278"/>
      <c r="D598" s="275">
        <v>0.82145999999999997</v>
      </c>
      <c r="E598" s="275">
        <v>0.83082</v>
      </c>
      <c r="F598" s="275"/>
      <c r="G598" s="275"/>
      <c r="H598" s="275"/>
      <c r="I598" s="275"/>
      <c r="J598" s="275"/>
      <c r="K598" s="264"/>
    </row>
    <row r="599" spans="1:11">
      <c r="A599" s="273"/>
      <c r="B599" s="274"/>
      <c r="C599" s="278"/>
      <c r="D599" s="275"/>
      <c r="E599" s="275"/>
      <c r="F599" s="275"/>
      <c r="G599" s="275"/>
      <c r="H599" s="275"/>
      <c r="I599" s="275"/>
      <c r="J599" s="275"/>
      <c r="K599" s="264"/>
    </row>
    <row r="600" spans="1:11">
      <c r="A600" s="273">
        <v>199</v>
      </c>
      <c r="B600" s="274">
        <v>65</v>
      </c>
      <c r="C600" s="278" t="s">
        <v>152</v>
      </c>
      <c r="D600" s="275" t="s">
        <v>451</v>
      </c>
      <c r="E600" s="275" t="s">
        <v>452</v>
      </c>
      <c r="F600" s="275" t="s">
        <v>455</v>
      </c>
      <c r="G600" s="275"/>
      <c r="H600" s="275"/>
      <c r="I600" s="275"/>
      <c r="J600" s="275"/>
      <c r="K600" s="264"/>
    </row>
    <row r="601" spans="1:11">
      <c r="A601" s="273"/>
      <c r="B601" s="274"/>
      <c r="C601" s="278"/>
      <c r="D601" s="275">
        <v>0.85182999999999998</v>
      </c>
      <c r="E601" s="275">
        <v>0.86643000000000003</v>
      </c>
      <c r="F601" s="275">
        <v>3.98841</v>
      </c>
      <c r="G601" s="275"/>
      <c r="H601" s="275"/>
      <c r="I601" s="275"/>
      <c r="J601" s="275"/>
      <c r="K601" s="264"/>
    </row>
    <row r="602" spans="1:11">
      <c r="A602" s="273"/>
      <c r="B602" s="274"/>
      <c r="C602" s="278"/>
      <c r="D602" s="275"/>
      <c r="E602" s="275"/>
      <c r="F602" s="275"/>
      <c r="G602" s="275"/>
      <c r="H602" s="275"/>
      <c r="I602" s="275"/>
      <c r="J602" s="275"/>
      <c r="K602" s="264"/>
    </row>
    <row r="603" spans="1:11">
      <c r="A603" s="273">
        <v>200</v>
      </c>
      <c r="B603" s="274">
        <v>65</v>
      </c>
      <c r="C603" s="278" t="s">
        <v>373</v>
      </c>
      <c r="D603" s="275" t="s">
        <v>451</v>
      </c>
      <c r="E603" s="275" t="s">
        <v>452</v>
      </c>
      <c r="F603" s="275"/>
      <c r="G603" s="275"/>
      <c r="H603" s="275"/>
      <c r="I603" s="275"/>
      <c r="J603" s="275"/>
      <c r="K603" s="264"/>
    </row>
    <row r="604" spans="1:11">
      <c r="A604" s="273"/>
      <c r="B604" s="274"/>
      <c r="C604" s="278"/>
      <c r="D604" s="275">
        <v>0.79874000000000001</v>
      </c>
      <c r="E604" s="275">
        <v>0.80857000000000001</v>
      </c>
      <c r="F604" s="275"/>
      <c r="G604" s="275"/>
      <c r="H604" s="275"/>
      <c r="I604" s="275"/>
      <c r="J604" s="275"/>
      <c r="K604" s="264"/>
    </row>
    <row r="605" spans="1:11">
      <c r="A605" s="273"/>
      <c r="B605" s="274"/>
      <c r="C605" s="278"/>
      <c r="D605" s="275"/>
      <c r="E605" s="275"/>
      <c r="F605" s="275"/>
      <c r="G605" s="275"/>
      <c r="H605" s="275"/>
      <c r="I605" s="275"/>
      <c r="J605" s="275"/>
      <c r="K605" s="264"/>
    </row>
    <row r="606" spans="1:11">
      <c r="A606" s="273">
        <v>201</v>
      </c>
      <c r="B606" s="274">
        <v>65</v>
      </c>
      <c r="C606" s="278" t="s">
        <v>153</v>
      </c>
      <c r="D606" s="275" t="s">
        <v>451</v>
      </c>
      <c r="E606" s="275" t="s">
        <v>452</v>
      </c>
      <c r="F606" s="275"/>
      <c r="G606" s="275"/>
      <c r="H606" s="275"/>
      <c r="I606" s="275"/>
      <c r="J606" s="275"/>
      <c r="K606" s="264"/>
    </row>
    <row r="607" spans="1:11">
      <c r="A607" s="273"/>
      <c r="B607" s="274"/>
      <c r="C607" s="278"/>
      <c r="D607" s="275">
        <v>0.75975999999999999</v>
      </c>
      <c r="E607" s="275">
        <v>0.76746999999999999</v>
      </c>
      <c r="F607" s="275"/>
      <c r="G607" s="275"/>
      <c r="H607" s="275"/>
      <c r="I607" s="275"/>
      <c r="J607" s="275"/>
      <c r="K607" s="264"/>
    </row>
    <row r="608" spans="1:11">
      <c r="A608" s="273"/>
      <c r="B608" s="274"/>
      <c r="C608" s="278"/>
      <c r="D608" s="275"/>
      <c r="E608" s="275"/>
      <c r="F608" s="275"/>
      <c r="G608" s="275"/>
      <c r="H608" s="275"/>
      <c r="I608" s="275"/>
      <c r="J608" s="275"/>
      <c r="K608" s="264"/>
    </row>
    <row r="609" spans="1:11">
      <c r="A609" s="273">
        <v>202</v>
      </c>
      <c r="B609" s="274">
        <v>66</v>
      </c>
      <c r="C609" s="278" t="s">
        <v>374</v>
      </c>
      <c r="D609" s="275" t="s">
        <v>451</v>
      </c>
      <c r="E609" s="275" t="s">
        <v>452</v>
      </c>
      <c r="F609" s="275"/>
      <c r="G609" s="275"/>
      <c r="H609" s="275"/>
      <c r="I609" s="275"/>
      <c r="J609" s="275"/>
      <c r="K609" s="264"/>
    </row>
    <row r="610" spans="1:11">
      <c r="A610" s="273"/>
      <c r="B610" s="274"/>
      <c r="C610" s="278"/>
      <c r="D610" s="275">
        <v>0.82455999999999996</v>
      </c>
      <c r="E610" s="275">
        <v>0.83933999999999997</v>
      </c>
      <c r="F610" s="275"/>
      <c r="G610" s="275"/>
      <c r="H610" s="275"/>
      <c r="I610" s="275"/>
      <c r="J610" s="275"/>
      <c r="K610" s="264"/>
    </row>
    <row r="611" spans="1:11">
      <c r="A611" s="273"/>
      <c r="B611" s="274"/>
      <c r="C611" s="278"/>
      <c r="D611" s="275"/>
      <c r="E611" s="275"/>
      <c r="F611" s="275"/>
      <c r="G611" s="275"/>
      <c r="H611" s="275"/>
      <c r="I611" s="275"/>
      <c r="J611" s="275"/>
      <c r="K611" s="264"/>
    </row>
    <row r="612" spans="1:11">
      <c r="A612" s="273">
        <v>203</v>
      </c>
      <c r="B612" s="274">
        <v>66</v>
      </c>
      <c r="C612" s="278" t="s">
        <v>154</v>
      </c>
      <c r="D612" s="275" t="s">
        <v>451</v>
      </c>
      <c r="E612" s="275" t="s">
        <v>452</v>
      </c>
      <c r="F612" s="275"/>
      <c r="G612" s="275"/>
      <c r="H612" s="275"/>
      <c r="I612" s="275"/>
      <c r="J612" s="275"/>
      <c r="K612" s="264"/>
    </row>
    <row r="613" spans="1:11">
      <c r="A613" s="273"/>
      <c r="B613" s="274"/>
      <c r="C613" s="278"/>
      <c r="D613" s="275">
        <v>0.77766000000000002</v>
      </c>
      <c r="E613" s="275">
        <v>0.78796999999999995</v>
      </c>
      <c r="F613" s="275"/>
      <c r="G613" s="275"/>
      <c r="H613" s="275"/>
      <c r="I613" s="275"/>
      <c r="J613" s="275"/>
      <c r="K613" s="264"/>
    </row>
    <row r="614" spans="1:11">
      <c r="A614" s="273"/>
      <c r="B614" s="274"/>
      <c r="C614" s="278"/>
      <c r="D614" s="275"/>
      <c r="E614" s="275"/>
      <c r="F614" s="275"/>
      <c r="G614" s="275"/>
      <c r="H614" s="275"/>
      <c r="I614" s="275"/>
      <c r="J614" s="275"/>
      <c r="K614" s="264"/>
    </row>
    <row r="615" spans="1:11">
      <c r="A615" s="273">
        <v>204</v>
      </c>
      <c r="B615" s="274">
        <v>67</v>
      </c>
      <c r="C615" s="278" t="s">
        <v>375</v>
      </c>
      <c r="D615" s="275" t="s">
        <v>451</v>
      </c>
      <c r="E615" s="275" t="s">
        <v>452</v>
      </c>
      <c r="F615" s="275"/>
      <c r="G615" s="275"/>
      <c r="H615" s="275"/>
      <c r="I615" s="275"/>
      <c r="J615" s="275"/>
      <c r="K615" s="264"/>
    </row>
    <row r="616" spans="1:11">
      <c r="A616" s="273"/>
      <c r="B616" s="274"/>
      <c r="C616" s="278"/>
      <c r="D616" s="275">
        <v>0.75799000000000005</v>
      </c>
      <c r="E616" s="275">
        <v>0.76881999999999995</v>
      </c>
      <c r="F616" s="275"/>
      <c r="G616" s="275"/>
      <c r="H616" s="275"/>
      <c r="I616" s="275"/>
      <c r="J616" s="275"/>
      <c r="K616" s="264"/>
    </row>
    <row r="617" spans="1:11">
      <c r="A617" s="273"/>
      <c r="B617" s="274"/>
      <c r="C617" s="278"/>
      <c r="D617" s="275"/>
      <c r="E617" s="275"/>
      <c r="F617" s="275"/>
      <c r="G617" s="275"/>
      <c r="H617" s="275"/>
      <c r="I617" s="275"/>
      <c r="J617" s="275"/>
      <c r="K617" s="264"/>
    </row>
    <row r="618" spans="1:11">
      <c r="A618" s="273">
        <v>205</v>
      </c>
      <c r="B618" s="274">
        <v>68</v>
      </c>
      <c r="C618" s="278" t="s">
        <v>376</v>
      </c>
      <c r="D618" s="275" t="s">
        <v>451</v>
      </c>
      <c r="E618" s="275" t="s">
        <v>452</v>
      </c>
      <c r="F618" s="275"/>
      <c r="G618" s="275"/>
      <c r="H618" s="275"/>
      <c r="I618" s="275"/>
      <c r="J618" s="275"/>
      <c r="K618" s="264"/>
    </row>
    <row r="619" spans="1:11">
      <c r="A619" s="273"/>
      <c r="B619" s="274"/>
      <c r="C619" s="278"/>
      <c r="D619" s="275">
        <v>0.73956999999999995</v>
      </c>
      <c r="E619" s="275">
        <v>0.75094000000000005</v>
      </c>
      <c r="F619" s="275"/>
      <c r="G619" s="275"/>
      <c r="H619" s="275"/>
      <c r="I619" s="275"/>
      <c r="J619" s="275"/>
      <c r="K619" s="264"/>
    </row>
    <row r="620" spans="1:11">
      <c r="A620" s="273"/>
      <c r="B620" s="274"/>
      <c r="C620" s="278"/>
      <c r="D620" s="275"/>
      <c r="E620" s="275"/>
      <c r="F620" s="275"/>
      <c r="G620" s="275"/>
      <c r="H620" s="275"/>
      <c r="I620" s="275"/>
      <c r="J620" s="275"/>
      <c r="K620" s="264"/>
    </row>
    <row r="621" spans="1:11">
      <c r="A621" s="273">
        <v>206</v>
      </c>
      <c r="B621" s="274">
        <v>69</v>
      </c>
      <c r="C621" s="278" t="s">
        <v>377</v>
      </c>
      <c r="D621" s="275" t="s">
        <v>451</v>
      </c>
      <c r="E621" s="275" t="s">
        <v>452</v>
      </c>
      <c r="F621" s="275"/>
      <c r="G621" s="275"/>
      <c r="H621" s="275"/>
      <c r="I621" s="275"/>
      <c r="J621" s="275"/>
      <c r="K621" s="264"/>
    </row>
    <row r="622" spans="1:11">
      <c r="A622" s="273"/>
      <c r="B622" s="274"/>
      <c r="C622" s="278"/>
      <c r="D622" s="275">
        <v>0.76027999999999996</v>
      </c>
      <c r="E622" s="275">
        <v>0.77729000000000004</v>
      </c>
      <c r="F622" s="275"/>
      <c r="G622" s="275"/>
      <c r="H622" s="275"/>
      <c r="I622" s="275"/>
      <c r="J622" s="275"/>
      <c r="K622" s="264"/>
    </row>
    <row r="623" spans="1:11">
      <c r="A623" s="273"/>
      <c r="B623" s="274"/>
      <c r="C623" s="278"/>
      <c r="D623" s="275"/>
      <c r="E623" s="275"/>
      <c r="F623" s="275"/>
      <c r="G623" s="275"/>
      <c r="H623" s="275"/>
      <c r="I623" s="275"/>
      <c r="J623" s="275"/>
      <c r="K623" s="264"/>
    </row>
    <row r="624" spans="1:11">
      <c r="A624" s="273">
        <v>207</v>
      </c>
      <c r="B624" s="274">
        <v>69</v>
      </c>
      <c r="C624" s="278" t="s">
        <v>155</v>
      </c>
      <c r="D624" s="275" t="s">
        <v>451</v>
      </c>
      <c r="E624" s="275" t="s">
        <v>452</v>
      </c>
      <c r="F624" s="275"/>
      <c r="G624" s="275"/>
      <c r="H624" s="275"/>
      <c r="I624" s="275"/>
      <c r="J624" s="275"/>
      <c r="K624" s="264"/>
    </row>
    <row r="625" spans="1:11">
      <c r="A625" s="273"/>
      <c r="B625" s="274"/>
      <c r="C625" s="278"/>
      <c r="D625" s="275">
        <v>0.72226000000000001</v>
      </c>
      <c r="E625" s="275">
        <v>0.73419000000000001</v>
      </c>
      <c r="F625" s="275"/>
      <c r="G625" s="275"/>
      <c r="H625" s="275"/>
      <c r="I625" s="275"/>
      <c r="J625" s="275"/>
      <c r="K625" s="264"/>
    </row>
    <row r="626" spans="1:11">
      <c r="A626" s="273"/>
      <c r="B626" s="274"/>
      <c r="C626" s="278"/>
      <c r="D626" s="275"/>
      <c r="E626" s="275"/>
      <c r="F626" s="275"/>
      <c r="G626" s="275"/>
      <c r="H626" s="275"/>
      <c r="I626" s="275"/>
      <c r="J626" s="275"/>
      <c r="K626" s="264"/>
    </row>
    <row r="627" spans="1:11">
      <c r="A627" s="273">
        <v>208</v>
      </c>
      <c r="B627" s="274">
        <v>70</v>
      </c>
      <c r="C627" s="278" t="s">
        <v>378</v>
      </c>
      <c r="D627" s="275" t="s">
        <v>451</v>
      </c>
      <c r="E627" s="275" t="s">
        <v>452</v>
      </c>
      <c r="F627" s="275"/>
      <c r="G627" s="275"/>
      <c r="H627" s="275"/>
      <c r="I627" s="275"/>
      <c r="J627" s="275"/>
      <c r="K627" s="264"/>
    </row>
    <row r="628" spans="1:11">
      <c r="A628" s="273"/>
      <c r="B628" s="274"/>
      <c r="C628" s="278"/>
      <c r="D628" s="275">
        <v>0.74163999999999997</v>
      </c>
      <c r="E628" s="275">
        <v>0.75949</v>
      </c>
      <c r="F628" s="275"/>
      <c r="G628" s="275"/>
      <c r="H628" s="275"/>
      <c r="I628" s="275"/>
      <c r="J628" s="275"/>
      <c r="K628" s="264"/>
    </row>
    <row r="629" spans="1:11">
      <c r="A629" s="273"/>
      <c r="B629" s="274"/>
      <c r="C629" s="278"/>
      <c r="D629" s="275"/>
      <c r="E629" s="275"/>
      <c r="F629" s="275"/>
      <c r="G629" s="275"/>
      <c r="H629" s="275"/>
      <c r="I629" s="275"/>
      <c r="J629" s="275"/>
      <c r="K629" s="264"/>
    </row>
    <row r="630" spans="1:11">
      <c r="A630" s="273">
        <v>209</v>
      </c>
      <c r="B630" s="274">
        <v>70</v>
      </c>
      <c r="C630" s="278" t="s">
        <v>156</v>
      </c>
      <c r="D630" s="275" t="s">
        <v>451</v>
      </c>
      <c r="E630" s="275" t="s">
        <v>452</v>
      </c>
      <c r="F630" s="275"/>
      <c r="G630" s="275"/>
      <c r="H630" s="275"/>
      <c r="I630" s="275"/>
      <c r="J630" s="275"/>
      <c r="K630" s="264"/>
    </row>
    <row r="631" spans="1:11">
      <c r="A631" s="273"/>
      <c r="B631" s="274"/>
      <c r="C631" s="278"/>
      <c r="D631" s="275">
        <v>0.70591999999999999</v>
      </c>
      <c r="E631" s="275">
        <v>0.71845000000000003</v>
      </c>
      <c r="F631" s="275"/>
      <c r="G631" s="275"/>
      <c r="H631" s="275"/>
      <c r="I631" s="275"/>
      <c r="J631" s="275"/>
      <c r="K631" s="264"/>
    </row>
    <row r="632" spans="1:11">
      <c r="A632" s="273"/>
      <c r="B632" s="274"/>
      <c r="C632" s="278"/>
      <c r="D632" s="275"/>
      <c r="E632" s="275"/>
      <c r="F632" s="275"/>
      <c r="G632" s="275"/>
      <c r="H632" s="275"/>
      <c r="I632" s="275"/>
      <c r="J632" s="275"/>
      <c r="K632" s="264"/>
    </row>
    <row r="633" spans="1:11">
      <c r="A633" s="273">
        <v>210</v>
      </c>
      <c r="B633" s="274">
        <v>71</v>
      </c>
      <c r="C633" s="278" t="s">
        <v>379</v>
      </c>
      <c r="D633" s="275" t="s">
        <v>451</v>
      </c>
      <c r="E633" s="275" t="s">
        <v>452</v>
      </c>
      <c r="F633" s="275"/>
      <c r="G633" s="275"/>
      <c r="H633" s="275"/>
      <c r="I633" s="275"/>
      <c r="J633" s="275"/>
      <c r="K633" s="264"/>
    </row>
    <row r="634" spans="1:11">
      <c r="A634" s="273"/>
      <c r="B634" s="274"/>
      <c r="C634" s="278"/>
      <c r="D634" s="275">
        <v>0.69047000000000003</v>
      </c>
      <c r="E634" s="275">
        <v>0.70360999999999996</v>
      </c>
      <c r="F634" s="275"/>
      <c r="G634" s="275"/>
      <c r="H634" s="275"/>
      <c r="I634" s="275"/>
      <c r="J634" s="275"/>
      <c r="K634" s="264"/>
    </row>
    <row r="635" spans="1:11">
      <c r="A635" s="273"/>
      <c r="B635" s="274"/>
      <c r="C635" s="278"/>
      <c r="D635" s="275"/>
      <c r="E635" s="275"/>
      <c r="F635" s="275"/>
      <c r="G635" s="275"/>
      <c r="H635" s="275"/>
      <c r="I635" s="275"/>
      <c r="J635" s="275"/>
      <c r="K635" s="264"/>
    </row>
    <row r="636" spans="1:11">
      <c r="A636" s="273">
        <v>211</v>
      </c>
      <c r="B636" s="274">
        <v>72</v>
      </c>
      <c r="C636" s="278" t="s">
        <v>380</v>
      </c>
      <c r="D636" s="275" t="s">
        <v>451</v>
      </c>
      <c r="E636" s="275" t="s">
        <v>452</v>
      </c>
      <c r="F636" s="275" t="s">
        <v>453</v>
      </c>
      <c r="G636" s="275" t="s">
        <v>454</v>
      </c>
      <c r="H636" s="275"/>
      <c r="I636" s="275"/>
      <c r="J636" s="275"/>
      <c r="K636" s="264"/>
    </row>
    <row r="637" spans="1:11">
      <c r="A637" s="273"/>
      <c r="B637" s="274"/>
      <c r="C637" s="278"/>
      <c r="D637" s="275">
        <v>0.65475000000000005</v>
      </c>
      <c r="E637" s="275">
        <v>0.66624000000000005</v>
      </c>
      <c r="F637" s="275">
        <v>2.08392</v>
      </c>
      <c r="G637" s="275">
        <v>2.13747</v>
      </c>
      <c r="H637" s="275"/>
      <c r="I637" s="275"/>
      <c r="J637" s="275"/>
      <c r="K637" s="264"/>
    </row>
    <row r="638" spans="1:11">
      <c r="A638" s="273"/>
      <c r="B638" s="274"/>
      <c r="C638" s="278"/>
      <c r="D638" s="275"/>
      <c r="E638" s="275"/>
      <c r="F638" s="275"/>
      <c r="G638" s="275"/>
      <c r="H638" s="275"/>
      <c r="I638" s="275"/>
      <c r="J638" s="275"/>
      <c r="K638" s="264"/>
    </row>
    <row r="639" spans="1:11">
      <c r="A639" s="273">
        <v>212</v>
      </c>
      <c r="B639" s="274">
        <v>72</v>
      </c>
      <c r="C639" s="278" t="s">
        <v>157</v>
      </c>
      <c r="D639" s="275" t="s">
        <v>451</v>
      </c>
      <c r="E639" s="275" t="s">
        <v>452</v>
      </c>
      <c r="F639" s="275" t="s">
        <v>453</v>
      </c>
      <c r="G639" s="275" t="s">
        <v>454</v>
      </c>
      <c r="H639" s="275"/>
      <c r="I639" s="275"/>
      <c r="J639" s="275"/>
      <c r="K639" s="264"/>
    </row>
    <row r="640" spans="1:11">
      <c r="A640" s="273"/>
      <c r="B640" s="274"/>
      <c r="C640" s="278"/>
      <c r="D640" s="275">
        <v>0.65266999999999997</v>
      </c>
      <c r="E640" s="275">
        <v>0.66386000000000001</v>
      </c>
      <c r="F640" s="275">
        <v>1.92256</v>
      </c>
      <c r="G640" s="275">
        <v>1.9651700000000001</v>
      </c>
      <c r="H640" s="275"/>
      <c r="I640" s="275"/>
      <c r="J640" s="275"/>
      <c r="K640" s="264"/>
    </row>
    <row r="641" spans="1:11">
      <c r="A641" s="273"/>
      <c r="B641" s="274"/>
      <c r="C641" s="278"/>
      <c r="D641" s="275"/>
      <c r="E641" s="275"/>
      <c r="F641" s="275"/>
      <c r="G641" s="275"/>
      <c r="H641" s="275"/>
      <c r="I641" s="275"/>
      <c r="J641" s="275"/>
      <c r="K641" s="264"/>
    </row>
    <row r="642" spans="1:11">
      <c r="A642" s="273">
        <v>213</v>
      </c>
      <c r="B642" s="274">
        <v>72</v>
      </c>
      <c r="C642" s="278" t="s">
        <v>158</v>
      </c>
      <c r="D642" s="275" t="s">
        <v>451</v>
      </c>
      <c r="E642" s="275" t="s">
        <v>452</v>
      </c>
      <c r="F642" s="275"/>
      <c r="G642" s="275"/>
      <c r="H642" s="275"/>
      <c r="I642" s="275"/>
      <c r="J642" s="275"/>
      <c r="K642" s="264"/>
    </row>
    <row r="643" spans="1:11">
      <c r="A643" s="273"/>
      <c r="B643" s="274"/>
      <c r="C643" s="278"/>
      <c r="D643" s="275">
        <v>0.64992000000000005</v>
      </c>
      <c r="E643" s="275">
        <v>0.66073000000000004</v>
      </c>
      <c r="F643" s="275"/>
      <c r="G643" s="275"/>
      <c r="H643" s="275"/>
      <c r="I643" s="275"/>
      <c r="J643" s="275"/>
      <c r="K643" s="264"/>
    </row>
    <row r="644" spans="1:11">
      <c r="A644" s="273"/>
      <c r="B644" s="274"/>
      <c r="C644" s="278"/>
      <c r="D644" s="275"/>
      <c r="E644" s="275"/>
      <c r="F644" s="275"/>
      <c r="G644" s="275"/>
      <c r="H644" s="275"/>
      <c r="I644" s="275"/>
      <c r="J644" s="275"/>
      <c r="K644" s="264"/>
    </row>
    <row r="645" spans="1:11">
      <c r="A645" s="273">
        <v>214</v>
      </c>
      <c r="B645" s="274">
        <v>73</v>
      </c>
      <c r="C645" s="278" t="s">
        <v>381</v>
      </c>
      <c r="D645" s="275" t="s">
        <v>451</v>
      </c>
      <c r="E645" s="275" t="s">
        <v>452</v>
      </c>
      <c r="F645" s="275" t="s">
        <v>453</v>
      </c>
      <c r="G645" s="275" t="s">
        <v>454</v>
      </c>
      <c r="H645" s="275"/>
      <c r="I645" s="275"/>
      <c r="J645" s="275"/>
      <c r="K645" s="264"/>
    </row>
    <row r="646" spans="1:11">
      <c r="A646" s="273"/>
      <c r="B646" s="274"/>
      <c r="C646" s="278"/>
      <c r="D646" s="275">
        <v>0.62202000000000002</v>
      </c>
      <c r="E646" s="275">
        <v>0.63207000000000002</v>
      </c>
      <c r="F646" s="275">
        <v>1.9460500000000001</v>
      </c>
      <c r="G646" s="275">
        <v>2.00041</v>
      </c>
      <c r="H646" s="275"/>
      <c r="I646" s="275"/>
      <c r="J646" s="275"/>
      <c r="K646" s="264"/>
    </row>
    <row r="647" spans="1:11">
      <c r="A647" s="273"/>
      <c r="B647" s="274"/>
      <c r="C647" s="278"/>
      <c r="D647" s="275"/>
      <c r="E647" s="275"/>
      <c r="F647" s="275"/>
      <c r="G647" s="275"/>
      <c r="H647" s="275"/>
      <c r="I647" s="275"/>
      <c r="J647" s="275"/>
      <c r="K647" s="264"/>
    </row>
    <row r="648" spans="1:11">
      <c r="A648" s="273">
        <v>215</v>
      </c>
      <c r="B648" s="274">
        <v>73</v>
      </c>
      <c r="C648" s="278" t="s">
        <v>159</v>
      </c>
      <c r="D648" s="275" t="s">
        <v>451</v>
      </c>
      <c r="E648" s="275" t="s">
        <v>452</v>
      </c>
      <c r="F648" s="275" t="s">
        <v>453</v>
      </c>
      <c r="G648" s="275" t="s">
        <v>454</v>
      </c>
      <c r="H648" s="275"/>
      <c r="I648" s="275"/>
      <c r="J648" s="275"/>
      <c r="K648" s="264"/>
    </row>
    <row r="649" spans="1:11">
      <c r="A649" s="273"/>
      <c r="B649" s="274"/>
      <c r="C649" s="278"/>
      <c r="D649" s="275">
        <v>0.62056</v>
      </c>
      <c r="E649" s="275">
        <v>0.63044</v>
      </c>
      <c r="F649" s="275">
        <v>1.8173299999999999</v>
      </c>
      <c r="G649" s="275">
        <v>1.8607</v>
      </c>
      <c r="H649" s="275"/>
      <c r="I649" s="275"/>
      <c r="J649" s="275"/>
      <c r="K649" s="264"/>
    </row>
    <row r="650" spans="1:11">
      <c r="A650" s="273"/>
      <c r="B650" s="274"/>
      <c r="C650" s="278"/>
      <c r="D650" s="275"/>
      <c r="E650" s="275"/>
      <c r="F650" s="275"/>
      <c r="G650" s="275"/>
      <c r="H650" s="275"/>
      <c r="I650" s="275"/>
      <c r="J650" s="275"/>
      <c r="K650" s="264"/>
    </row>
    <row r="651" spans="1:11">
      <c r="A651" s="273">
        <v>216</v>
      </c>
      <c r="B651" s="274">
        <v>73</v>
      </c>
      <c r="C651" s="278" t="s">
        <v>160</v>
      </c>
      <c r="D651" s="275" t="s">
        <v>451</v>
      </c>
      <c r="E651" s="275" t="s">
        <v>452</v>
      </c>
      <c r="F651" s="275" t="s">
        <v>453</v>
      </c>
      <c r="G651" s="275" t="s">
        <v>454</v>
      </c>
      <c r="H651" s="275"/>
      <c r="I651" s="275"/>
      <c r="J651" s="275"/>
      <c r="K651" s="264"/>
    </row>
    <row r="652" spans="1:11">
      <c r="A652" s="273"/>
      <c r="B652" s="274"/>
      <c r="C652" s="278"/>
      <c r="D652" s="275">
        <v>0.61856999999999995</v>
      </c>
      <c r="E652" s="275">
        <v>0.62822</v>
      </c>
      <c r="F652" s="275">
        <v>1.72007</v>
      </c>
      <c r="G652" s="275">
        <v>1.7566999999999999</v>
      </c>
      <c r="H652" s="275"/>
      <c r="I652" s="275"/>
      <c r="J652" s="275"/>
      <c r="K652" s="264"/>
    </row>
    <row r="653" spans="1:11">
      <c r="A653" s="273"/>
      <c r="B653" s="274"/>
      <c r="C653" s="278"/>
      <c r="D653" s="275"/>
      <c r="E653" s="275"/>
      <c r="F653" s="275"/>
      <c r="G653" s="275"/>
      <c r="H653" s="275"/>
      <c r="I653" s="275"/>
      <c r="J653" s="275"/>
      <c r="K653" s="264"/>
    </row>
    <row r="654" spans="1:11">
      <c r="A654" s="273">
        <v>217</v>
      </c>
      <c r="B654" s="274">
        <v>73</v>
      </c>
      <c r="C654" s="278" t="s">
        <v>161</v>
      </c>
      <c r="D654" s="275" t="s">
        <v>451</v>
      </c>
      <c r="E654" s="275" t="s">
        <v>452</v>
      </c>
      <c r="F654" s="275"/>
      <c r="G654" s="275"/>
      <c r="H654" s="275"/>
      <c r="I654" s="275"/>
      <c r="J654" s="275"/>
      <c r="K654" s="264"/>
    </row>
    <row r="655" spans="1:11">
      <c r="A655" s="273"/>
      <c r="B655" s="274"/>
      <c r="C655" s="278"/>
      <c r="D655" s="275">
        <v>0.61612999999999996</v>
      </c>
      <c r="E655" s="275">
        <v>0.62553000000000003</v>
      </c>
      <c r="F655" s="275"/>
      <c r="G655" s="275"/>
      <c r="H655" s="275"/>
      <c r="I655" s="275"/>
      <c r="J655" s="275"/>
      <c r="K655" s="264"/>
    </row>
    <row r="656" spans="1:11">
      <c r="A656" s="273"/>
      <c r="B656" s="274"/>
      <c r="C656" s="278"/>
      <c r="D656" s="275"/>
      <c r="E656" s="275"/>
      <c r="F656" s="275"/>
      <c r="G656" s="275"/>
      <c r="H656" s="275"/>
      <c r="I656" s="275"/>
      <c r="J656" s="275"/>
      <c r="K656" s="264"/>
    </row>
    <row r="657" spans="1:11">
      <c r="A657" s="273">
        <v>218</v>
      </c>
      <c r="B657" s="274">
        <v>74</v>
      </c>
      <c r="C657" s="278" t="s">
        <v>162</v>
      </c>
      <c r="D657" s="275" t="s">
        <v>451</v>
      </c>
      <c r="E657" s="275" t="s">
        <v>452</v>
      </c>
      <c r="F657" s="275" t="s">
        <v>453</v>
      </c>
      <c r="G657" s="275" t="s">
        <v>454</v>
      </c>
      <c r="H657" s="275" t="s">
        <v>455</v>
      </c>
      <c r="I657" s="275"/>
      <c r="J657" s="275"/>
      <c r="K657" s="264"/>
    </row>
    <row r="658" spans="1:11">
      <c r="A658" s="273"/>
      <c r="B658" s="274"/>
      <c r="C658" s="278"/>
      <c r="D658" s="275">
        <v>0.59380999999999995</v>
      </c>
      <c r="E658" s="275">
        <v>0.60285999999999995</v>
      </c>
      <c r="F658" s="275">
        <v>1.89306</v>
      </c>
      <c r="G658" s="275">
        <v>1.9569399999999999</v>
      </c>
      <c r="H658" s="275">
        <v>3.1104400000000001</v>
      </c>
      <c r="I658" s="275"/>
      <c r="J658" s="275"/>
      <c r="K658" s="264"/>
    </row>
    <row r="659" spans="1:11">
      <c r="A659" s="273"/>
      <c r="B659" s="274"/>
      <c r="C659" s="278"/>
      <c r="D659" s="275"/>
      <c r="E659" s="275"/>
      <c r="F659" s="275"/>
      <c r="G659" s="275"/>
      <c r="H659" s="275"/>
      <c r="I659" s="275"/>
      <c r="J659" s="275"/>
      <c r="K659" s="264"/>
    </row>
    <row r="660" spans="1:11">
      <c r="A660" s="273">
        <v>219</v>
      </c>
      <c r="B660" s="274">
        <v>74</v>
      </c>
      <c r="C660" s="278" t="s">
        <v>163</v>
      </c>
      <c r="D660" s="275" t="s">
        <v>451</v>
      </c>
      <c r="E660" s="275" t="s">
        <v>452</v>
      </c>
      <c r="F660" s="275" t="s">
        <v>453</v>
      </c>
      <c r="G660" s="275" t="s">
        <v>454</v>
      </c>
      <c r="H660" s="275"/>
      <c r="I660" s="275"/>
      <c r="J660" s="275"/>
      <c r="K660" s="264"/>
    </row>
    <row r="661" spans="1:11">
      <c r="A661" s="273"/>
      <c r="B661" s="274"/>
      <c r="C661" s="278"/>
      <c r="D661" s="275">
        <v>0.59375999999999995</v>
      </c>
      <c r="E661" s="275">
        <v>0.60280999999999996</v>
      </c>
      <c r="F661" s="275">
        <v>1.8317000000000001</v>
      </c>
      <c r="G661" s="275">
        <v>1.8864399999999999</v>
      </c>
      <c r="H661" s="275"/>
      <c r="I661" s="275"/>
      <c r="J661" s="275"/>
      <c r="K661" s="264"/>
    </row>
    <row r="662" spans="1:11">
      <c r="A662" s="273"/>
      <c r="B662" s="274"/>
      <c r="C662" s="278"/>
      <c r="D662" s="275"/>
      <c r="E662" s="275"/>
      <c r="F662" s="275"/>
      <c r="G662" s="275"/>
      <c r="H662" s="275"/>
      <c r="I662" s="275"/>
      <c r="J662" s="275"/>
      <c r="K662" s="264"/>
    </row>
    <row r="663" spans="1:11">
      <c r="A663" s="273">
        <v>220</v>
      </c>
      <c r="B663" s="274">
        <v>74</v>
      </c>
      <c r="C663" s="278" t="s">
        <v>164</v>
      </c>
      <c r="D663" s="275" t="s">
        <v>451</v>
      </c>
      <c r="E663" s="275" t="s">
        <v>452</v>
      </c>
      <c r="F663" s="275" t="s">
        <v>453</v>
      </c>
      <c r="G663" s="275" t="s">
        <v>454</v>
      </c>
      <c r="H663" s="275"/>
      <c r="I663" s="275"/>
      <c r="J663" s="275"/>
      <c r="K663" s="264"/>
    </row>
    <row r="664" spans="1:11">
      <c r="A664" s="273"/>
      <c r="B664" s="274"/>
      <c r="C664" s="278"/>
      <c r="D664" s="275">
        <v>0.59267999999999998</v>
      </c>
      <c r="E664" s="275">
        <v>0.60163</v>
      </c>
      <c r="F664" s="275">
        <v>1.7258199999999999</v>
      </c>
      <c r="G664" s="275">
        <v>1.7697499999999999</v>
      </c>
      <c r="H664" s="275"/>
      <c r="I664" s="275"/>
      <c r="J664" s="275"/>
      <c r="K664" s="264"/>
    </row>
    <row r="665" spans="1:11">
      <c r="A665" s="273"/>
      <c r="B665" s="274"/>
      <c r="C665" s="278"/>
      <c r="D665" s="275"/>
      <c r="E665" s="275"/>
      <c r="F665" s="275"/>
      <c r="G665" s="275"/>
      <c r="H665" s="275"/>
      <c r="I665" s="275"/>
      <c r="J665" s="275"/>
      <c r="K665" s="264"/>
    </row>
    <row r="666" spans="1:11">
      <c r="A666" s="273">
        <v>221</v>
      </c>
      <c r="B666" s="274">
        <v>74</v>
      </c>
      <c r="C666" s="278" t="s">
        <v>165</v>
      </c>
      <c r="D666" s="275" t="s">
        <v>451</v>
      </c>
      <c r="E666" s="275" t="s">
        <v>452</v>
      </c>
      <c r="F666" s="275" t="s">
        <v>453</v>
      </c>
      <c r="G666" s="275" t="s">
        <v>454</v>
      </c>
      <c r="H666" s="275"/>
      <c r="I666" s="275"/>
      <c r="J666" s="275"/>
      <c r="K666" s="264"/>
    </row>
    <row r="667" spans="1:11">
      <c r="A667" s="273"/>
      <c r="B667" s="274"/>
      <c r="C667" s="278"/>
      <c r="D667" s="275">
        <v>0.59118000000000004</v>
      </c>
      <c r="E667" s="275">
        <v>0.59999000000000002</v>
      </c>
      <c r="F667" s="275">
        <v>1.6431</v>
      </c>
      <c r="G667" s="275">
        <v>1.68031</v>
      </c>
      <c r="H667" s="275"/>
      <c r="I667" s="275"/>
      <c r="J667" s="275"/>
      <c r="K667" s="264"/>
    </row>
    <row r="668" spans="1:11">
      <c r="A668" s="273"/>
      <c r="B668" s="274"/>
      <c r="C668" s="278"/>
      <c r="D668" s="275"/>
      <c r="E668" s="275"/>
      <c r="F668" s="275"/>
      <c r="G668" s="275"/>
      <c r="H668" s="275"/>
      <c r="I668" s="275"/>
      <c r="J668" s="275"/>
      <c r="K668" s="264"/>
    </row>
    <row r="669" spans="1:11">
      <c r="A669" s="273">
        <v>222</v>
      </c>
      <c r="B669" s="274">
        <v>74</v>
      </c>
      <c r="C669" s="278" t="s">
        <v>166</v>
      </c>
      <c r="D669" s="275" t="s">
        <v>451</v>
      </c>
      <c r="E669" s="275" t="s">
        <v>452</v>
      </c>
      <c r="F669" s="275" t="s">
        <v>453</v>
      </c>
      <c r="G669" s="275" t="s">
        <v>454</v>
      </c>
      <c r="H669" s="275"/>
      <c r="I669" s="275"/>
      <c r="J669" s="275"/>
      <c r="K669" s="264"/>
    </row>
    <row r="670" spans="1:11">
      <c r="A670" s="273"/>
      <c r="B670" s="274"/>
      <c r="C670" s="278"/>
      <c r="D670" s="275">
        <v>0.58931</v>
      </c>
      <c r="E670" s="275">
        <v>0.59794999999999998</v>
      </c>
      <c r="F670" s="275">
        <v>1.5756300000000001</v>
      </c>
      <c r="G670" s="275">
        <v>1.60816</v>
      </c>
      <c r="H670" s="275"/>
      <c r="I670" s="275"/>
      <c r="J670" s="275"/>
      <c r="K670" s="264"/>
    </row>
    <row r="671" spans="1:11">
      <c r="A671" s="273"/>
      <c r="B671" s="274"/>
      <c r="C671" s="278"/>
      <c r="D671" s="275"/>
      <c r="E671" s="275"/>
      <c r="F671" s="275"/>
      <c r="G671" s="275"/>
      <c r="H671" s="275"/>
      <c r="I671" s="275"/>
      <c r="J671" s="275"/>
      <c r="K671" s="264"/>
    </row>
    <row r="672" spans="1:11">
      <c r="A672" s="273">
        <v>223</v>
      </c>
      <c r="B672" s="274">
        <v>74</v>
      </c>
      <c r="C672" s="278" t="s">
        <v>167</v>
      </c>
      <c r="D672" s="275" t="s">
        <v>451</v>
      </c>
      <c r="E672" s="275" t="s">
        <v>452</v>
      </c>
      <c r="F672" s="275"/>
      <c r="G672" s="275"/>
      <c r="H672" s="275"/>
      <c r="I672" s="275"/>
      <c r="J672" s="275"/>
      <c r="K672" s="264"/>
    </row>
    <row r="673" spans="1:11">
      <c r="A673" s="273"/>
      <c r="B673" s="274"/>
      <c r="C673" s="278"/>
      <c r="D673" s="275">
        <v>0.58713000000000004</v>
      </c>
      <c r="E673" s="275">
        <v>0.59557000000000004</v>
      </c>
      <c r="F673" s="275"/>
      <c r="G673" s="275"/>
      <c r="H673" s="275"/>
      <c r="I673" s="275"/>
      <c r="J673" s="275"/>
      <c r="K673" s="264"/>
    </row>
    <row r="674" spans="1:11">
      <c r="A674" s="273"/>
      <c r="B674" s="274"/>
      <c r="C674" s="278"/>
      <c r="D674" s="275"/>
      <c r="E674" s="275"/>
      <c r="F674" s="275"/>
      <c r="G674" s="275"/>
      <c r="H674" s="275"/>
      <c r="I674" s="275"/>
      <c r="J674" s="275"/>
      <c r="K674" s="264"/>
    </row>
    <row r="675" spans="1:11">
      <c r="A675" s="273">
        <v>224</v>
      </c>
      <c r="B675" s="274">
        <v>75</v>
      </c>
      <c r="C675" s="278" t="s">
        <v>168</v>
      </c>
      <c r="D675" s="275" t="s">
        <v>451</v>
      </c>
      <c r="E675" s="275" t="s">
        <v>452</v>
      </c>
      <c r="F675" s="275" t="s">
        <v>453</v>
      </c>
      <c r="G675" s="275" t="s">
        <v>454</v>
      </c>
      <c r="H675" s="275" t="s">
        <v>455</v>
      </c>
      <c r="I675" s="275"/>
      <c r="J675" s="275"/>
      <c r="K675" s="264"/>
    </row>
    <row r="676" spans="1:11">
      <c r="A676" s="273"/>
      <c r="B676" s="274"/>
      <c r="C676" s="278"/>
      <c r="D676" s="275">
        <v>0.56894</v>
      </c>
      <c r="E676" s="275">
        <v>0.57725000000000004</v>
      </c>
      <c r="F676" s="275">
        <v>1.78247</v>
      </c>
      <c r="G676" s="275">
        <v>1.8458300000000001</v>
      </c>
      <c r="H676" s="275">
        <v>3.0060500000000001</v>
      </c>
      <c r="I676" s="275"/>
      <c r="J676" s="275"/>
      <c r="K676" s="264"/>
    </row>
    <row r="677" spans="1:11">
      <c r="A677" s="273"/>
      <c r="B677" s="274"/>
      <c r="C677" s="278"/>
      <c r="D677" s="275"/>
      <c r="E677" s="275"/>
      <c r="F677" s="275"/>
      <c r="G677" s="275"/>
      <c r="H677" s="275"/>
      <c r="I677" s="275"/>
      <c r="J677" s="275"/>
      <c r="K677" s="264"/>
    </row>
    <row r="678" spans="1:11">
      <c r="A678" s="273">
        <v>225</v>
      </c>
      <c r="B678" s="274">
        <v>75</v>
      </c>
      <c r="C678" s="278" t="s">
        <v>169</v>
      </c>
      <c r="D678" s="275" t="s">
        <v>451</v>
      </c>
      <c r="E678" s="275" t="s">
        <v>452</v>
      </c>
      <c r="F678" s="275" t="s">
        <v>453</v>
      </c>
      <c r="G678" s="275" t="s">
        <v>454</v>
      </c>
      <c r="H678" s="275"/>
      <c r="I678" s="275"/>
      <c r="J678" s="275"/>
      <c r="K678" s="264"/>
    </row>
    <row r="679" spans="1:11">
      <c r="A679" s="273"/>
      <c r="B679" s="274"/>
      <c r="C679" s="278"/>
      <c r="D679" s="275">
        <v>0.56893000000000005</v>
      </c>
      <c r="E679" s="275">
        <v>0.57725000000000004</v>
      </c>
      <c r="F679" s="275">
        <v>1.73428</v>
      </c>
      <c r="G679" s="275">
        <v>1.7891999999999999</v>
      </c>
      <c r="H679" s="275"/>
      <c r="I679" s="275"/>
      <c r="J679" s="275"/>
      <c r="K679" s="264"/>
    </row>
    <row r="680" spans="1:11">
      <c r="A680" s="273"/>
      <c r="B680" s="274"/>
      <c r="C680" s="278"/>
      <c r="D680" s="275"/>
      <c r="E680" s="275"/>
      <c r="F680" s="275"/>
      <c r="G680" s="275"/>
      <c r="H680" s="275"/>
      <c r="I680" s="275"/>
      <c r="J680" s="275"/>
      <c r="K680" s="264"/>
    </row>
    <row r="681" spans="1:11">
      <c r="A681" s="273">
        <v>226</v>
      </c>
      <c r="B681" s="274">
        <v>75</v>
      </c>
      <c r="C681" s="278" t="s">
        <v>170</v>
      </c>
      <c r="D681" s="275" t="s">
        <v>451</v>
      </c>
      <c r="E681" s="275" t="s">
        <v>452</v>
      </c>
      <c r="F681" s="275" t="s">
        <v>453</v>
      </c>
      <c r="G681" s="275" t="s">
        <v>454</v>
      </c>
      <c r="H681" s="275"/>
      <c r="I681" s="275"/>
      <c r="J681" s="275"/>
      <c r="K681" s="264"/>
    </row>
    <row r="682" spans="1:11">
      <c r="A682" s="273"/>
      <c r="B682" s="274"/>
      <c r="C682" s="278"/>
      <c r="D682" s="275">
        <v>0.56808999999999998</v>
      </c>
      <c r="E682" s="275">
        <v>0.57635000000000003</v>
      </c>
      <c r="F682" s="275">
        <v>1.6451899999999999</v>
      </c>
      <c r="G682" s="275">
        <v>1.68956</v>
      </c>
      <c r="H682" s="275"/>
      <c r="I682" s="275"/>
      <c r="J682" s="275"/>
      <c r="K682" s="264"/>
    </row>
    <row r="683" spans="1:11">
      <c r="A683" s="273"/>
      <c r="B683" s="274"/>
      <c r="C683" s="278"/>
      <c r="D683" s="275"/>
      <c r="E683" s="275"/>
      <c r="F683" s="275"/>
      <c r="G683" s="275"/>
      <c r="H683" s="275"/>
      <c r="I683" s="275"/>
      <c r="J683" s="275"/>
      <c r="K683" s="264"/>
    </row>
    <row r="684" spans="1:11">
      <c r="A684" s="273">
        <v>227</v>
      </c>
      <c r="B684" s="274">
        <v>75</v>
      </c>
      <c r="C684" s="278" t="s">
        <v>171</v>
      </c>
      <c r="D684" s="275" t="s">
        <v>451</v>
      </c>
      <c r="E684" s="275" t="s">
        <v>452</v>
      </c>
      <c r="F684" s="275" t="s">
        <v>453</v>
      </c>
      <c r="G684" s="275" t="s">
        <v>454</v>
      </c>
      <c r="H684" s="275"/>
      <c r="I684" s="275"/>
      <c r="J684" s="275"/>
      <c r="K684" s="264"/>
    </row>
    <row r="685" spans="1:11">
      <c r="A685" s="273"/>
      <c r="B685" s="274"/>
      <c r="C685" s="278"/>
      <c r="D685" s="275">
        <v>0.56691999999999998</v>
      </c>
      <c r="E685" s="275">
        <v>0.57508999999999999</v>
      </c>
      <c r="F685" s="275">
        <v>1.5737699999999999</v>
      </c>
      <c r="G685" s="275">
        <v>1.61148</v>
      </c>
      <c r="H685" s="275"/>
      <c r="I685" s="275"/>
      <c r="J685" s="275"/>
      <c r="K685" s="264"/>
    </row>
    <row r="686" spans="1:11">
      <c r="A686" s="273"/>
      <c r="B686" s="274"/>
      <c r="C686" s="278"/>
      <c r="D686" s="275"/>
      <c r="E686" s="275"/>
      <c r="F686" s="275"/>
      <c r="G686" s="275"/>
      <c r="H686" s="275"/>
      <c r="I686" s="275"/>
      <c r="J686" s="275"/>
      <c r="K686" s="264"/>
    </row>
    <row r="687" spans="1:11">
      <c r="A687" s="273">
        <v>228</v>
      </c>
      <c r="B687" s="274">
        <v>75</v>
      </c>
      <c r="C687" s="278" t="s">
        <v>172</v>
      </c>
      <c r="D687" s="275" t="s">
        <v>451</v>
      </c>
      <c r="E687" s="275" t="s">
        <v>452</v>
      </c>
      <c r="F687" s="275" t="s">
        <v>453</v>
      </c>
      <c r="G687" s="275" t="s">
        <v>454</v>
      </c>
      <c r="H687" s="275"/>
      <c r="I687" s="275"/>
      <c r="J687" s="275"/>
      <c r="K687" s="264"/>
    </row>
    <row r="688" spans="1:11">
      <c r="A688" s="273"/>
      <c r="B688" s="274"/>
      <c r="C688" s="278"/>
      <c r="D688" s="275">
        <v>0.56545000000000001</v>
      </c>
      <c r="E688" s="275">
        <v>0.57350000000000001</v>
      </c>
      <c r="F688" s="275">
        <v>1.5144</v>
      </c>
      <c r="G688" s="275">
        <v>1.5474399999999999</v>
      </c>
      <c r="H688" s="275"/>
      <c r="I688" s="275"/>
      <c r="J688" s="275"/>
      <c r="K688" s="264"/>
    </row>
    <row r="689" spans="1:11">
      <c r="A689" s="273"/>
      <c r="B689" s="274"/>
      <c r="C689" s="278"/>
      <c r="D689" s="275"/>
      <c r="E689" s="275"/>
      <c r="F689" s="275"/>
      <c r="G689" s="275"/>
      <c r="H689" s="275"/>
      <c r="I689" s="275"/>
      <c r="J689" s="275"/>
      <c r="K689" s="264"/>
    </row>
    <row r="690" spans="1:11">
      <c r="A690" s="273">
        <v>229</v>
      </c>
      <c r="B690" s="274">
        <v>75</v>
      </c>
      <c r="C690" s="278" t="s">
        <v>173</v>
      </c>
      <c r="D690" s="275" t="s">
        <v>451</v>
      </c>
      <c r="E690" s="275" t="s">
        <v>452</v>
      </c>
      <c r="F690" s="275" t="s">
        <v>453</v>
      </c>
      <c r="G690" s="275" t="s">
        <v>454</v>
      </c>
      <c r="H690" s="275"/>
      <c r="I690" s="275"/>
      <c r="J690" s="275"/>
      <c r="K690" s="264"/>
    </row>
    <row r="691" spans="1:11">
      <c r="A691" s="273"/>
      <c r="B691" s="274"/>
      <c r="C691" s="278"/>
      <c r="D691" s="275">
        <v>0.56371000000000004</v>
      </c>
      <c r="E691" s="275">
        <v>0.57162000000000002</v>
      </c>
      <c r="F691" s="275">
        <v>1.46366</v>
      </c>
      <c r="G691" s="275">
        <v>1.49322</v>
      </c>
      <c r="H691" s="275"/>
      <c r="I691" s="275"/>
      <c r="J691" s="275"/>
      <c r="K691" s="264"/>
    </row>
    <row r="692" spans="1:11">
      <c r="A692" s="273"/>
      <c r="B692" s="274"/>
      <c r="C692" s="278"/>
      <c r="D692" s="275"/>
      <c r="E692" s="275"/>
      <c r="F692" s="275"/>
      <c r="G692" s="275"/>
      <c r="H692" s="275"/>
      <c r="I692" s="275"/>
      <c r="J692" s="275"/>
      <c r="K692" s="264"/>
    </row>
    <row r="693" spans="1:11">
      <c r="A693" s="273">
        <v>230</v>
      </c>
      <c r="B693" s="274">
        <v>75</v>
      </c>
      <c r="C693" s="278" t="s">
        <v>174</v>
      </c>
      <c r="D693" s="275" t="s">
        <v>451</v>
      </c>
      <c r="E693" s="275" t="s">
        <v>452</v>
      </c>
      <c r="F693" s="275"/>
      <c r="G693" s="275"/>
      <c r="H693" s="275"/>
      <c r="I693" s="275"/>
      <c r="J693" s="275"/>
      <c r="K693" s="264"/>
    </row>
    <row r="694" spans="1:11">
      <c r="A694" s="273"/>
      <c r="B694" s="274"/>
      <c r="C694" s="278"/>
      <c r="D694" s="275">
        <v>0.56172</v>
      </c>
      <c r="E694" s="275">
        <v>0.56947999999999999</v>
      </c>
      <c r="F694" s="275"/>
      <c r="G694" s="275"/>
      <c r="H694" s="275"/>
      <c r="I694" s="275"/>
      <c r="J694" s="275"/>
      <c r="K694" s="264"/>
    </row>
    <row r="695" spans="1:11">
      <c r="A695" s="273"/>
      <c r="B695" s="274"/>
      <c r="C695" s="278"/>
      <c r="D695" s="275"/>
      <c r="E695" s="275"/>
      <c r="F695" s="275"/>
      <c r="G695" s="275"/>
      <c r="H695" s="275"/>
      <c r="I695" s="275"/>
      <c r="J695" s="275"/>
      <c r="K695" s="264"/>
    </row>
    <row r="696" spans="1:11">
      <c r="A696" s="273">
        <v>231</v>
      </c>
      <c r="B696" s="274">
        <v>76</v>
      </c>
      <c r="C696" s="278" t="s">
        <v>175</v>
      </c>
      <c r="D696" s="275" t="s">
        <v>451</v>
      </c>
      <c r="E696" s="275" t="s">
        <v>452</v>
      </c>
      <c r="F696" s="275" t="s">
        <v>453</v>
      </c>
      <c r="G696" s="275" t="s">
        <v>454</v>
      </c>
      <c r="H696" s="275" t="s">
        <v>455</v>
      </c>
      <c r="I696" s="275"/>
      <c r="J696" s="275"/>
      <c r="K696" s="264"/>
    </row>
    <row r="697" spans="1:11">
      <c r="A697" s="273"/>
      <c r="B697" s="274"/>
      <c r="C697" s="278"/>
      <c r="D697" s="275">
        <v>0.54679</v>
      </c>
      <c r="E697" s="275">
        <v>0.55454000000000003</v>
      </c>
      <c r="F697" s="275">
        <v>1.68858</v>
      </c>
      <c r="G697" s="275">
        <v>1.7513700000000001</v>
      </c>
      <c r="H697" s="275">
        <v>2.9127800000000001</v>
      </c>
      <c r="I697" s="275"/>
      <c r="J697" s="275"/>
      <c r="K697" s="264"/>
    </row>
    <row r="698" spans="1:11">
      <c r="A698" s="273"/>
      <c r="B698" s="274"/>
      <c r="C698" s="278"/>
      <c r="D698" s="275"/>
      <c r="E698" s="275"/>
      <c r="F698" s="275"/>
      <c r="G698" s="275"/>
      <c r="H698" s="275"/>
      <c r="I698" s="275"/>
      <c r="J698" s="275"/>
      <c r="K698" s="264"/>
    </row>
    <row r="699" spans="1:11">
      <c r="A699" s="273">
        <v>232</v>
      </c>
      <c r="B699" s="274">
        <v>76</v>
      </c>
      <c r="C699" s="278" t="s">
        <v>176</v>
      </c>
      <c r="D699" s="275" t="s">
        <v>451</v>
      </c>
      <c r="E699" s="275" t="s">
        <v>452</v>
      </c>
      <c r="F699" s="275" t="s">
        <v>453</v>
      </c>
      <c r="G699" s="275" t="s">
        <v>454</v>
      </c>
      <c r="H699" s="275"/>
      <c r="I699" s="275"/>
      <c r="J699" s="275"/>
      <c r="K699" s="264"/>
    </row>
    <row r="700" spans="1:11">
      <c r="A700" s="273"/>
      <c r="B700" s="274"/>
      <c r="C700" s="278"/>
      <c r="D700" s="275">
        <v>0.54679</v>
      </c>
      <c r="E700" s="275">
        <v>0.55454999999999999</v>
      </c>
      <c r="F700" s="275">
        <v>1.6496599999999999</v>
      </c>
      <c r="G700" s="275">
        <v>1.7046300000000001</v>
      </c>
      <c r="H700" s="275"/>
      <c r="I700" s="275"/>
      <c r="J700" s="275"/>
      <c r="K700" s="264"/>
    </row>
    <row r="701" spans="1:11">
      <c r="A701" s="273"/>
      <c r="B701" s="274"/>
      <c r="C701" s="278"/>
      <c r="D701" s="275"/>
      <c r="E701" s="275"/>
      <c r="F701" s="275"/>
      <c r="G701" s="275"/>
      <c r="H701" s="275"/>
      <c r="I701" s="275"/>
      <c r="J701" s="275"/>
      <c r="K701" s="264"/>
    </row>
    <row r="702" spans="1:11">
      <c r="A702" s="273">
        <v>233</v>
      </c>
      <c r="B702" s="274">
        <v>76</v>
      </c>
      <c r="C702" s="278" t="s">
        <v>177</v>
      </c>
      <c r="D702" s="275" t="s">
        <v>451</v>
      </c>
      <c r="E702" s="275" t="s">
        <v>452</v>
      </c>
      <c r="F702" s="275" t="s">
        <v>453</v>
      </c>
      <c r="G702" s="275" t="s">
        <v>454</v>
      </c>
      <c r="H702" s="275"/>
      <c r="I702" s="275"/>
      <c r="J702" s="275"/>
      <c r="K702" s="264"/>
    </row>
    <row r="703" spans="1:11">
      <c r="A703" s="273"/>
      <c r="B703" s="274"/>
      <c r="C703" s="278"/>
      <c r="D703" s="275">
        <v>0.54612000000000005</v>
      </c>
      <c r="E703" s="275">
        <v>0.55384999999999995</v>
      </c>
      <c r="F703" s="275">
        <v>1.5733600000000001</v>
      </c>
      <c r="G703" s="275">
        <v>1.61809</v>
      </c>
      <c r="H703" s="275"/>
      <c r="I703" s="275"/>
      <c r="J703" s="275"/>
      <c r="K703" s="264"/>
    </row>
    <row r="704" spans="1:11">
      <c r="A704" s="273"/>
      <c r="B704" s="274"/>
      <c r="C704" s="278"/>
      <c r="D704" s="275"/>
      <c r="E704" s="275"/>
      <c r="F704" s="275"/>
      <c r="G704" s="275"/>
      <c r="H704" s="275"/>
      <c r="I704" s="275"/>
      <c r="J704" s="275"/>
      <c r="K704" s="264"/>
    </row>
    <row r="705" spans="1:11">
      <c r="A705" s="273">
        <v>234</v>
      </c>
      <c r="B705" s="274">
        <v>76</v>
      </c>
      <c r="C705" s="278" t="s">
        <v>178</v>
      </c>
      <c r="D705" s="275" t="s">
        <v>451</v>
      </c>
      <c r="E705" s="275" t="s">
        <v>452</v>
      </c>
      <c r="F705" s="275" t="s">
        <v>453</v>
      </c>
      <c r="G705" s="275" t="s">
        <v>454</v>
      </c>
      <c r="H705" s="275"/>
      <c r="I705" s="275"/>
      <c r="J705" s="275"/>
      <c r="K705" s="264"/>
    </row>
    <row r="706" spans="1:11">
      <c r="A706" s="273"/>
      <c r="B706" s="274"/>
      <c r="C706" s="278"/>
      <c r="D706" s="275">
        <v>0.54518999999999995</v>
      </c>
      <c r="E706" s="275">
        <v>0.55284999999999995</v>
      </c>
      <c r="F706" s="275">
        <v>1.5109300000000001</v>
      </c>
      <c r="G706" s="275">
        <v>1.54908</v>
      </c>
      <c r="H706" s="275"/>
      <c r="I706" s="275"/>
      <c r="J706" s="275"/>
      <c r="K706" s="264"/>
    </row>
    <row r="707" spans="1:11">
      <c r="A707" s="273"/>
      <c r="B707" s="274"/>
      <c r="C707" s="278"/>
      <c r="D707" s="275"/>
      <c r="E707" s="275"/>
      <c r="F707" s="275"/>
      <c r="G707" s="275"/>
      <c r="H707" s="275"/>
      <c r="I707" s="275"/>
      <c r="J707" s="275"/>
      <c r="K707" s="264"/>
    </row>
    <row r="708" spans="1:11">
      <c r="A708" s="273">
        <v>235</v>
      </c>
      <c r="B708" s="274">
        <v>76</v>
      </c>
      <c r="C708" s="278" t="s">
        <v>179</v>
      </c>
      <c r="D708" s="275" t="s">
        <v>451</v>
      </c>
      <c r="E708" s="275" t="s">
        <v>452</v>
      </c>
      <c r="F708" s="275" t="s">
        <v>453</v>
      </c>
      <c r="G708" s="275" t="s">
        <v>454</v>
      </c>
      <c r="H708" s="275"/>
      <c r="I708" s="275"/>
      <c r="J708" s="275"/>
      <c r="K708" s="264"/>
    </row>
    <row r="709" spans="1:11">
      <c r="A709" s="273"/>
      <c r="B709" s="274"/>
      <c r="C709" s="278"/>
      <c r="D709" s="275">
        <v>0.54400999999999999</v>
      </c>
      <c r="E709" s="275">
        <v>0.55157999999999996</v>
      </c>
      <c r="F709" s="275">
        <v>1.4582200000000001</v>
      </c>
      <c r="G709" s="275">
        <v>1.49173</v>
      </c>
      <c r="H709" s="275"/>
      <c r="I709" s="275"/>
      <c r="J709" s="275"/>
      <c r="K709" s="264"/>
    </row>
    <row r="710" spans="1:11">
      <c r="A710" s="273"/>
      <c r="B710" s="274"/>
      <c r="C710" s="278"/>
      <c r="D710" s="275"/>
      <c r="E710" s="275"/>
      <c r="F710" s="275"/>
      <c r="G710" s="275"/>
      <c r="H710" s="275"/>
      <c r="I710" s="275"/>
      <c r="J710" s="275"/>
      <c r="K710" s="264"/>
    </row>
    <row r="711" spans="1:11">
      <c r="A711" s="273">
        <v>236</v>
      </c>
      <c r="B711" s="274">
        <v>76</v>
      </c>
      <c r="C711" s="278" t="s">
        <v>180</v>
      </c>
      <c r="D711" s="275" t="s">
        <v>451</v>
      </c>
      <c r="E711" s="275" t="s">
        <v>452</v>
      </c>
      <c r="F711" s="275" t="s">
        <v>453</v>
      </c>
      <c r="G711" s="275" t="s">
        <v>454</v>
      </c>
      <c r="H711" s="275"/>
      <c r="I711" s="275"/>
      <c r="J711" s="275"/>
      <c r="K711" s="264"/>
    </row>
    <row r="712" spans="1:11">
      <c r="A712" s="273"/>
      <c r="B712" s="274"/>
      <c r="C712" s="278"/>
      <c r="D712" s="275">
        <v>0.54259000000000002</v>
      </c>
      <c r="E712" s="275">
        <v>0.55005999999999999</v>
      </c>
      <c r="F712" s="275">
        <v>1.4126300000000001</v>
      </c>
      <c r="G712" s="275">
        <v>1.4426600000000001</v>
      </c>
      <c r="H712" s="275"/>
      <c r="I712" s="275"/>
      <c r="J712" s="275"/>
      <c r="K712" s="264"/>
    </row>
    <row r="713" spans="1:11">
      <c r="A713" s="273"/>
      <c r="B713" s="274"/>
      <c r="C713" s="278"/>
      <c r="D713" s="275"/>
      <c r="E713" s="275"/>
      <c r="F713" s="275"/>
      <c r="G713" s="275"/>
      <c r="H713" s="275"/>
      <c r="I713" s="275"/>
      <c r="J713" s="275"/>
      <c r="K713" s="264"/>
    </row>
    <row r="714" spans="1:11">
      <c r="A714" s="273">
        <v>237</v>
      </c>
      <c r="B714" s="274">
        <v>76</v>
      </c>
      <c r="C714" s="278" t="s">
        <v>181</v>
      </c>
      <c r="D714" s="275" t="s">
        <v>451</v>
      </c>
      <c r="E714" s="275" t="s">
        <v>452</v>
      </c>
      <c r="F714" s="275" t="s">
        <v>453</v>
      </c>
      <c r="G714" s="275" t="s">
        <v>454</v>
      </c>
      <c r="H714" s="275"/>
      <c r="I714" s="275"/>
      <c r="J714" s="275"/>
      <c r="K714" s="264"/>
    </row>
    <row r="715" spans="1:11">
      <c r="A715" s="273"/>
      <c r="B715" s="274"/>
      <c r="C715" s="278"/>
      <c r="D715" s="275">
        <v>0.54096</v>
      </c>
      <c r="E715" s="275">
        <v>0.54832000000000003</v>
      </c>
      <c r="F715" s="275">
        <v>1.3724700000000001</v>
      </c>
      <c r="G715" s="275">
        <v>1.3997599999999999</v>
      </c>
      <c r="H715" s="275"/>
      <c r="I715" s="275"/>
      <c r="J715" s="275"/>
      <c r="K715" s="264"/>
    </row>
    <row r="716" spans="1:11">
      <c r="A716" s="273"/>
      <c r="B716" s="274"/>
      <c r="C716" s="278"/>
      <c r="D716" s="275"/>
      <c r="E716" s="275"/>
      <c r="F716" s="275"/>
      <c r="G716" s="275"/>
      <c r="H716" s="275"/>
      <c r="I716" s="275"/>
      <c r="J716" s="275"/>
      <c r="K716" s="264"/>
    </row>
    <row r="717" spans="1:11">
      <c r="A717" s="273">
        <v>238</v>
      </c>
      <c r="B717" s="274">
        <v>76</v>
      </c>
      <c r="C717" s="278" t="s">
        <v>182</v>
      </c>
      <c r="D717" s="275" t="s">
        <v>451</v>
      </c>
      <c r="E717" s="275" t="s">
        <v>452</v>
      </c>
      <c r="F717" s="275"/>
      <c r="G717" s="275"/>
      <c r="H717" s="275"/>
      <c r="I717" s="275"/>
      <c r="J717" s="275"/>
      <c r="K717" s="264"/>
    </row>
    <row r="718" spans="1:11">
      <c r="A718" s="273"/>
      <c r="B718" s="274"/>
      <c r="C718" s="278"/>
      <c r="D718" s="275">
        <v>0.53913</v>
      </c>
      <c r="E718" s="275">
        <v>0.54637000000000002</v>
      </c>
      <c r="F718" s="275"/>
      <c r="G718" s="275"/>
      <c r="H718" s="275"/>
      <c r="I718" s="275"/>
      <c r="J718" s="275"/>
      <c r="K718" s="264"/>
    </row>
    <row r="719" spans="1:11">
      <c r="A719" s="273"/>
      <c r="B719" s="274"/>
      <c r="C719" s="278"/>
      <c r="D719" s="275"/>
      <c r="E719" s="275"/>
      <c r="F719" s="275"/>
      <c r="G719" s="275"/>
      <c r="H719" s="275"/>
      <c r="I719" s="275"/>
      <c r="J719" s="275"/>
      <c r="K719" s="264"/>
    </row>
    <row r="720" spans="1:11">
      <c r="A720" s="273">
        <v>239</v>
      </c>
      <c r="B720" s="274">
        <v>77</v>
      </c>
      <c r="C720" s="278" t="s">
        <v>183</v>
      </c>
      <c r="D720" s="275" t="s">
        <v>451</v>
      </c>
      <c r="E720" s="275" t="s">
        <v>452</v>
      </c>
      <c r="F720" s="275" t="s">
        <v>453</v>
      </c>
      <c r="G720" s="275" t="s">
        <v>454</v>
      </c>
      <c r="H720" s="275" t="s">
        <v>455</v>
      </c>
      <c r="I720" s="275"/>
      <c r="J720" s="275"/>
      <c r="K720" s="264"/>
    </row>
    <row r="721" spans="1:11">
      <c r="A721" s="273"/>
      <c r="B721" s="274"/>
      <c r="C721" s="278"/>
      <c r="D721" s="275">
        <v>0.52683000000000002</v>
      </c>
      <c r="E721" s="275">
        <v>0.53415000000000001</v>
      </c>
      <c r="F721" s="275">
        <v>1.6071599999999999</v>
      </c>
      <c r="G721" s="275">
        <v>1.6694</v>
      </c>
      <c r="H721" s="275">
        <v>2.82829</v>
      </c>
      <c r="I721" s="275"/>
      <c r="J721" s="275"/>
      <c r="K721" s="264"/>
    </row>
    <row r="722" spans="1:11">
      <c r="A722" s="273"/>
      <c r="B722" s="274"/>
      <c r="C722" s="278"/>
      <c r="D722" s="275"/>
      <c r="E722" s="275"/>
      <c r="F722" s="275"/>
      <c r="G722" s="275"/>
      <c r="H722" s="275"/>
      <c r="I722" s="275"/>
      <c r="J722" s="275"/>
      <c r="K722" s="264"/>
    </row>
    <row r="723" spans="1:11">
      <c r="A723" s="273">
        <v>240</v>
      </c>
      <c r="B723" s="274">
        <v>77</v>
      </c>
      <c r="C723" s="278" t="s">
        <v>184</v>
      </c>
      <c r="D723" s="275" t="s">
        <v>451</v>
      </c>
      <c r="E723" s="275" t="s">
        <v>452</v>
      </c>
      <c r="F723" s="275" t="s">
        <v>453</v>
      </c>
      <c r="G723" s="275" t="s">
        <v>454</v>
      </c>
      <c r="H723" s="275"/>
      <c r="I723" s="275"/>
      <c r="J723" s="275"/>
      <c r="K723" s="264"/>
    </row>
    <row r="724" spans="1:11">
      <c r="A724" s="273"/>
      <c r="B724" s="274"/>
      <c r="C724" s="278"/>
      <c r="D724" s="275">
        <v>0.52683999999999997</v>
      </c>
      <c r="E724" s="275">
        <v>0.53417000000000003</v>
      </c>
      <c r="F724" s="275">
        <v>1.57504</v>
      </c>
      <c r="G724" s="275">
        <v>1.63001</v>
      </c>
      <c r="H724" s="275"/>
      <c r="I724" s="275"/>
      <c r="J724" s="275"/>
      <c r="K724" s="264"/>
    </row>
    <row r="725" spans="1:11">
      <c r="A725" s="273"/>
      <c r="B725" s="274"/>
      <c r="C725" s="278"/>
      <c r="D725" s="275"/>
      <c r="E725" s="275"/>
      <c r="F725" s="275"/>
      <c r="G725" s="275"/>
      <c r="H725" s="275"/>
      <c r="I725" s="275"/>
      <c r="J725" s="275"/>
      <c r="K725" s="264"/>
    </row>
    <row r="726" spans="1:11">
      <c r="A726" s="273">
        <v>241</v>
      </c>
      <c r="B726" s="274">
        <v>77</v>
      </c>
      <c r="C726" s="278" t="s">
        <v>185</v>
      </c>
      <c r="D726" s="275" t="s">
        <v>451</v>
      </c>
      <c r="E726" s="275" t="s">
        <v>452</v>
      </c>
      <c r="F726" s="275" t="s">
        <v>453</v>
      </c>
      <c r="G726" s="275" t="s">
        <v>454</v>
      </c>
      <c r="H726" s="275"/>
      <c r="I726" s="275"/>
      <c r="J726" s="275"/>
      <c r="K726" s="264"/>
    </row>
    <row r="727" spans="1:11">
      <c r="A727" s="273"/>
      <c r="B727" s="274"/>
      <c r="C727" s="278"/>
      <c r="D727" s="275">
        <v>0.52629999999999999</v>
      </c>
      <c r="E727" s="275">
        <v>0.53361000000000003</v>
      </c>
      <c r="F727" s="275">
        <v>1.5087900000000001</v>
      </c>
      <c r="G727" s="275">
        <v>1.55382</v>
      </c>
      <c r="H727" s="275"/>
      <c r="I727" s="275"/>
      <c r="J727" s="275"/>
      <c r="K727" s="264"/>
    </row>
    <row r="728" spans="1:11">
      <c r="A728" s="273"/>
      <c r="B728" s="274"/>
      <c r="C728" s="278"/>
      <c r="D728" s="275"/>
      <c r="E728" s="275"/>
      <c r="F728" s="275"/>
      <c r="G728" s="275"/>
      <c r="H728" s="275"/>
      <c r="I728" s="275"/>
      <c r="J728" s="275"/>
      <c r="K728" s="264"/>
    </row>
    <row r="729" spans="1:11">
      <c r="A729" s="273">
        <v>242</v>
      </c>
      <c r="B729" s="274">
        <v>77</v>
      </c>
      <c r="C729" s="278" t="s">
        <v>186</v>
      </c>
      <c r="D729" s="275" t="s">
        <v>451</v>
      </c>
      <c r="E729" s="275" t="s">
        <v>452</v>
      </c>
      <c r="F729" s="275" t="s">
        <v>453</v>
      </c>
      <c r="G729" s="275" t="s">
        <v>454</v>
      </c>
      <c r="H729" s="275"/>
      <c r="I729" s="275"/>
      <c r="J729" s="275"/>
      <c r="K729" s="264"/>
    </row>
    <row r="730" spans="1:11">
      <c r="A730" s="273"/>
      <c r="B730" s="274"/>
      <c r="C730" s="278"/>
      <c r="D730" s="275">
        <v>0.52554000000000001</v>
      </c>
      <c r="E730" s="275">
        <v>0.53280000000000005</v>
      </c>
      <c r="F730" s="275">
        <v>1.4536500000000001</v>
      </c>
      <c r="G730" s="275">
        <v>1.49221</v>
      </c>
      <c r="H730" s="275"/>
      <c r="I730" s="275"/>
      <c r="J730" s="275"/>
      <c r="K730" s="264"/>
    </row>
    <row r="731" spans="1:11">
      <c r="A731" s="273"/>
      <c r="B731" s="274"/>
      <c r="C731" s="278"/>
      <c r="D731" s="275"/>
      <c r="E731" s="275"/>
      <c r="F731" s="275"/>
      <c r="G731" s="275"/>
      <c r="H731" s="275"/>
      <c r="I731" s="275"/>
      <c r="J731" s="275"/>
      <c r="K731" s="264"/>
    </row>
    <row r="732" spans="1:11">
      <c r="A732" s="273">
        <v>243</v>
      </c>
      <c r="B732" s="274">
        <v>77</v>
      </c>
      <c r="C732" s="278" t="s">
        <v>187</v>
      </c>
      <c r="D732" s="275" t="s">
        <v>451</v>
      </c>
      <c r="E732" s="275" t="s">
        <v>452</v>
      </c>
      <c r="F732" s="275" t="s">
        <v>453</v>
      </c>
      <c r="G732" s="275" t="s">
        <v>454</v>
      </c>
      <c r="H732" s="275"/>
      <c r="I732" s="275"/>
      <c r="J732" s="275"/>
      <c r="K732" s="264"/>
    </row>
    <row r="733" spans="1:11">
      <c r="A733" s="273"/>
      <c r="B733" s="274"/>
      <c r="C733" s="278"/>
      <c r="D733" s="275">
        <v>0.52456999999999998</v>
      </c>
      <c r="E733" s="275">
        <v>0.53176999999999996</v>
      </c>
      <c r="F733" s="275">
        <v>1.40648</v>
      </c>
      <c r="G733" s="275">
        <v>1.4404300000000001</v>
      </c>
      <c r="H733" s="275"/>
      <c r="I733" s="275"/>
      <c r="J733" s="275"/>
      <c r="K733" s="264"/>
    </row>
    <row r="734" spans="1:11">
      <c r="A734" s="273"/>
      <c r="B734" s="274"/>
      <c r="C734" s="278"/>
      <c r="D734" s="275"/>
      <c r="E734" s="275"/>
      <c r="F734" s="275"/>
      <c r="G734" s="275"/>
      <c r="H734" s="275"/>
      <c r="I734" s="275"/>
      <c r="J734" s="275"/>
      <c r="K734" s="264"/>
    </row>
    <row r="735" spans="1:11">
      <c r="A735" s="273">
        <v>244</v>
      </c>
      <c r="B735" s="274">
        <v>77</v>
      </c>
      <c r="C735" s="278" t="s">
        <v>188</v>
      </c>
      <c r="D735" s="275" t="s">
        <v>451</v>
      </c>
      <c r="E735" s="275" t="s">
        <v>452</v>
      </c>
      <c r="F735" s="275" t="s">
        <v>453</v>
      </c>
      <c r="G735" s="275" t="s">
        <v>454</v>
      </c>
      <c r="H735" s="275"/>
      <c r="I735" s="275"/>
      <c r="J735" s="275"/>
      <c r="K735" s="264"/>
    </row>
    <row r="736" spans="1:11">
      <c r="A736" s="273"/>
      <c r="B736" s="274"/>
      <c r="C736" s="278"/>
      <c r="D736" s="275">
        <v>0.52339999999999998</v>
      </c>
      <c r="E736" s="275">
        <v>0.53051999999999999</v>
      </c>
      <c r="F736" s="275">
        <v>1.36527</v>
      </c>
      <c r="G736" s="275">
        <v>1.39575</v>
      </c>
      <c r="H736" s="275"/>
      <c r="I736" s="275"/>
      <c r="J736" s="275"/>
      <c r="K736" s="264"/>
    </row>
    <row r="737" spans="1:11">
      <c r="A737" s="273"/>
      <c r="B737" s="274"/>
      <c r="C737" s="278"/>
      <c r="D737" s="275"/>
      <c r="E737" s="275"/>
      <c r="F737" s="275"/>
      <c r="G737" s="275"/>
      <c r="H737" s="275"/>
      <c r="I737" s="275"/>
      <c r="J737" s="275"/>
      <c r="K737" s="264"/>
    </row>
    <row r="738" spans="1:11">
      <c r="A738" s="273">
        <v>245</v>
      </c>
      <c r="B738" s="274">
        <v>78</v>
      </c>
      <c r="C738" s="278" t="s">
        <v>382</v>
      </c>
      <c r="D738" s="275" t="s">
        <v>451</v>
      </c>
      <c r="E738" s="275" t="s">
        <v>452</v>
      </c>
      <c r="F738" s="275" t="s">
        <v>453</v>
      </c>
      <c r="G738" s="275" t="s">
        <v>454</v>
      </c>
      <c r="H738" s="275"/>
      <c r="I738" s="275"/>
      <c r="J738" s="275"/>
      <c r="K738" s="264"/>
    </row>
    <row r="739" spans="1:11">
      <c r="A739" s="273"/>
      <c r="B739" s="274"/>
      <c r="C739" s="278"/>
      <c r="D739" s="275">
        <v>0.50871</v>
      </c>
      <c r="E739" s="275">
        <v>0.51568999999999998</v>
      </c>
      <c r="F739" s="275">
        <v>1.50847</v>
      </c>
      <c r="G739" s="275">
        <v>1.56342</v>
      </c>
      <c r="H739" s="275"/>
      <c r="I739" s="275"/>
      <c r="J739" s="275"/>
      <c r="K739" s="264"/>
    </row>
    <row r="740" spans="1:11">
      <c r="A740" s="273"/>
      <c r="B740" s="274"/>
      <c r="C740" s="278"/>
      <c r="D740" s="275"/>
      <c r="E740" s="275"/>
      <c r="F740" s="275"/>
      <c r="G740" s="275"/>
      <c r="H740" s="275"/>
      <c r="I740" s="275"/>
      <c r="J740" s="275"/>
      <c r="K740" s="264"/>
    </row>
    <row r="741" spans="1:11">
      <c r="A741" s="273">
        <v>246</v>
      </c>
      <c r="B741" s="274">
        <v>78</v>
      </c>
      <c r="C741" s="278" t="s">
        <v>383</v>
      </c>
      <c r="D741" s="275" t="s">
        <v>451</v>
      </c>
      <c r="E741" s="275" t="s">
        <v>452</v>
      </c>
      <c r="F741" s="275" t="s">
        <v>453</v>
      </c>
      <c r="G741" s="275" t="s">
        <v>454</v>
      </c>
      <c r="H741" s="275"/>
      <c r="I741" s="275"/>
      <c r="J741" s="275"/>
      <c r="K741" s="264"/>
    </row>
    <row r="742" spans="1:11">
      <c r="A742" s="273"/>
      <c r="B742" s="274"/>
      <c r="C742" s="278"/>
      <c r="D742" s="275">
        <v>0.50763000000000003</v>
      </c>
      <c r="E742" s="275">
        <v>0.51456999999999997</v>
      </c>
      <c r="F742" s="275">
        <v>1.40116</v>
      </c>
      <c r="G742" s="275">
        <v>1.4400999999999999</v>
      </c>
      <c r="H742" s="275"/>
      <c r="I742" s="275"/>
      <c r="J742" s="275"/>
      <c r="K742" s="264"/>
    </row>
    <row r="743" spans="1:11">
      <c r="A743" s="273"/>
      <c r="B743" s="274"/>
      <c r="C743" s="278"/>
      <c r="D743" s="275"/>
      <c r="E743" s="275"/>
      <c r="F743" s="275"/>
      <c r="G743" s="275"/>
      <c r="H743" s="275"/>
      <c r="I743" s="275"/>
      <c r="J743" s="275"/>
      <c r="K743" s="264"/>
    </row>
    <row r="744" spans="1:11">
      <c r="A744" s="273">
        <v>247</v>
      </c>
      <c r="B744" s="274">
        <v>78</v>
      </c>
      <c r="C744" s="278" t="s">
        <v>189</v>
      </c>
      <c r="D744" s="275" t="s">
        <v>451</v>
      </c>
      <c r="E744" s="275" t="s">
        <v>452</v>
      </c>
      <c r="F744" s="275" t="s">
        <v>453</v>
      </c>
      <c r="G744" s="275" t="s">
        <v>454</v>
      </c>
      <c r="H744" s="275"/>
      <c r="I744" s="275"/>
      <c r="J744" s="275"/>
      <c r="K744" s="264"/>
    </row>
    <row r="745" spans="1:11">
      <c r="A745" s="273"/>
      <c r="B745" s="274"/>
      <c r="C745" s="278"/>
      <c r="D745" s="275">
        <v>0.50682000000000005</v>
      </c>
      <c r="E745" s="275">
        <v>0.51371</v>
      </c>
      <c r="F745" s="275">
        <v>1.35866</v>
      </c>
      <c r="G745" s="275">
        <v>1.39303</v>
      </c>
      <c r="H745" s="275"/>
      <c r="I745" s="275"/>
      <c r="J745" s="275"/>
      <c r="K745" s="264"/>
    </row>
    <row r="746" spans="1:11">
      <c r="A746" s="273"/>
      <c r="B746" s="274"/>
      <c r="C746" s="278"/>
      <c r="D746" s="275"/>
      <c r="E746" s="275"/>
      <c r="F746" s="275"/>
      <c r="G746" s="275"/>
      <c r="H746" s="275"/>
      <c r="I746" s="275"/>
      <c r="J746" s="275"/>
      <c r="K746" s="264"/>
    </row>
    <row r="747" spans="1:11">
      <c r="A747" s="273">
        <v>248</v>
      </c>
      <c r="B747" s="274">
        <v>78</v>
      </c>
      <c r="C747" s="278" t="s">
        <v>190</v>
      </c>
      <c r="D747" s="275" t="s">
        <v>451</v>
      </c>
      <c r="E747" s="275" t="s">
        <v>452</v>
      </c>
      <c r="F747" s="275" t="s">
        <v>453</v>
      </c>
      <c r="G747" s="275" t="s">
        <v>454</v>
      </c>
      <c r="H747" s="275"/>
      <c r="I747" s="275"/>
      <c r="J747" s="275"/>
      <c r="K747" s="264"/>
    </row>
    <row r="748" spans="1:11">
      <c r="A748" s="273"/>
      <c r="B748" s="274"/>
      <c r="C748" s="278"/>
      <c r="D748" s="275">
        <v>0.50583999999999996</v>
      </c>
      <c r="E748" s="275">
        <v>0.51266999999999996</v>
      </c>
      <c r="F748" s="275">
        <v>1.32121</v>
      </c>
      <c r="G748" s="275">
        <v>1.35212</v>
      </c>
      <c r="H748" s="275"/>
      <c r="I748" s="275"/>
      <c r="J748" s="275"/>
      <c r="K748" s="264"/>
    </row>
    <row r="749" spans="1:11">
      <c r="A749" s="273"/>
      <c r="B749" s="274"/>
      <c r="C749" s="278"/>
      <c r="D749" s="275"/>
      <c r="E749" s="275"/>
      <c r="F749" s="275"/>
      <c r="G749" s="275"/>
      <c r="H749" s="275"/>
      <c r="I749" s="275"/>
      <c r="J749" s="275"/>
      <c r="K749" s="264"/>
    </row>
    <row r="750" spans="1:11">
      <c r="A750" s="273">
        <v>249</v>
      </c>
      <c r="B750" s="274">
        <v>79</v>
      </c>
      <c r="C750" s="278" t="s">
        <v>191</v>
      </c>
      <c r="D750" s="275" t="s">
        <v>451</v>
      </c>
      <c r="E750" s="275" t="s">
        <v>452</v>
      </c>
      <c r="F750" s="275" t="s">
        <v>453</v>
      </c>
      <c r="G750" s="275" t="s">
        <v>454</v>
      </c>
      <c r="H750" s="275"/>
      <c r="I750" s="275"/>
      <c r="J750" s="275"/>
      <c r="K750" s="264"/>
    </row>
    <row r="751" spans="1:11">
      <c r="A751" s="273"/>
      <c r="B751" s="274"/>
      <c r="C751" s="278"/>
      <c r="D751" s="275">
        <v>0.49234</v>
      </c>
      <c r="E751" s="275">
        <v>0.49902999999999997</v>
      </c>
      <c r="F751" s="275">
        <v>1.51047</v>
      </c>
      <c r="G751" s="275">
        <v>1.5812999999999999</v>
      </c>
      <c r="H751" s="275"/>
      <c r="I751" s="275"/>
      <c r="J751" s="275"/>
      <c r="K751" s="264"/>
    </row>
    <row r="752" spans="1:11">
      <c r="A752" s="273"/>
      <c r="B752" s="274"/>
      <c r="C752" s="278"/>
      <c r="D752" s="275"/>
      <c r="E752" s="275"/>
      <c r="F752" s="275"/>
      <c r="G752" s="275"/>
      <c r="H752" s="275"/>
      <c r="I752" s="275"/>
      <c r="J752" s="275"/>
      <c r="K752" s="264"/>
    </row>
    <row r="753" spans="1:11">
      <c r="A753" s="273">
        <v>250</v>
      </c>
      <c r="B753" s="274">
        <v>79</v>
      </c>
      <c r="C753" s="278" t="s">
        <v>192</v>
      </c>
      <c r="D753" s="275" t="s">
        <v>451</v>
      </c>
      <c r="E753" s="275" t="s">
        <v>452</v>
      </c>
      <c r="F753" s="275" t="s">
        <v>453</v>
      </c>
      <c r="G753" s="275" t="s">
        <v>454</v>
      </c>
      <c r="H753" s="275"/>
      <c r="I753" s="275"/>
      <c r="J753" s="275"/>
      <c r="K753" s="264"/>
    </row>
    <row r="754" spans="1:11">
      <c r="A754" s="273"/>
      <c r="B754" s="274"/>
      <c r="C754" s="278"/>
      <c r="D754" s="275">
        <v>0.49210999999999999</v>
      </c>
      <c r="E754" s="275">
        <v>0.49880999999999998</v>
      </c>
      <c r="F754" s="275">
        <v>1.4484999999999999</v>
      </c>
      <c r="G754" s="275">
        <v>1.50342</v>
      </c>
      <c r="H754" s="275"/>
      <c r="I754" s="275"/>
      <c r="J754" s="275"/>
      <c r="K754" s="264"/>
    </row>
    <row r="755" spans="1:11">
      <c r="A755" s="273"/>
      <c r="B755" s="274"/>
      <c r="C755" s="278"/>
      <c r="D755" s="275"/>
      <c r="E755" s="275"/>
      <c r="F755" s="275"/>
      <c r="G755" s="275"/>
      <c r="H755" s="275"/>
      <c r="I755" s="275"/>
      <c r="J755" s="275"/>
      <c r="K755" s="264"/>
    </row>
    <row r="756" spans="1:11">
      <c r="A756" s="273">
        <v>251</v>
      </c>
      <c r="B756" s="274">
        <v>79</v>
      </c>
      <c r="C756" s="278" t="s">
        <v>193</v>
      </c>
      <c r="D756" s="275" t="s">
        <v>451</v>
      </c>
      <c r="E756" s="275" t="s">
        <v>452</v>
      </c>
      <c r="F756" s="275" t="s">
        <v>453</v>
      </c>
      <c r="G756" s="275" t="s">
        <v>454</v>
      </c>
      <c r="H756" s="275"/>
      <c r="I756" s="275"/>
      <c r="J756" s="275"/>
      <c r="K756" s="264"/>
    </row>
    <row r="757" spans="1:11">
      <c r="A757" s="273"/>
      <c r="B757" s="274"/>
      <c r="C757" s="278"/>
      <c r="D757" s="275">
        <v>0.49173</v>
      </c>
      <c r="E757" s="275">
        <v>0.49841999999999997</v>
      </c>
      <c r="F757" s="275">
        <v>1.3969199999999999</v>
      </c>
      <c r="G757" s="275">
        <v>1.44248</v>
      </c>
      <c r="H757" s="275"/>
      <c r="I757" s="275"/>
      <c r="J757" s="275"/>
      <c r="K757" s="264"/>
    </row>
    <row r="758" spans="1:11">
      <c r="A758" s="273"/>
      <c r="B758" s="274"/>
      <c r="C758" s="278"/>
      <c r="D758" s="275"/>
      <c r="E758" s="275"/>
      <c r="F758" s="275"/>
      <c r="G758" s="275"/>
      <c r="H758" s="275"/>
      <c r="I758" s="275"/>
      <c r="J758" s="275"/>
      <c r="K758" s="264"/>
    </row>
    <row r="759" spans="1:11">
      <c r="A759" s="273">
        <v>252</v>
      </c>
      <c r="B759" s="274">
        <v>79</v>
      </c>
      <c r="C759" s="278" t="s">
        <v>384</v>
      </c>
      <c r="D759" s="275" t="s">
        <v>451</v>
      </c>
      <c r="E759" s="275" t="s">
        <v>452</v>
      </c>
      <c r="F759" s="275" t="s">
        <v>453</v>
      </c>
      <c r="G759" s="275" t="s">
        <v>454</v>
      </c>
      <c r="H759" s="275"/>
      <c r="I759" s="275"/>
      <c r="J759" s="275"/>
      <c r="K759" s="264"/>
    </row>
    <row r="760" spans="1:11">
      <c r="A760" s="273"/>
      <c r="B760" s="274"/>
      <c r="C760" s="278"/>
      <c r="D760" s="275">
        <v>0.49051</v>
      </c>
      <c r="E760" s="275">
        <v>0.49714999999999998</v>
      </c>
      <c r="F760" s="275">
        <v>1.3143100000000001</v>
      </c>
      <c r="G760" s="275">
        <v>1.3490899999999999</v>
      </c>
      <c r="H760" s="275"/>
      <c r="I760" s="275"/>
      <c r="J760" s="275"/>
      <c r="K760" s="264"/>
    </row>
    <row r="761" spans="1:11">
      <c r="A761" s="273"/>
      <c r="B761" s="274"/>
      <c r="C761" s="278"/>
      <c r="D761" s="275"/>
      <c r="E761" s="275"/>
      <c r="F761" s="275"/>
      <c r="G761" s="275"/>
      <c r="H761" s="275"/>
      <c r="I761" s="275"/>
      <c r="J761" s="275"/>
      <c r="K761" s="264"/>
    </row>
    <row r="762" spans="1:11">
      <c r="A762" s="273">
        <v>253</v>
      </c>
      <c r="B762" s="274">
        <v>80</v>
      </c>
      <c r="C762" s="278" t="s">
        <v>194</v>
      </c>
      <c r="D762" s="275" t="s">
        <v>451</v>
      </c>
      <c r="E762" s="275" t="s">
        <v>452</v>
      </c>
      <c r="F762" s="275" t="s">
        <v>453</v>
      </c>
      <c r="G762" s="275" t="s">
        <v>454</v>
      </c>
      <c r="H762" s="275" t="s">
        <v>455</v>
      </c>
      <c r="I762" s="275"/>
      <c r="J762" s="275"/>
      <c r="K762" s="264"/>
    </row>
    <row r="763" spans="1:11">
      <c r="A763" s="273"/>
      <c r="B763" s="274"/>
      <c r="C763" s="278"/>
      <c r="D763" s="275">
        <v>0.4768</v>
      </c>
      <c r="E763" s="275">
        <v>0.48326000000000002</v>
      </c>
      <c r="F763" s="275">
        <v>1.4138200000000001</v>
      </c>
      <c r="G763" s="275">
        <v>1.4746999999999999</v>
      </c>
      <c r="H763" s="275">
        <v>2.6129199999999999</v>
      </c>
      <c r="I763" s="275"/>
      <c r="J763" s="275"/>
      <c r="K763" s="264"/>
    </row>
    <row r="764" spans="1:11">
      <c r="A764" s="273"/>
      <c r="B764" s="274"/>
      <c r="C764" s="278"/>
      <c r="D764" s="275"/>
      <c r="E764" s="275"/>
      <c r="F764" s="275"/>
      <c r="G764" s="275"/>
      <c r="H764" s="275"/>
      <c r="I764" s="275"/>
      <c r="J764" s="275"/>
      <c r="K764" s="264"/>
    </row>
    <row r="765" spans="1:11">
      <c r="A765" s="273">
        <v>254</v>
      </c>
      <c r="B765" s="274">
        <v>80</v>
      </c>
      <c r="C765" s="278" t="s">
        <v>195</v>
      </c>
      <c r="D765" s="275" t="s">
        <v>451</v>
      </c>
      <c r="E765" s="275" t="s">
        <v>452</v>
      </c>
      <c r="F765" s="275" t="s">
        <v>453</v>
      </c>
      <c r="G765" s="275" t="s">
        <v>454</v>
      </c>
      <c r="H765" s="275"/>
      <c r="I765" s="275"/>
      <c r="J765" s="275"/>
      <c r="K765" s="264"/>
    </row>
    <row r="766" spans="1:11">
      <c r="A766" s="273"/>
      <c r="B766" s="274"/>
      <c r="C766" s="278"/>
      <c r="D766" s="275">
        <v>0.47682000000000002</v>
      </c>
      <c r="E766" s="275">
        <v>0.48329</v>
      </c>
      <c r="F766" s="275">
        <v>1.3940600000000001</v>
      </c>
      <c r="G766" s="275">
        <v>1.4489399999999999</v>
      </c>
      <c r="H766" s="275"/>
      <c r="I766" s="275"/>
      <c r="J766" s="275"/>
      <c r="K766" s="264"/>
    </row>
    <row r="767" spans="1:11">
      <c r="A767" s="273"/>
      <c r="B767" s="274"/>
      <c r="C767" s="278"/>
      <c r="D767" s="275"/>
      <c r="E767" s="275"/>
      <c r="F767" s="275"/>
      <c r="G767" s="275"/>
      <c r="H767" s="275"/>
      <c r="I767" s="275"/>
      <c r="J767" s="275"/>
      <c r="K767" s="264"/>
    </row>
    <row r="768" spans="1:11">
      <c r="A768" s="273">
        <v>255</v>
      </c>
      <c r="B768" s="274">
        <v>81</v>
      </c>
      <c r="C768" s="278" t="s">
        <v>196</v>
      </c>
      <c r="D768" s="275" t="s">
        <v>451</v>
      </c>
      <c r="E768" s="275" t="s">
        <v>452</v>
      </c>
      <c r="F768" s="275" t="s">
        <v>453</v>
      </c>
      <c r="G768" s="275" t="s">
        <v>454</v>
      </c>
      <c r="H768" s="275" t="s">
        <v>455</v>
      </c>
      <c r="I768" s="275"/>
      <c r="J768" s="275"/>
      <c r="K768" s="264"/>
    </row>
    <row r="769" spans="1:11">
      <c r="A769" s="273"/>
      <c r="B769" s="274"/>
      <c r="C769" s="278"/>
      <c r="D769" s="275">
        <v>0.46239999999999998</v>
      </c>
      <c r="E769" s="275">
        <v>0.46866999999999998</v>
      </c>
      <c r="F769" s="275">
        <v>1.3333699999999999</v>
      </c>
      <c r="G769" s="275">
        <v>1.3874</v>
      </c>
      <c r="H769" s="275">
        <v>2.47194</v>
      </c>
      <c r="I769" s="275"/>
      <c r="J769" s="275"/>
      <c r="K769" s="264"/>
    </row>
    <row r="770" spans="1:11">
      <c r="A770" s="273"/>
      <c r="B770" s="274"/>
      <c r="C770" s="278"/>
      <c r="D770" s="275"/>
      <c r="E770" s="275"/>
      <c r="F770" s="275"/>
      <c r="G770" s="275"/>
      <c r="H770" s="275"/>
      <c r="I770" s="275"/>
      <c r="J770" s="275"/>
      <c r="K770" s="264"/>
    </row>
    <row r="771" spans="1:11">
      <c r="A771" s="273">
        <v>256</v>
      </c>
      <c r="B771" s="274">
        <v>81</v>
      </c>
      <c r="C771" s="278" t="s">
        <v>385</v>
      </c>
      <c r="D771" s="275" t="s">
        <v>451</v>
      </c>
      <c r="E771" s="275" t="s">
        <v>452</v>
      </c>
      <c r="F771" s="275" t="s">
        <v>453</v>
      </c>
      <c r="G771" s="275" t="s">
        <v>454</v>
      </c>
      <c r="H771" s="275"/>
      <c r="I771" s="275"/>
      <c r="J771" s="275"/>
      <c r="K771" s="264"/>
    </row>
    <row r="772" spans="1:11">
      <c r="A772" s="273"/>
      <c r="B772" s="274"/>
      <c r="C772" s="278"/>
      <c r="D772" s="275">
        <v>0.46238000000000001</v>
      </c>
      <c r="E772" s="275">
        <v>0.46866000000000002</v>
      </c>
      <c r="F772" s="275">
        <v>1.30281</v>
      </c>
      <c r="G772" s="275">
        <v>1.3488500000000001</v>
      </c>
      <c r="H772" s="275"/>
      <c r="I772" s="275"/>
      <c r="J772" s="275"/>
      <c r="K772" s="264"/>
    </row>
    <row r="773" spans="1:11">
      <c r="A773" s="273"/>
      <c r="B773" s="274"/>
      <c r="C773" s="278"/>
      <c r="D773" s="275"/>
      <c r="E773" s="275"/>
      <c r="F773" s="275"/>
      <c r="G773" s="275"/>
      <c r="H773" s="275"/>
      <c r="I773" s="275"/>
      <c r="J773" s="275"/>
      <c r="K773" s="264"/>
    </row>
    <row r="774" spans="1:11">
      <c r="A774" s="273">
        <v>257</v>
      </c>
      <c r="B774" s="274">
        <v>82</v>
      </c>
      <c r="C774" s="278" t="s">
        <v>386</v>
      </c>
      <c r="D774" s="275" t="s">
        <v>451</v>
      </c>
      <c r="E774" s="275" t="s">
        <v>452</v>
      </c>
      <c r="F774" s="275" t="s">
        <v>453</v>
      </c>
      <c r="G774" s="275" t="s">
        <v>454</v>
      </c>
      <c r="H774" s="275" t="s">
        <v>455</v>
      </c>
      <c r="I774" s="275"/>
      <c r="J774" s="275"/>
      <c r="K774" s="264"/>
    </row>
    <row r="775" spans="1:11">
      <c r="A775" s="273"/>
      <c r="B775" s="274"/>
      <c r="C775" s="278"/>
      <c r="D775" s="275">
        <v>0.44899</v>
      </c>
      <c r="E775" s="275">
        <v>0.4551</v>
      </c>
      <c r="F775" s="275">
        <v>1.25353</v>
      </c>
      <c r="G775" s="275">
        <v>1.2995000000000001</v>
      </c>
      <c r="H775" s="275">
        <v>2.2337099999999999</v>
      </c>
      <c r="I775" s="275"/>
      <c r="J775" s="275"/>
      <c r="K775" s="264"/>
    </row>
    <row r="776" spans="1:11">
      <c r="A776" s="273"/>
      <c r="B776" s="274"/>
      <c r="C776" s="278"/>
      <c r="D776" s="275"/>
      <c r="E776" s="275"/>
      <c r="F776" s="275"/>
      <c r="G776" s="275"/>
      <c r="H776" s="275"/>
      <c r="I776" s="275"/>
      <c r="J776" s="275"/>
      <c r="K776" s="264"/>
    </row>
    <row r="777" spans="1:11">
      <c r="A777" s="273">
        <v>258</v>
      </c>
      <c r="B777" s="274">
        <v>82</v>
      </c>
      <c r="C777" s="278" t="s">
        <v>387</v>
      </c>
      <c r="D777" s="275" t="s">
        <v>451</v>
      </c>
      <c r="E777" s="275" t="s">
        <v>452</v>
      </c>
      <c r="F777" s="275" t="s">
        <v>453</v>
      </c>
      <c r="G777" s="275" t="s">
        <v>454</v>
      </c>
      <c r="H777" s="275"/>
      <c r="I777" s="275"/>
      <c r="J777" s="275"/>
      <c r="K777" s="264"/>
    </row>
    <row r="778" spans="1:11">
      <c r="A778" s="273"/>
      <c r="B778" s="274"/>
      <c r="C778" s="278"/>
      <c r="D778" s="275">
        <v>0.44890000000000002</v>
      </c>
      <c r="E778" s="275">
        <v>0.45501000000000003</v>
      </c>
      <c r="F778" s="275">
        <v>1.2279500000000001</v>
      </c>
      <c r="G778" s="275">
        <v>1.2682899999999999</v>
      </c>
      <c r="H778" s="275"/>
      <c r="I778" s="275"/>
      <c r="J778" s="275"/>
      <c r="K778" s="264"/>
    </row>
    <row r="779" spans="1:11">
      <c r="A779" s="273"/>
      <c r="B779" s="274"/>
      <c r="C779" s="278"/>
      <c r="D779" s="275"/>
      <c r="E779" s="275"/>
      <c r="F779" s="275"/>
      <c r="G779" s="275"/>
      <c r="H779" s="275"/>
      <c r="I779" s="275"/>
      <c r="J779" s="275"/>
      <c r="K779" s="264"/>
    </row>
    <row r="780" spans="1:11">
      <c r="A780" s="273">
        <v>259</v>
      </c>
      <c r="B780" s="274">
        <v>83</v>
      </c>
      <c r="C780" s="278" t="s">
        <v>388</v>
      </c>
      <c r="D780" s="275" t="s">
        <v>451</v>
      </c>
      <c r="E780" s="275" t="s">
        <v>452</v>
      </c>
      <c r="F780" s="275" t="s">
        <v>453</v>
      </c>
      <c r="G780" s="275" t="s">
        <v>454</v>
      </c>
      <c r="H780" s="275" t="s">
        <v>455</v>
      </c>
      <c r="I780" s="275"/>
      <c r="J780" s="275"/>
      <c r="K780" s="264"/>
    </row>
    <row r="781" spans="1:11">
      <c r="A781" s="273"/>
      <c r="B781" s="274"/>
      <c r="C781" s="278"/>
      <c r="D781" s="275">
        <v>0.43642999999999998</v>
      </c>
      <c r="E781" s="275">
        <v>0.44240000000000002</v>
      </c>
      <c r="F781" s="275">
        <v>1.1864300000000001</v>
      </c>
      <c r="G781" s="275">
        <v>1.2270399999999999</v>
      </c>
      <c r="H781" s="275">
        <v>2.0579200000000002</v>
      </c>
      <c r="I781" s="275"/>
      <c r="J781" s="275"/>
      <c r="K781" s="264"/>
    </row>
    <row r="782" spans="1:11">
      <c r="A782" s="273"/>
      <c r="B782" s="274"/>
      <c r="C782" s="278"/>
      <c r="D782" s="275"/>
      <c r="E782" s="275"/>
      <c r="F782" s="275"/>
      <c r="G782" s="275"/>
      <c r="H782" s="275"/>
      <c r="I782" s="275"/>
      <c r="J782" s="275"/>
      <c r="K782" s="264"/>
    </row>
    <row r="783" spans="1:11">
      <c r="A783" s="273">
        <v>260</v>
      </c>
      <c r="B783" s="274">
        <v>83</v>
      </c>
      <c r="C783" s="278" t="s">
        <v>389</v>
      </c>
      <c r="D783" s="275" t="s">
        <v>451</v>
      </c>
      <c r="E783" s="275" t="s">
        <v>452</v>
      </c>
      <c r="F783" s="275" t="s">
        <v>453</v>
      </c>
      <c r="G783" s="275" t="s">
        <v>454</v>
      </c>
      <c r="H783" s="275"/>
      <c r="I783" s="275"/>
      <c r="J783" s="275"/>
      <c r="K783" s="264"/>
    </row>
    <row r="784" spans="1:11">
      <c r="A784" s="273"/>
      <c r="B784" s="274"/>
      <c r="C784" s="278"/>
      <c r="D784" s="275">
        <v>0.43629000000000001</v>
      </c>
      <c r="E784" s="275">
        <v>0.44224999999999998</v>
      </c>
      <c r="F784" s="275">
        <v>1.16459</v>
      </c>
      <c r="G784" s="275">
        <v>1.20092</v>
      </c>
      <c r="H784" s="275"/>
      <c r="I784" s="275"/>
      <c r="J784" s="275"/>
      <c r="K784" s="264"/>
    </row>
    <row r="785" spans="1:11">
      <c r="A785" s="273"/>
      <c r="B785" s="274"/>
      <c r="C785" s="278"/>
      <c r="D785" s="275"/>
      <c r="E785" s="275"/>
      <c r="F785" s="275"/>
      <c r="G785" s="275"/>
      <c r="H785" s="275"/>
      <c r="I785" s="275"/>
      <c r="J785" s="275"/>
      <c r="K785" s="264"/>
    </row>
    <row r="786" spans="1:11">
      <c r="A786" s="273">
        <v>261</v>
      </c>
      <c r="B786" s="274">
        <v>84</v>
      </c>
      <c r="C786" s="278" t="s">
        <v>390</v>
      </c>
      <c r="D786" s="275" t="s">
        <v>451</v>
      </c>
      <c r="E786" s="275" t="s">
        <v>452</v>
      </c>
      <c r="F786" s="275" t="s">
        <v>453</v>
      </c>
      <c r="G786" s="275" t="s">
        <v>454</v>
      </c>
      <c r="H786" s="275" t="s">
        <v>455</v>
      </c>
      <c r="I786" s="275" t="s">
        <v>456</v>
      </c>
      <c r="J786" s="275" t="s">
        <v>457</v>
      </c>
      <c r="K786" s="264"/>
    </row>
    <row r="787" spans="1:11">
      <c r="A787" s="273"/>
      <c r="B787" s="274"/>
      <c r="C787" s="278"/>
      <c r="D787" s="275">
        <v>0.42473</v>
      </c>
      <c r="E787" s="275">
        <v>0.43058000000000002</v>
      </c>
      <c r="F787" s="275">
        <v>1.1397900000000001</v>
      </c>
      <c r="G787" s="275">
        <v>1.17808</v>
      </c>
      <c r="H787" s="275">
        <v>2.0143900000000001</v>
      </c>
      <c r="I787" s="275">
        <v>2.3330000000000002</v>
      </c>
      <c r="J787" s="275">
        <v>2.57077</v>
      </c>
      <c r="K787" s="264"/>
    </row>
    <row r="788" spans="1:11">
      <c r="A788" s="273"/>
      <c r="B788" s="274"/>
      <c r="C788" s="278"/>
      <c r="D788" s="275"/>
      <c r="E788" s="275"/>
      <c r="F788" s="275"/>
      <c r="G788" s="275"/>
      <c r="H788" s="275"/>
      <c r="I788" s="275"/>
      <c r="J788" s="275"/>
      <c r="K788" s="264"/>
    </row>
    <row r="789" spans="1:11">
      <c r="A789" s="273">
        <v>262</v>
      </c>
      <c r="B789" s="274">
        <v>84</v>
      </c>
      <c r="C789" s="278" t="s">
        <v>391</v>
      </c>
      <c r="D789" s="275" t="s">
        <v>451</v>
      </c>
      <c r="E789" s="275" t="s">
        <v>452</v>
      </c>
      <c r="F789" s="275" t="s">
        <v>453</v>
      </c>
      <c r="G789" s="275" t="s">
        <v>454</v>
      </c>
      <c r="H789" s="275" t="s">
        <v>455</v>
      </c>
      <c r="I789" s="275"/>
      <c r="J789" s="275"/>
      <c r="K789" s="264"/>
    </row>
    <row r="790" spans="1:11">
      <c r="A790" s="273"/>
      <c r="B790" s="274"/>
      <c r="C790" s="278"/>
      <c r="D790" s="275">
        <v>0.42464000000000002</v>
      </c>
      <c r="E790" s="275">
        <v>0.43047999999999997</v>
      </c>
      <c r="F790" s="275">
        <v>1.1287199999999999</v>
      </c>
      <c r="G790" s="275">
        <v>1.1654800000000001</v>
      </c>
      <c r="H790" s="275">
        <v>1.9187799999999999</v>
      </c>
      <c r="I790" s="275"/>
      <c r="J790" s="275"/>
      <c r="K790" s="264"/>
    </row>
    <row r="791" spans="1:11">
      <c r="A791" s="273"/>
      <c r="B791" s="274"/>
      <c r="C791" s="278"/>
      <c r="D791" s="275"/>
      <c r="E791" s="275"/>
      <c r="F791" s="275"/>
      <c r="G791" s="275"/>
      <c r="H791" s="275"/>
      <c r="I791" s="275"/>
      <c r="J791" s="275"/>
      <c r="K791" s="264"/>
    </row>
    <row r="792" spans="1:11">
      <c r="A792" s="273">
        <v>263</v>
      </c>
      <c r="B792" s="274">
        <v>84</v>
      </c>
      <c r="C792" s="278" t="s">
        <v>392</v>
      </c>
      <c r="D792" s="275" t="s">
        <v>451</v>
      </c>
      <c r="E792" s="275" t="s">
        <v>452</v>
      </c>
      <c r="F792" s="275" t="s">
        <v>453</v>
      </c>
      <c r="G792" s="275" t="s">
        <v>454</v>
      </c>
      <c r="H792" s="275"/>
      <c r="I792" s="275"/>
      <c r="J792" s="275"/>
      <c r="K792" s="264"/>
    </row>
    <row r="793" spans="1:11">
      <c r="A793" s="273"/>
      <c r="B793" s="274"/>
      <c r="C793" s="278"/>
      <c r="D793" s="275">
        <v>0.42444999999999999</v>
      </c>
      <c r="E793" s="275">
        <v>0.43029000000000001</v>
      </c>
      <c r="F793" s="275">
        <v>1.1097399999999999</v>
      </c>
      <c r="G793" s="275">
        <v>1.1430899999999999</v>
      </c>
      <c r="H793" s="275"/>
      <c r="I793" s="275"/>
      <c r="J793" s="275"/>
      <c r="K793" s="264"/>
    </row>
    <row r="794" spans="1:11">
      <c r="A794" s="273"/>
      <c r="B794" s="274"/>
      <c r="C794" s="278"/>
      <c r="D794" s="275"/>
      <c r="E794" s="275"/>
      <c r="F794" s="275"/>
      <c r="G794" s="275"/>
      <c r="H794" s="275"/>
      <c r="I794" s="275"/>
      <c r="J794" s="275"/>
      <c r="K794" s="264"/>
    </row>
    <row r="795" spans="1:11">
      <c r="A795" s="273">
        <v>264</v>
      </c>
      <c r="B795" s="274">
        <v>85</v>
      </c>
      <c r="C795" s="278" t="s">
        <v>197</v>
      </c>
      <c r="D795" s="275" t="s">
        <v>451</v>
      </c>
      <c r="E795" s="275" t="s">
        <v>452</v>
      </c>
      <c r="F795" s="275" t="s">
        <v>453</v>
      </c>
      <c r="G795" s="275" t="s">
        <v>454</v>
      </c>
      <c r="H795" s="275" t="s">
        <v>455</v>
      </c>
      <c r="I795" s="275" t="s">
        <v>456</v>
      </c>
      <c r="J795" s="275" t="s">
        <v>457</v>
      </c>
      <c r="K795" s="264"/>
    </row>
    <row r="796" spans="1:11">
      <c r="A796" s="273"/>
      <c r="B796" s="274"/>
      <c r="C796" s="278"/>
      <c r="D796" s="275">
        <v>0.41372999999999999</v>
      </c>
      <c r="E796" s="275">
        <v>0.41947000000000001</v>
      </c>
      <c r="F796" s="275">
        <v>1.0964100000000001</v>
      </c>
      <c r="G796" s="275">
        <v>1.1324399999999999</v>
      </c>
      <c r="H796" s="275">
        <v>1.9686300000000001</v>
      </c>
      <c r="I796" s="275">
        <v>2.2893400000000002</v>
      </c>
      <c r="J796" s="275">
        <v>2.56846</v>
      </c>
      <c r="K796" s="264"/>
    </row>
    <row r="797" spans="1:11">
      <c r="A797" s="273"/>
      <c r="B797" s="274"/>
      <c r="C797" s="278"/>
      <c r="D797" s="275"/>
      <c r="E797" s="275"/>
      <c r="F797" s="275"/>
      <c r="G797" s="275"/>
      <c r="H797" s="275"/>
      <c r="I797" s="275"/>
      <c r="J797" s="275"/>
      <c r="K797" s="264"/>
    </row>
    <row r="798" spans="1:11">
      <c r="A798" s="273">
        <v>265</v>
      </c>
      <c r="B798" s="274">
        <v>85</v>
      </c>
      <c r="C798" s="278" t="s">
        <v>393</v>
      </c>
      <c r="D798" s="275" t="s">
        <v>451</v>
      </c>
      <c r="E798" s="275" t="s">
        <v>452</v>
      </c>
      <c r="F798" s="275" t="s">
        <v>453</v>
      </c>
      <c r="G798" s="275" t="s">
        <v>454</v>
      </c>
      <c r="H798" s="275" t="s">
        <v>455</v>
      </c>
      <c r="I798" s="275" t="s">
        <v>456</v>
      </c>
      <c r="J798" s="275" t="s">
        <v>457</v>
      </c>
      <c r="K798" s="264"/>
    </row>
    <row r="799" spans="1:11">
      <c r="A799" s="273"/>
      <c r="B799" s="274"/>
      <c r="C799" s="278"/>
      <c r="D799" s="275">
        <v>0.41366999999999998</v>
      </c>
      <c r="E799" s="275">
        <v>0.41941000000000001</v>
      </c>
      <c r="F799" s="275">
        <v>1.0887100000000001</v>
      </c>
      <c r="G799" s="275">
        <v>1.1238699999999999</v>
      </c>
      <c r="H799" s="275">
        <v>1.8819699999999999</v>
      </c>
      <c r="I799" s="275">
        <v>2.1324100000000001</v>
      </c>
      <c r="J799" s="275">
        <v>2.3365100000000001</v>
      </c>
      <c r="K799" s="264"/>
    </row>
    <row r="800" spans="1:11">
      <c r="A800" s="273"/>
      <c r="B800" s="274"/>
      <c r="C800" s="278"/>
      <c r="D800" s="275"/>
      <c r="E800" s="275"/>
      <c r="F800" s="275"/>
      <c r="G800" s="275"/>
      <c r="H800" s="275"/>
      <c r="I800" s="275"/>
      <c r="J800" s="275"/>
      <c r="K800" s="264"/>
    </row>
    <row r="801" spans="1:11">
      <c r="A801" s="273">
        <v>266</v>
      </c>
      <c r="B801" s="274">
        <v>85</v>
      </c>
      <c r="C801" s="278" t="s">
        <v>394</v>
      </c>
      <c r="D801" s="275" t="s">
        <v>451</v>
      </c>
      <c r="E801" s="275" t="s">
        <v>452</v>
      </c>
      <c r="F801" s="275" t="s">
        <v>453</v>
      </c>
      <c r="G801" s="275" t="s">
        <v>454</v>
      </c>
      <c r="H801" s="275" t="s">
        <v>455</v>
      </c>
      <c r="I801" s="275"/>
      <c r="J801" s="275"/>
      <c r="K801" s="264"/>
    </row>
    <row r="802" spans="1:11">
      <c r="A802" s="273"/>
      <c r="B802" s="274"/>
      <c r="C802" s="278"/>
      <c r="D802" s="275">
        <v>0.41354000000000002</v>
      </c>
      <c r="E802" s="275">
        <v>0.41927999999999999</v>
      </c>
      <c r="F802" s="275">
        <v>1.07819</v>
      </c>
      <c r="G802" s="275">
        <v>1.1120399999999999</v>
      </c>
      <c r="H802" s="275">
        <v>1.80389</v>
      </c>
      <c r="I802" s="275"/>
      <c r="J802" s="275"/>
      <c r="K802" s="264"/>
    </row>
    <row r="803" spans="1:11">
      <c r="A803" s="273"/>
      <c r="B803" s="274"/>
      <c r="C803" s="278"/>
      <c r="D803" s="275"/>
      <c r="E803" s="275"/>
      <c r="F803" s="275"/>
      <c r="G803" s="275"/>
      <c r="H803" s="275"/>
      <c r="I803" s="275"/>
      <c r="J803" s="275"/>
      <c r="K803" s="264"/>
    </row>
    <row r="804" spans="1:11">
      <c r="A804" s="273">
        <v>267</v>
      </c>
      <c r="B804" s="274">
        <v>85</v>
      </c>
      <c r="C804" s="278" t="s">
        <v>395</v>
      </c>
      <c r="D804" s="275" t="s">
        <v>451</v>
      </c>
      <c r="E804" s="275" t="s">
        <v>452</v>
      </c>
      <c r="F804" s="275" t="s">
        <v>453</v>
      </c>
      <c r="G804" s="275" t="s">
        <v>454</v>
      </c>
      <c r="H804" s="275"/>
      <c r="I804" s="275"/>
      <c r="J804" s="275"/>
      <c r="K804" s="264"/>
    </row>
    <row r="805" spans="1:11">
      <c r="A805" s="273"/>
      <c r="B805" s="274"/>
      <c r="C805" s="278"/>
      <c r="D805" s="275">
        <v>0.41332000000000002</v>
      </c>
      <c r="E805" s="275">
        <v>0.41904000000000002</v>
      </c>
      <c r="F805" s="275">
        <v>1.06145</v>
      </c>
      <c r="G805" s="275">
        <v>1.0924799999999999</v>
      </c>
      <c r="H805" s="275"/>
      <c r="I805" s="275"/>
      <c r="J805" s="275"/>
      <c r="K805" s="264"/>
    </row>
    <row r="806" spans="1:11">
      <c r="A806" s="273"/>
      <c r="B806" s="274"/>
      <c r="C806" s="278"/>
      <c r="D806" s="275"/>
      <c r="E806" s="275"/>
      <c r="F806" s="275"/>
      <c r="G806" s="275"/>
      <c r="H806" s="275"/>
      <c r="I806" s="275"/>
      <c r="J806" s="275"/>
      <c r="K806" s="264"/>
    </row>
    <row r="807" spans="1:11">
      <c r="A807" s="273">
        <v>268</v>
      </c>
      <c r="B807" s="274">
        <v>85</v>
      </c>
      <c r="C807" s="278" t="s">
        <v>396</v>
      </c>
      <c r="D807" s="275" t="s">
        <v>451</v>
      </c>
      <c r="E807" s="275" t="s">
        <v>452</v>
      </c>
      <c r="F807" s="275" t="s">
        <v>453</v>
      </c>
      <c r="G807" s="275" t="s">
        <v>454</v>
      </c>
      <c r="H807" s="275" t="s">
        <v>455</v>
      </c>
      <c r="I807" s="275" t="s">
        <v>456</v>
      </c>
      <c r="J807" s="275" t="s">
        <v>457</v>
      </c>
      <c r="K807" s="264"/>
    </row>
    <row r="808" spans="1:11">
      <c r="A808" s="273"/>
      <c r="B808" s="274"/>
      <c r="C808" s="278"/>
      <c r="D808" s="275">
        <v>0.41372999999999999</v>
      </c>
      <c r="E808" s="275">
        <v>0.41948000000000002</v>
      </c>
      <c r="F808" s="275">
        <v>1.1004799999999999</v>
      </c>
      <c r="G808" s="275">
        <v>1.1362399999999999</v>
      </c>
      <c r="H808" s="275">
        <v>2.05322</v>
      </c>
      <c r="I808" s="275">
        <v>2.49152</v>
      </c>
      <c r="J808" s="275">
        <v>3.0351699999999999</v>
      </c>
      <c r="K808" s="264"/>
    </row>
    <row r="809" spans="1:11">
      <c r="A809" s="273"/>
      <c r="B809" s="274"/>
      <c r="C809" s="278"/>
      <c r="D809" s="275"/>
      <c r="E809" s="275"/>
      <c r="F809" s="275"/>
      <c r="G809" s="275"/>
      <c r="H809" s="275"/>
      <c r="I809" s="275"/>
      <c r="J809" s="275"/>
      <c r="K809" s="264"/>
    </row>
    <row r="810" spans="1:11">
      <c r="A810" s="273">
        <v>269</v>
      </c>
      <c r="B810" s="274">
        <v>87</v>
      </c>
      <c r="C810" s="278" t="s">
        <v>198</v>
      </c>
      <c r="D810" s="275" t="s">
        <v>451</v>
      </c>
      <c r="E810" s="275" t="s">
        <v>452</v>
      </c>
      <c r="F810" s="275" t="s">
        <v>453</v>
      </c>
      <c r="G810" s="275" t="s">
        <v>454</v>
      </c>
      <c r="H810" s="275" t="s">
        <v>455</v>
      </c>
      <c r="I810" s="275" t="s">
        <v>456</v>
      </c>
      <c r="J810" s="275" t="s">
        <v>457</v>
      </c>
      <c r="K810" s="264"/>
    </row>
    <row r="811" spans="1:11">
      <c r="A811" s="273"/>
      <c r="B811" s="274"/>
      <c r="C811" s="278"/>
      <c r="D811" s="275">
        <v>0.39351999999999998</v>
      </c>
      <c r="E811" s="275">
        <v>0.39909</v>
      </c>
      <c r="F811" s="275">
        <v>1.0156799999999999</v>
      </c>
      <c r="G811" s="275">
        <v>1.04766</v>
      </c>
      <c r="H811" s="275">
        <v>1.8048500000000001</v>
      </c>
      <c r="I811" s="275">
        <v>2.0542899999999999</v>
      </c>
      <c r="J811" s="275">
        <v>2.3197800000000002</v>
      </c>
      <c r="K811" s="264"/>
    </row>
    <row r="812" spans="1:11">
      <c r="A812" s="273"/>
      <c r="B812" s="274"/>
      <c r="C812" s="278"/>
      <c r="D812" s="275"/>
      <c r="E812" s="275"/>
      <c r="F812" s="275"/>
      <c r="G812" s="275"/>
      <c r="H812" s="275"/>
      <c r="I812" s="275"/>
      <c r="J812" s="275"/>
      <c r="K812" s="264"/>
    </row>
    <row r="813" spans="1:11">
      <c r="A813" s="273">
        <v>270</v>
      </c>
      <c r="B813" s="274">
        <v>88</v>
      </c>
      <c r="C813" s="278" t="s">
        <v>397</v>
      </c>
      <c r="D813" s="275" t="s">
        <v>451</v>
      </c>
      <c r="E813" s="275" t="s">
        <v>452</v>
      </c>
      <c r="F813" s="275" t="s">
        <v>453</v>
      </c>
      <c r="G813" s="275" t="s">
        <v>454</v>
      </c>
      <c r="H813" s="275" t="s">
        <v>455</v>
      </c>
      <c r="I813" s="275" t="s">
        <v>456</v>
      </c>
      <c r="J813" s="275" t="s">
        <v>457</v>
      </c>
      <c r="K813" s="264"/>
    </row>
    <row r="814" spans="1:11">
      <c r="A814" s="273"/>
      <c r="B814" s="274"/>
      <c r="C814" s="278"/>
      <c r="D814" s="275">
        <v>0.38419999999999999</v>
      </c>
      <c r="E814" s="275">
        <v>0.38971</v>
      </c>
      <c r="F814" s="275">
        <v>0.97851999999999995</v>
      </c>
      <c r="G814" s="275">
        <v>1.0088699999999999</v>
      </c>
      <c r="H814" s="275">
        <v>1.7053400000000001</v>
      </c>
      <c r="I814" s="275">
        <v>1.9077999999999999</v>
      </c>
      <c r="J814" s="275">
        <v>2.1323799999999999</v>
      </c>
      <c r="K814" s="264"/>
    </row>
    <row r="815" spans="1:11">
      <c r="A815" s="273"/>
      <c r="B815" s="274"/>
      <c r="C815" s="278"/>
      <c r="D815" s="275"/>
      <c r="E815" s="275"/>
      <c r="F815" s="275"/>
      <c r="G815" s="275"/>
      <c r="H815" s="275"/>
      <c r="I815" s="275"/>
      <c r="J815" s="275"/>
      <c r="K815" s="264"/>
    </row>
    <row r="816" spans="1:11">
      <c r="A816" s="273">
        <v>271</v>
      </c>
      <c r="B816" s="274">
        <v>89</v>
      </c>
      <c r="C816" s="278" t="s">
        <v>398</v>
      </c>
      <c r="D816" s="275" t="s">
        <v>451</v>
      </c>
      <c r="E816" s="275" t="s">
        <v>452</v>
      </c>
      <c r="F816" s="275" t="s">
        <v>453</v>
      </c>
      <c r="G816" s="275" t="s">
        <v>454</v>
      </c>
      <c r="H816" s="275" t="s">
        <v>455</v>
      </c>
      <c r="I816" s="275" t="s">
        <v>456</v>
      </c>
      <c r="J816" s="275" t="s">
        <v>457</v>
      </c>
      <c r="K816" s="264"/>
    </row>
    <row r="817" spans="1:11">
      <c r="A817" s="273"/>
      <c r="B817" s="274"/>
      <c r="C817" s="278"/>
      <c r="D817" s="275">
        <v>0.37535000000000002</v>
      </c>
      <c r="E817" s="275">
        <v>0.38080000000000003</v>
      </c>
      <c r="F817" s="275">
        <v>0.94433999999999996</v>
      </c>
      <c r="G817" s="275">
        <v>0.97328000000000003</v>
      </c>
      <c r="H817" s="275">
        <v>1.61893</v>
      </c>
      <c r="I817" s="275">
        <v>1.7882199999999999</v>
      </c>
      <c r="J817" s="275">
        <v>1.9866299999999999</v>
      </c>
      <c r="K817" s="264"/>
    </row>
    <row r="818" spans="1:11">
      <c r="A818" s="273"/>
      <c r="B818" s="274"/>
      <c r="C818" s="278"/>
      <c r="D818" s="275"/>
      <c r="E818" s="275"/>
      <c r="F818" s="275"/>
      <c r="G818" s="275"/>
      <c r="H818" s="275"/>
      <c r="I818" s="275"/>
      <c r="J818" s="275"/>
      <c r="K818" s="264"/>
    </row>
    <row r="819" spans="1:11">
      <c r="A819" s="273">
        <v>272</v>
      </c>
      <c r="B819" s="274">
        <v>90</v>
      </c>
      <c r="C819" s="278" t="s">
        <v>399</v>
      </c>
      <c r="D819" s="275" t="s">
        <v>458</v>
      </c>
      <c r="E819" s="275" t="s">
        <v>459</v>
      </c>
      <c r="F819" s="275" t="s">
        <v>460</v>
      </c>
      <c r="G819" s="275" t="s">
        <v>461</v>
      </c>
      <c r="H819" s="275"/>
      <c r="I819" s="275"/>
      <c r="J819" s="275"/>
      <c r="K819" s="264"/>
    </row>
    <row r="820" spans="1:11">
      <c r="A820" s="273"/>
      <c r="B820" s="274"/>
      <c r="C820" s="278"/>
      <c r="D820" s="275">
        <v>1.6031</v>
      </c>
      <c r="E820" s="275">
        <v>1.6423399999999999</v>
      </c>
      <c r="F820" s="275">
        <v>2.8765700000000001</v>
      </c>
      <c r="G820" s="275">
        <v>2.9654799999999999</v>
      </c>
      <c r="H820" s="275"/>
      <c r="I820" s="275"/>
      <c r="J820" s="275"/>
      <c r="K820" s="264"/>
    </row>
    <row r="821" spans="1:11">
      <c r="A821" s="273"/>
      <c r="B821" s="274"/>
      <c r="C821" s="278"/>
      <c r="D821" s="275"/>
      <c r="E821" s="275"/>
      <c r="F821" s="275"/>
      <c r="G821" s="275"/>
      <c r="H821" s="275"/>
      <c r="I821" s="275"/>
      <c r="J821" s="275"/>
      <c r="K821" s="264"/>
    </row>
    <row r="822" spans="1:11">
      <c r="A822" s="273">
        <v>273</v>
      </c>
      <c r="B822" s="274">
        <v>90</v>
      </c>
      <c r="C822" s="278" t="s">
        <v>199</v>
      </c>
      <c r="D822" s="275" t="s">
        <v>458</v>
      </c>
      <c r="E822" s="275" t="s">
        <v>459</v>
      </c>
      <c r="F822" s="275"/>
      <c r="G822" s="275"/>
      <c r="H822" s="275"/>
      <c r="I822" s="275"/>
      <c r="J822" s="275"/>
      <c r="K822" s="264"/>
    </row>
    <row r="823" spans="1:11">
      <c r="A823" s="273"/>
      <c r="B823" s="274"/>
      <c r="C823" s="278"/>
      <c r="D823" s="275">
        <v>1.5444899999999999</v>
      </c>
      <c r="E823" s="275">
        <v>1.5767800000000001</v>
      </c>
      <c r="F823" s="275"/>
      <c r="G823" s="275"/>
      <c r="H823" s="275"/>
      <c r="I823" s="275"/>
      <c r="J823" s="275"/>
      <c r="K823" s="264"/>
    </row>
    <row r="824" spans="1:11">
      <c r="A824" s="273"/>
      <c r="B824" s="274"/>
      <c r="C824" s="278"/>
      <c r="D824" s="275"/>
      <c r="E824" s="275"/>
      <c r="F824" s="275"/>
      <c r="G824" s="275"/>
      <c r="H824" s="275"/>
      <c r="I824" s="275"/>
      <c r="J824" s="275"/>
      <c r="K824" s="264"/>
    </row>
    <row r="825" spans="1:11">
      <c r="A825" s="273">
        <v>274</v>
      </c>
      <c r="B825" s="274">
        <v>90</v>
      </c>
      <c r="C825" s="278" t="s">
        <v>200</v>
      </c>
      <c r="D825" s="275" t="s">
        <v>451</v>
      </c>
      <c r="E825" s="275" t="s">
        <v>452</v>
      </c>
      <c r="F825" s="275" t="s">
        <v>453</v>
      </c>
      <c r="G825" s="275" t="s">
        <v>454</v>
      </c>
      <c r="H825" s="275" t="s">
        <v>455</v>
      </c>
      <c r="I825" s="275" t="s">
        <v>456</v>
      </c>
      <c r="J825" s="275" t="s">
        <v>457</v>
      </c>
      <c r="K825" s="264"/>
    </row>
    <row r="826" spans="1:11">
      <c r="A826" s="273"/>
      <c r="B826" s="274"/>
      <c r="C826" s="278"/>
      <c r="D826" s="275">
        <v>0.36693999999999999</v>
      </c>
      <c r="E826" s="275">
        <v>0.37232999999999999</v>
      </c>
      <c r="F826" s="275">
        <v>0.91278999999999999</v>
      </c>
      <c r="G826" s="275">
        <v>0.9405</v>
      </c>
      <c r="H826" s="275">
        <v>1.5429299999999999</v>
      </c>
      <c r="I826" s="275">
        <v>1.68754</v>
      </c>
      <c r="J826" s="275">
        <v>1.8676200000000001</v>
      </c>
      <c r="K826" s="264"/>
    </row>
    <row r="827" spans="1:11">
      <c r="A827" s="273"/>
      <c r="B827" s="274"/>
      <c r="C827" s="278"/>
      <c r="D827" s="275"/>
      <c r="E827" s="275"/>
      <c r="F827" s="275"/>
      <c r="G827" s="275"/>
      <c r="H827" s="275"/>
      <c r="I827" s="275"/>
      <c r="J827" s="275"/>
      <c r="K827" s="264"/>
    </row>
    <row r="828" spans="1:11">
      <c r="A828" s="273">
        <v>275</v>
      </c>
      <c r="B828" s="274">
        <v>91</v>
      </c>
      <c r="C828" s="278" t="s">
        <v>400</v>
      </c>
      <c r="D828" s="275" t="s">
        <v>458</v>
      </c>
      <c r="E828" s="275" t="s">
        <v>459</v>
      </c>
      <c r="F828" s="275"/>
      <c r="G828" s="275"/>
      <c r="H828" s="275"/>
      <c r="I828" s="275"/>
      <c r="J828" s="275"/>
      <c r="K828" s="264"/>
    </row>
    <row r="829" spans="1:11">
      <c r="A829" s="273"/>
      <c r="B829" s="274"/>
      <c r="C829" s="278"/>
      <c r="D829" s="275">
        <v>1.45194</v>
      </c>
      <c r="E829" s="275">
        <v>1.4834799999999999</v>
      </c>
      <c r="F829" s="275"/>
      <c r="G829" s="275"/>
      <c r="H829" s="275"/>
      <c r="I829" s="275"/>
      <c r="J829" s="275"/>
      <c r="K829" s="264"/>
    </row>
    <row r="830" spans="1:11">
      <c r="A830" s="273"/>
      <c r="B830" s="274"/>
      <c r="C830" s="278"/>
      <c r="D830" s="275"/>
      <c r="E830" s="275"/>
      <c r="F830" s="275"/>
      <c r="G830" s="275"/>
      <c r="H830" s="275"/>
      <c r="I830" s="275"/>
      <c r="J830" s="275"/>
      <c r="K830" s="264"/>
    </row>
    <row r="831" spans="1:11">
      <c r="A831" s="273">
        <v>276</v>
      </c>
      <c r="B831" s="274">
        <v>91</v>
      </c>
      <c r="C831" s="278" t="s">
        <v>201</v>
      </c>
      <c r="D831" s="275" t="s">
        <v>458</v>
      </c>
      <c r="E831" s="275" t="s">
        <v>459</v>
      </c>
      <c r="F831" s="275"/>
      <c r="G831" s="275"/>
      <c r="H831" s="275"/>
      <c r="I831" s="275"/>
      <c r="J831" s="275"/>
      <c r="K831" s="264"/>
    </row>
    <row r="832" spans="1:11">
      <c r="A832" s="273"/>
      <c r="B832" s="274"/>
      <c r="C832" s="278"/>
      <c r="D832" s="275">
        <v>1.3588</v>
      </c>
      <c r="E832" s="275">
        <v>1.3826400000000001</v>
      </c>
      <c r="F832" s="275"/>
      <c r="G832" s="275"/>
      <c r="H832" s="275"/>
      <c r="I832" s="275"/>
      <c r="J832" s="275"/>
      <c r="K832" s="264"/>
    </row>
    <row r="833" spans="1:11">
      <c r="A833" s="273"/>
      <c r="B833" s="274"/>
      <c r="C833" s="278"/>
      <c r="D833" s="275"/>
      <c r="E833" s="275"/>
      <c r="F833" s="275"/>
      <c r="G833" s="275"/>
      <c r="H833" s="275"/>
      <c r="I833" s="275"/>
      <c r="J833" s="275"/>
      <c r="K833" s="264"/>
    </row>
    <row r="834" spans="1:11">
      <c r="A834" s="273">
        <v>277</v>
      </c>
      <c r="B834" s="274">
        <v>91</v>
      </c>
      <c r="C834" s="278" t="s">
        <v>202</v>
      </c>
      <c r="D834" s="275" t="s">
        <v>451</v>
      </c>
      <c r="E834" s="275" t="s">
        <v>452</v>
      </c>
      <c r="F834" s="275" t="s">
        <v>453</v>
      </c>
      <c r="G834" s="275" t="s">
        <v>454</v>
      </c>
      <c r="H834" s="275" t="s">
        <v>455</v>
      </c>
      <c r="I834" s="275" t="s">
        <v>456</v>
      </c>
      <c r="J834" s="275" t="s">
        <v>457</v>
      </c>
      <c r="K834" s="264"/>
    </row>
    <row r="835" spans="1:11">
      <c r="A835" s="273"/>
      <c r="B835" s="274"/>
      <c r="C835" s="278"/>
      <c r="D835" s="275">
        <v>0.35892000000000002</v>
      </c>
      <c r="E835" s="275">
        <v>0.36425999999999997</v>
      </c>
      <c r="F835" s="275">
        <v>0.88356999999999997</v>
      </c>
      <c r="G835" s="275">
        <v>0.91022000000000003</v>
      </c>
      <c r="H835" s="275">
        <v>1.4752700000000001</v>
      </c>
      <c r="I835" s="275">
        <v>1.60084</v>
      </c>
      <c r="J835" s="275">
        <v>1.7673099999999999</v>
      </c>
      <c r="K835" s="264"/>
    </row>
    <row r="836" spans="1:11">
      <c r="A836" s="273"/>
      <c r="B836" s="274"/>
      <c r="C836" s="278"/>
      <c r="D836" s="275"/>
      <c r="E836" s="275"/>
      <c r="F836" s="275"/>
      <c r="G836" s="275"/>
      <c r="H836" s="275"/>
      <c r="I836" s="275"/>
      <c r="J836" s="275"/>
      <c r="K836" s="264"/>
    </row>
    <row r="837" spans="1:11">
      <c r="A837" s="273">
        <v>278</v>
      </c>
      <c r="B837" s="274">
        <v>92</v>
      </c>
      <c r="C837" s="278" t="s">
        <v>401</v>
      </c>
      <c r="D837" s="275" t="s">
        <v>458</v>
      </c>
      <c r="E837" s="275" t="s">
        <v>459</v>
      </c>
      <c r="F837" s="275"/>
      <c r="G837" s="275"/>
      <c r="H837" s="275"/>
      <c r="I837" s="275"/>
      <c r="J837" s="275"/>
      <c r="K837" s="264"/>
    </row>
    <row r="838" spans="1:11">
      <c r="A838" s="273"/>
      <c r="B838" s="274"/>
      <c r="C838" s="278"/>
      <c r="D838" s="275">
        <v>1.3769400000000001</v>
      </c>
      <c r="E838" s="275">
        <v>1.40798</v>
      </c>
      <c r="F838" s="275"/>
      <c r="G838" s="275"/>
      <c r="H838" s="275"/>
      <c r="I838" s="275"/>
      <c r="J838" s="275"/>
      <c r="K838" s="264"/>
    </row>
    <row r="839" spans="1:11">
      <c r="A839" s="273"/>
      <c r="B839" s="274"/>
      <c r="C839" s="278"/>
      <c r="D839" s="275"/>
      <c r="E839" s="275"/>
      <c r="F839" s="275"/>
      <c r="G839" s="275"/>
      <c r="H839" s="275"/>
      <c r="I839" s="275"/>
      <c r="J839" s="275"/>
      <c r="K839" s="264"/>
    </row>
    <row r="840" spans="1:11">
      <c r="A840" s="273">
        <v>279</v>
      </c>
      <c r="B840" s="274">
        <v>92</v>
      </c>
      <c r="C840" s="278" t="s">
        <v>203</v>
      </c>
      <c r="D840" s="275" t="s">
        <v>458</v>
      </c>
      <c r="E840" s="275" t="s">
        <v>459</v>
      </c>
      <c r="F840" s="275"/>
      <c r="G840" s="275"/>
      <c r="H840" s="275"/>
      <c r="I840" s="275"/>
      <c r="J840" s="275"/>
      <c r="K840" s="264"/>
    </row>
    <row r="841" spans="1:11">
      <c r="A841" s="273"/>
      <c r="B841" s="274"/>
      <c r="C841" s="278"/>
      <c r="D841" s="275">
        <v>1.29928</v>
      </c>
      <c r="E841" s="275">
        <v>1.32314</v>
      </c>
      <c r="F841" s="275"/>
      <c r="G841" s="275"/>
      <c r="H841" s="275"/>
      <c r="I841" s="275"/>
      <c r="J841" s="275"/>
      <c r="K841" s="264"/>
    </row>
    <row r="842" spans="1:11">
      <c r="A842" s="273"/>
      <c r="B842" s="274"/>
      <c r="C842" s="278"/>
      <c r="D842" s="275"/>
      <c r="E842" s="275"/>
      <c r="F842" s="275"/>
      <c r="G842" s="275"/>
      <c r="H842" s="275"/>
      <c r="I842" s="275"/>
      <c r="J842" s="275"/>
      <c r="K842" s="264"/>
    </row>
    <row r="843" spans="1:11">
      <c r="A843" s="273">
        <v>280</v>
      </c>
      <c r="B843" s="274">
        <v>92</v>
      </c>
      <c r="C843" s="278" t="s">
        <v>204</v>
      </c>
      <c r="D843" s="275" t="s">
        <v>458</v>
      </c>
      <c r="E843" s="275" t="s">
        <v>459</v>
      </c>
      <c r="F843" s="275"/>
      <c r="G843" s="275"/>
      <c r="H843" s="275"/>
      <c r="I843" s="275"/>
      <c r="J843" s="275"/>
      <c r="K843" s="264"/>
    </row>
    <row r="844" spans="1:11">
      <c r="A844" s="273"/>
      <c r="B844" s="274"/>
      <c r="C844" s="278"/>
      <c r="D844" s="275">
        <v>1.2399100000000001</v>
      </c>
      <c r="E844" s="275">
        <v>1.2596499999999999</v>
      </c>
      <c r="F844" s="275"/>
      <c r="G844" s="275"/>
      <c r="H844" s="275"/>
      <c r="I844" s="275"/>
      <c r="J844" s="275"/>
      <c r="K844" s="264"/>
    </row>
    <row r="845" spans="1:11">
      <c r="A845" s="273"/>
      <c r="B845" s="274"/>
      <c r="C845" s="278"/>
      <c r="D845" s="275"/>
      <c r="E845" s="275"/>
      <c r="F845" s="275"/>
      <c r="G845" s="275"/>
      <c r="H845" s="275"/>
      <c r="I845" s="275"/>
      <c r="J845" s="275"/>
      <c r="K845" s="264"/>
    </row>
    <row r="846" spans="1:11">
      <c r="A846" s="273">
        <v>281</v>
      </c>
      <c r="B846" s="274">
        <v>92</v>
      </c>
      <c r="C846" s="278" t="s">
        <v>205</v>
      </c>
      <c r="D846" s="275" t="s">
        <v>451</v>
      </c>
      <c r="E846" s="275" t="s">
        <v>452</v>
      </c>
      <c r="F846" s="275" t="s">
        <v>453</v>
      </c>
      <c r="G846" s="275" t="s">
        <v>454</v>
      </c>
      <c r="H846" s="275" t="s">
        <v>455</v>
      </c>
      <c r="I846" s="275" t="s">
        <v>456</v>
      </c>
      <c r="J846" s="275" t="s">
        <v>457</v>
      </c>
      <c r="K846" s="264"/>
    </row>
    <row r="847" spans="1:11">
      <c r="A847" s="273"/>
      <c r="B847" s="274"/>
      <c r="C847" s="278"/>
      <c r="D847" s="275">
        <v>0.35126000000000002</v>
      </c>
      <c r="E847" s="275">
        <v>0.35657</v>
      </c>
      <c r="F847" s="275">
        <v>0.85640000000000005</v>
      </c>
      <c r="G847" s="275">
        <v>0.88212000000000002</v>
      </c>
      <c r="H847" s="275">
        <v>1.4145300000000001</v>
      </c>
      <c r="I847" s="275">
        <v>1.52488</v>
      </c>
      <c r="J847" s="275">
        <v>1.68082</v>
      </c>
      <c r="K847" s="264"/>
    </row>
    <row r="848" spans="1:11">
      <c r="A848" s="273"/>
      <c r="B848" s="274"/>
      <c r="C848" s="278"/>
      <c r="D848" s="275"/>
      <c r="E848" s="275"/>
      <c r="F848" s="275"/>
      <c r="G848" s="275"/>
      <c r="H848" s="275"/>
      <c r="I848" s="275"/>
      <c r="J848" s="275"/>
      <c r="K848" s="264"/>
    </row>
    <row r="849" spans="1:11">
      <c r="A849" s="273">
        <v>282</v>
      </c>
      <c r="B849" s="274">
        <v>93</v>
      </c>
      <c r="C849" s="278" t="s">
        <v>402</v>
      </c>
      <c r="D849" s="275" t="s">
        <v>458</v>
      </c>
      <c r="E849" s="275" t="s">
        <v>459</v>
      </c>
      <c r="F849" s="275"/>
      <c r="G849" s="275"/>
      <c r="H849" s="275"/>
      <c r="I849" s="275"/>
      <c r="J849" s="275"/>
      <c r="K849" s="264"/>
    </row>
    <row r="850" spans="1:11">
      <c r="A850" s="273"/>
      <c r="B850" s="274"/>
      <c r="C850" s="278"/>
      <c r="D850" s="275">
        <v>1.31385</v>
      </c>
      <c r="E850" s="275">
        <v>1.3445499999999999</v>
      </c>
      <c r="F850" s="275"/>
      <c r="G850" s="275"/>
      <c r="H850" s="275"/>
      <c r="I850" s="275"/>
      <c r="J850" s="275"/>
      <c r="K850" s="264"/>
    </row>
    <row r="851" spans="1:11">
      <c r="A851" s="273"/>
      <c r="B851" s="274"/>
      <c r="C851" s="278"/>
      <c r="D851" s="275"/>
      <c r="E851" s="275"/>
      <c r="F851" s="275"/>
      <c r="G851" s="275"/>
      <c r="H851" s="275"/>
      <c r="I851" s="275"/>
      <c r="J851" s="275"/>
      <c r="K851" s="264"/>
    </row>
    <row r="852" spans="1:11">
      <c r="A852" s="273">
        <v>283</v>
      </c>
      <c r="B852" s="274">
        <v>93</v>
      </c>
      <c r="C852" s="278" t="s">
        <v>206</v>
      </c>
      <c r="D852" s="275" t="s">
        <v>458</v>
      </c>
      <c r="E852" s="275" t="s">
        <v>459</v>
      </c>
      <c r="F852" s="275"/>
      <c r="G852" s="275"/>
      <c r="H852" s="275"/>
      <c r="I852" s="275"/>
      <c r="J852" s="275"/>
      <c r="K852" s="264"/>
    </row>
    <row r="853" spans="1:11">
      <c r="A853" s="273"/>
      <c r="B853" s="274"/>
      <c r="C853" s="278"/>
      <c r="D853" s="275">
        <v>1.2474099999999999</v>
      </c>
      <c r="E853" s="275">
        <v>1.27135</v>
      </c>
      <c r="F853" s="275"/>
      <c r="G853" s="275"/>
      <c r="H853" s="275"/>
      <c r="I853" s="275"/>
      <c r="J853" s="275"/>
      <c r="K853" s="264"/>
    </row>
    <row r="854" spans="1:11">
      <c r="A854" s="273"/>
      <c r="B854" s="274"/>
      <c r="C854" s="278"/>
      <c r="D854" s="275"/>
      <c r="E854" s="275"/>
      <c r="F854" s="275"/>
      <c r="G854" s="275"/>
      <c r="H854" s="275"/>
      <c r="I854" s="275"/>
      <c r="J854" s="275"/>
      <c r="K854" s="264"/>
    </row>
    <row r="855" spans="1:11">
      <c r="A855" s="273">
        <v>284</v>
      </c>
      <c r="B855" s="274">
        <v>93</v>
      </c>
      <c r="C855" s="278" t="s">
        <v>207</v>
      </c>
      <c r="D855" s="275" t="s">
        <v>458</v>
      </c>
      <c r="E855" s="275" t="s">
        <v>459</v>
      </c>
      <c r="F855" s="275"/>
      <c r="G855" s="275"/>
      <c r="H855" s="275"/>
      <c r="I855" s="275"/>
      <c r="J855" s="275"/>
      <c r="K855" s="264"/>
    </row>
    <row r="856" spans="1:11">
      <c r="A856" s="273"/>
      <c r="B856" s="274"/>
      <c r="C856" s="278"/>
      <c r="D856" s="275">
        <v>1.19523</v>
      </c>
      <c r="E856" s="275">
        <v>1.2151799999999999</v>
      </c>
      <c r="F856" s="275"/>
      <c r="G856" s="275"/>
      <c r="H856" s="275"/>
      <c r="I856" s="275"/>
      <c r="J856" s="275"/>
      <c r="K856" s="264"/>
    </row>
    <row r="857" spans="1:11">
      <c r="A857" s="273"/>
      <c r="B857" s="274"/>
      <c r="C857" s="278"/>
      <c r="D857" s="275"/>
      <c r="E857" s="275"/>
      <c r="F857" s="275"/>
      <c r="G857" s="275"/>
      <c r="H857" s="275"/>
      <c r="I857" s="275"/>
      <c r="J857" s="275"/>
      <c r="K857" s="264"/>
    </row>
    <row r="858" spans="1:11">
      <c r="A858" s="273">
        <v>285</v>
      </c>
      <c r="B858" s="274">
        <v>93</v>
      </c>
      <c r="C858" s="278" t="s">
        <v>208</v>
      </c>
      <c r="D858" s="275" t="s">
        <v>458</v>
      </c>
      <c r="E858" s="275" t="s">
        <v>459</v>
      </c>
      <c r="F858" s="275"/>
      <c r="G858" s="275"/>
      <c r="H858" s="275"/>
      <c r="I858" s="275"/>
      <c r="J858" s="275"/>
      <c r="K858" s="264"/>
    </row>
    <row r="859" spans="1:11">
      <c r="A859" s="273"/>
      <c r="B859" s="274"/>
      <c r="C859" s="278"/>
      <c r="D859" s="275">
        <v>1.1520699999999999</v>
      </c>
      <c r="E859" s="275">
        <v>1.16934</v>
      </c>
      <c r="F859" s="275"/>
      <c r="G859" s="275"/>
      <c r="H859" s="275"/>
      <c r="I859" s="275"/>
      <c r="J859" s="275"/>
      <c r="K859" s="264"/>
    </row>
    <row r="860" spans="1:11">
      <c r="A860" s="273"/>
      <c r="B860" s="274"/>
      <c r="C860" s="278"/>
      <c r="D860" s="275"/>
      <c r="E860" s="275"/>
      <c r="F860" s="275"/>
      <c r="G860" s="275"/>
      <c r="H860" s="275"/>
      <c r="I860" s="275"/>
      <c r="J860" s="275"/>
      <c r="K860" s="264"/>
    </row>
    <row r="861" spans="1:11">
      <c r="A861" s="273">
        <v>286</v>
      </c>
      <c r="B861" s="274">
        <v>93</v>
      </c>
      <c r="C861" s="278" t="s">
        <v>209</v>
      </c>
      <c r="D861" s="275" t="s">
        <v>451</v>
      </c>
      <c r="E861" s="275" t="s">
        <v>452</v>
      </c>
      <c r="F861" s="275" t="s">
        <v>453</v>
      </c>
      <c r="G861" s="275" t="s">
        <v>454</v>
      </c>
      <c r="H861" s="275" t="s">
        <v>455</v>
      </c>
      <c r="I861" s="275" t="s">
        <v>456</v>
      </c>
      <c r="J861" s="275" t="s">
        <v>457</v>
      </c>
      <c r="K861" s="264"/>
    </row>
    <row r="862" spans="1:11">
      <c r="A862" s="273"/>
      <c r="B862" s="274"/>
      <c r="C862" s="278"/>
      <c r="D862" s="275">
        <v>0.34394999999999998</v>
      </c>
      <c r="E862" s="275">
        <v>0.34921999999999997</v>
      </c>
      <c r="F862" s="275">
        <v>0.83106000000000002</v>
      </c>
      <c r="G862" s="275">
        <v>0.85597999999999996</v>
      </c>
      <c r="H862" s="275">
        <v>1.3594200000000001</v>
      </c>
      <c r="I862" s="275">
        <v>1.45743</v>
      </c>
      <c r="J862" s="275">
        <v>1.605</v>
      </c>
      <c r="K862" s="264"/>
    </row>
    <row r="863" spans="1:11">
      <c r="A863" s="273"/>
      <c r="B863" s="274"/>
      <c r="C863" s="278"/>
      <c r="D863" s="275"/>
      <c r="E863" s="275"/>
      <c r="F863" s="275"/>
      <c r="G863" s="275"/>
      <c r="H863" s="275"/>
      <c r="I863" s="275"/>
      <c r="J863" s="275"/>
      <c r="K863" s="264"/>
    </row>
    <row r="864" spans="1:11">
      <c r="A864" s="273">
        <v>287</v>
      </c>
      <c r="B864" s="274">
        <v>94</v>
      </c>
      <c r="C864" s="278" t="s">
        <v>403</v>
      </c>
      <c r="D864" s="275" t="s">
        <v>458</v>
      </c>
      <c r="E864" s="275" t="s">
        <v>459</v>
      </c>
      <c r="F864" s="275"/>
      <c r="G864" s="275"/>
      <c r="H864" s="275"/>
      <c r="I864" s="275"/>
      <c r="J864" s="275"/>
      <c r="K864" s="264"/>
    </row>
    <row r="865" spans="1:11">
      <c r="A865" s="273"/>
      <c r="B865" s="274"/>
      <c r="C865" s="278"/>
      <c r="D865" s="275">
        <v>1.25935</v>
      </c>
      <c r="E865" s="275">
        <v>1.2898400000000001</v>
      </c>
      <c r="F865" s="275"/>
      <c r="G865" s="275"/>
      <c r="H865" s="275"/>
      <c r="I865" s="275"/>
      <c r="J865" s="275"/>
      <c r="K865" s="264"/>
    </row>
    <row r="866" spans="1:11">
      <c r="A866" s="273"/>
      <c r="B866" s="274"/>
      <c r="C866" s="278"/>
      <c r="D866" s="275"/>
      <c r="E866" s="275"/>
      <c r="F866" s="275"/>
      <c r="G866" s="275"/>
      <c r="H866" s="275"/>
      <c r="I866" s="275"/>
      <c r="J866" s="275"/>
      <c r="K866" s="264"/>
    </row>
    <row r="867" spans="1:11">
      <c r="A867" s="273">
        <v>288</v>
      </c>
      <c r="B867" s="274">
        <v>94</v>
      </c>
      <c r="C867" s="278" t="s">
        <v>210</v>
      </c>
      <c r="D867" s="275" t="s">
        <v>458</v>
      </c>
      <c r="E867" s="275" t="s">
        <v>459</v>
      </c>
      <c r="F867" s="275"/>
      <c r="G867" s="275"/>
      <c r="H867" s="275"/>
      <c r="I867" s="275"/>
      <c r="J867" s="275"/>
      <c r="K867" s="264"/>
    </row>
    <row r="868" spans="1:11">
      <c r="A868" s="273"/>
      <c r="B868" s="274"/>
      <c r="C868" s="278"/>
      <c r="D868" s="275">
        <v>1.20143</v>
      </c>
      <c r="E868" s="275">
        <v>1.22549</v>
      </c>
      <c r="F868" s="275"/>
      <c r="G868" s="275"/>
      <c r="H868" s="275"/>
      <c r="I868" s="275"/>
      <c r="J868" s="275"/>
      <c r="K868" s="264"/>
    </row>
    <row r="869" spans="1:11">
      <c r="A869" s="273"/>
      <c r="B869" s="274"/>
      <c r="C869" s="278"/>
      <c r="D869" s="275"/>
      <c r="E869" s="275"/>
      <c r="F869" s="275"/>
      <c r="G869" s="275"/>
      <c r="H869" s="275"/>
      <c r="I869" s="275"/>
      <c r="J869" s="275"/>
      <c r="K869" s="264"/>
    </row>
    <row r="870" spans="1:11">
      <c r="A870" s="273">
        <v>289</v>
      </c>
      <c r="B870" s="274">
        <v>94</v>
      </c>
      <c r="C870" s="278" t="s">
        <v>211</v>
      </c>
      <c r="D870" s="275" t="s">
        <v>458</v>
      </c>
      <c r="E870" s="275" t="s">
        <v>459</v>
      </c>
      <c r="F870" s="275"/>
      <c r="G870" s="275"/>
      <c r="H870" s="275"/>
      <c r="I870" s="275"/>
      <c r="J870" s="275"/>
      <c r="K870" s="264"/>
    </row>
    <row r="871" spans="1:11">
      <c r="A871" s="273"/>
      <c r="B871" s="274"/>
      <c r="C871" s="278"/>
      <c r="D871" s="275">
        <v>1.1549799999999999</v>
      </c>
      <c r="E871" s="275">
        <v>1.1751499999999999</v>
      </c>
      <c r="F871" s="275"/>
      <c r="G871" s="275"/>
      <c r="H871" s="275"/>
      <c r="I871" s="275"/>
      <c r="J871" s="275"/>
      <c r="K871" s="264"/>
    </row>
    <row r="872" spans="1:11">
      <c r="A872" s="273"/>
      <c r="B872" s="274"/>
      <c r="C872" s="278"/>
      <c r="D872" s="275"/>
      <c r="E872" s="275"/>
      <c r="F872" s="275"/>
      <c r="G872" s="275"/>
      <c r="H872" s="275"/>
      <c r="I872" s="275"/>
      <c r="J872" s="275"/>
      <c r="K872" s="264"/>
    </row>
    <row r="873" spans="1:11">
      <c r="A873" s="273">
        <v>290</v>
      </c>
      <c r="B873" s="274">
        <v>94</v>
      </c>
      <c r="C873" s="278" t="s">
        <v>212</v>
      </c>
      <c r="D873" s="275" t="s">
        <v>458</v>
      </c>
      <c r="E873" s="275" t="s">
        <v>459</v>
      </c>
      <c r="F873" s="275"/>
      <c r="G873" s="275"/>
      <c r="H873" s="275"/>
      <c r="I873" s="275"/>
      <c r="J873" s="275"/>
      <c r="K873" s="264"/>
    </row>
    <row r="874" spans="1:11">
      <c r="A874" s="273"/>
      <c r="B874" s="274"/>
      <c r="C874" s="278"/>
      <c r="D874" s="275">
        <v>1.1160000000000001</v>
      </c>
      <c r="E874" s="275">
        <v>1.1335200000000001</v>
      </c>
      <c r="F874" s="275"/>
      <c r="G874" s="275"/>
      <c r="H874" s="275"/>
      <c r="I874" s="275"/>
      <c r="J874" s="275"/>
      <c r="K874" s="264"/>
    </row>
    <row r="875" spans="1:11">
      <c r="A875" s="273"/>
      <c r="B875" s="274"/>
      <c r="C875" s="278"/>
      <c r="D875" s="275"/>
      <c r="E875" s="275"/>
      <c r="F875" s="275"/>
      <c r="G875" s="275"/>
      <c r="H875" s="275"/>
      <c r="I875" s="275"/>
      <c r="J875" s="275"/>
      <c r="K875" s="264"/>
    </row>
    <row r="876" spans="1:11">
      <c r="A876" s="273">
        <v>291</v>
      </c>
      <c r="B876" s="274">
        <v>94</v>
      </c>
      <c r="C876" s="278" t="s">
        <v>213</v>
      </c>
      <c r="D876" s="275" t="s">
        <v>458</v>
      </c>
      <c r="E876" s="275" t="s">
        <v>459</v>
      </c>
      <c r="F876" s="275"/>
      <c r="G876" s="275"/>
      <c r="H876" s="275"/>
      <c r="I876" s="275"/>
      <c r="J876" s="275"/>
      <c r="K876" s="264"/>
    </row>
    <row r="877" spans="1:11">
      <c r="A877" s="273"/>
      <c r="B877" s="274"/>
      <c r="C877" s="278"/>
      <c r="D877" s="275">
        <v>1.0823</v>
      </c>
      <c r="E877" s="275">
        <v>1.09789</v>
      </c>
      <c r="F877" s="275"/>
      <c r="G877" s="275"/>
      <c r="H877" s="275"/>
      <c r="I877" s="275"/>
      <c r="J877" s="275"/>
      <c r="K877" s="264"/>
    </row>
    <row r="878" spans="1:11">
      <c r="A878" s="273"/>
      <c r="B878" s="274"/>
      <c r="C878" s="278"/>
      <c r="D878" s="275"/>
      <c r="E878" s="275"/>
      <c r="F878" s="275"/>
      <c r="G878" s="275"/>
      <c r="H878" s="275"/>
      <c r="I878" s="275"/>
      <c r="J878" s="275"/>
      <c r="K878" s="264"/>
    </row>
    <row r="879" spans="1:11">
      <c r="A879" s="273">
        <v>292</v>
      </c>
      <c r="B879" s="274">
        <v>95</v>
      </c>
      <c r="C879" s="278" t="s">
        <v>404</v>
      </c>
      <c r="D879" s="275" t="s">
        <v>458</v>
      </c>
      <c r="E879" s="275" t="s">
        <v>459</v>
      </c>
      <c r="F879" s="275"/>
      <c r="G879" s="275"/>
      <c r="H879" s="275"/>
      <c r="I879" s="275"/>
      <c r="J879" s="275"/>
      <c r="K879" s="264"/>
    </row>
    <row r="880" spans="1:11">
      <c r="A880" s="273"/>
      <c r="B880" s="274"/>
      <c r="C880" s="278"/>
      <c r="D880" s="275">
        <v>1.2784500000000001</v>
      </c>
      <c r="E880" s="275">
        <v>1.3210500000000001</v>
      </c>
      <c r="F880" s="275"/>
      <c r="G880" s="275"/>
      <c r="H880" s="275"/>
      <c r="I880" s="275"/>
      <c r="J880" s="275"/>
      <c r="K880" s="264"/>
    </row>
    <row r="881" spans="1:11">
      <c r="A881" s="273"/>
      <c r="B881" s="274"/>
      <c r="C881" s="278"/>
      <c r="D881" s="275"/>
      <c r="E881" s="275"/>
      <c r="F881" s="275"/>
      <c r="G881" s="275"/>
      <c r="H881" s="275"/>
      <c r="I881" s="275"/>
      <c r="J881" s="275"/>
      <c r="K881" s="264"/>
    </row>
    <row r="882" spans="1:11">
      <c r="A882" s="273">
        <v>293</v>
      </c>
      <c r="B882" s="274">
        <v>95</v>
      </c>
      <c r="C882" s="278" t="s">
        <v>214</v>
      </c>
      <c r="D882" s="275" t="s">
        <v>458</v>
      </c>
      <c r="E882" s="275" t="s">
        <v>459</v>
      </c>
      <c r="F882" s="275"/>
      <c r="G882" s="275"/>
      <c r="H882" s="275"/>
      <c r="I882" s="275"/>
      <c r="J882" s="275"/>
      <c r="K882" s="264"/>
    </row>
    <row r="883" spans="1:11">
      <c r="A883" s="273"/>
      <c r="B883" s="274"/>
      <c r="C883" s="278"/>
      <c r="D883" s="275">
        <v>1.21139</v>
      </c>
      <c r="E883" s="275">
        <v>1.2417800000000001</v>
      </c>
      <c r="F883" s="275"/>
      <c r="G883" s="275"/>
      <c r="H883" s="275"/>
      <c r="I883" s="275"/>
      <c r="J883" s="275"/>
      <c r="K883" s="264"/>
    </row>
    <row r="884" spans="1:11">
      <c r="A884" s="273"/>
      <c r="B884" s="274"/>
      <c r="C884" s="278"/>
      <c r="D884" s="275"/>
      <c r="E884" s="275"/>
      <c r="F884" s="275"/>
      <c r="G884" s="275"/>
      <c r="H884" s="275"/>
      <c r="I884" s="275"/>
      <c r="J884" s="275"/>
      <c r="K884" s="264"/>
    </row>
    <row r="885" spans="1:11">
      <c r="A885" s="273">
        <v>294</v>
      </c>
      <c r="B885" s="274">
        <v>95</v>
      </c>
      <c r="C885" s="278" t="s">
        <v>215</v>
      </c>
      <c r="D885" s="275" t="s">
        <v>458</v>
      </c>
      <c r="E885" s="275" t="s">
        <v>459</v>
      </c>
      <c r="F885" s="275"/>
      <c r="G885" s="275"/>
      <c r="H885" s="275"/>
      <c r="I885" s="275"/>
      <c r="J885" s="275"/>
      <c r="K885" s="264"/>
    </row>
    <row r="886" spans="1:11">
      <c r="A886" s="273"/>
      <c r="B886" s="274"/>
      <c r="C886" s="278"/>
      <c r="D886" s="275">
        <v>1.16018</v>
      </c>
      <c r="E886" s="275">
        <v>1.1843900000000001</v>
      </c>
      <c r="F886" s="275"/>
      <c r="G886" s="275"/>
      <c r="H886" s="275"/>
      <c r="I886" s="275"/>
      <c r="J886" s="275"/>
      <c r="K886" s="264"/>
    </row>
    <row r="887" spans="1:11">
      <c r="A887" s="273"/>
      <c r="B887" s="274"/>
      <c r="C887" s="278"/>
      <c r="D887" s="275"/>
      <c r="E887" s="275"/>
      <c r="F887" s="275"/>
      <c r="G887" s="275"/>
      <c r="H887" s="275"/>
      <c r="I887" s="275"/>
      <c r="J887" s="275"/>
      <c r="K887" s="264"/>
    </row>
    <row r="888" spans="1:11">
      <c r="A888" s="273">
        <v>295</v>
      </c>
      <c r="B888" s="274">
        <v>95</v>
      </c>
      <c r="C888" s="278" t="s">
        <v>216</v>
      </c>
      <c r="D888" s="275" t="s">
        <v>458</v>
      </c>
      <c r="E888" s="275" t="s">
        <v>459</v>
      </c>
      <c r="F888" s="275"/>
      <c r="G888" s="275"/>
      <c r="H888" s="275"/>
      <c r="I888" s="275"/>
      <c r="J888" s="275"/>
      <c r="K888" s="264"/>
    </row>
    <row r="889" spans="1:11">
      <c r="A889" s="273"/>
      <c r="B889" s="274"/>
      <c r="C889" s="278"/>
      <c r="D889" s="275">
        <v>1.11839</v>
      </c>
      <c r="E889" s="275">
        <v>1.13879</v>
      </c>
      <c r="F889" s="275"/>
      <c r="G889" s="275"/>
      <c r="H889" s="275"/>
      <c r="I889" s="275"/>
      <c r="J889" s="275"/>
      <c r="K889" s="264"/>
    </row>
    <row r="890" spans="1:11">
      <c r="A890" s="273"/>
      <c r="B890" s="274"/>
      <c r="C890" s="278"/>
      <c r="D890" s="275"/>
      <c r="E890" s="275"/>
      <c r="F890" s="275"/>
      <c r="G890" s="275"/>
      <c r="H890" s="275"/>
      <c r="I890" s="275"/>
      <c r="J890" s="275"/>
      <c r="K890" s="264"/>
    </row>
    <row r="891" spans="1:11">
      <c r="A891" s="273">
        <v>296</v>
      </c>
      <c r="B891" s="274">
        <v>95</v>
      </c>
      <c r="C891" s="278" t="s">
        <v>217</v>
      </c>
      <c r="D891" s="275" t="s">
        <v>458</v>
      </c>
      <c r="E891" s="275" t="s">
        <v>459</v>
      </c>
      <c r="F891" s="275"/>
      <c r="G891" s="275"/>
      <c r="H891" s="275"/>
      <c r="I891" s="275"/>
      <c r="J891" s="275"/>
      <c r="K891" s="264"/>
    </row>
    <row r="892" spans="1:11">
      <c r="A892" s="273"/>
      <c r="B892" s="274"/>
      <c r="C892" s="278"/>
      <c r="D892" s="275">
        <v>1.08291</v>
      </c>
      <c r="E892" s="275">
        <v>1.1006899999999999</v>
      </c>
      <c r="F892" s="275"/>
      <c r="G892" s="275"/>
      <c r="H892" s="275"/>
      <c r="I892" s="275"/>
      <c r="J892" s="275"/>
      <c r="K892" s="264"/>
    </row>
    <row r="893" spans="1:11">
      <c r="A893" s="273"/>
      <c r="B893" s="274"/>
      <c r="C893" s="278"/>
      <c r="D893" s="275"/>
      <c r="E893" s="275"/>
      <c r="F893" s="275"/>
      <c r="G893" s="275"/>
      <c r="H893" s="275"/>
      <c r="I893" s="275"/>
      <c r="J893" s="275"/>
      <c r="K893" s="264"/>
    </row>
    <row r="894" spans="1:11">
      <c r="A894" s="273">
        <v>297</v>
      </c>
      <c r="B894" s="274">
        <v>96</v>
      </c>
      <c r="C894" s="278" t="s">
        <v>405</v>
      </c>
      <c r="D894" s="275" t="s">
        <v>458</v>
      </c>
      <c r="E894" s="275" t="s">
        <v>459</v>
      </c>
      <c r="F894" s="275"/>
      <c r="G894" s="275"/>
      <c r="H894" s="275"/>
      <c r="I894" s="275"/>
      <c r="J894" s="275"/>
      <c r="K894" s="264"/>
    </row>
    <row r="895" spans="1:11">
      <c r="A895" s="273"/>
      <c r="B895" s="274"/>
      <c r="C895" s="278"/>
      <c r="D895" s="275">
        <v>1.1686099999999999</v>
      </c>
      <c r="E895" s="275">
        <v>1.1989700000000001</v>
      </c>
      <c r="F895" s="275"/>
      <c r="G895" s="275"/>
      <c r="H895" s="275"/>
      <c r="I895" s="275"/>
      <c r="J895" s="275"/>
      <c r="K895" s="264"/>
    </row>
    <row r="896" spans="1:11">
      <c r="A896" s="273"/>
      <c r="B896" s="274"/>
      <c r="C896" s="278"/>
      <c r="D896" s="275"/>
      <c r="E896" s="275"/>
      <c r="F896" s="275"/>
      <c r="G896" s="275"/>
      <c r="H896" s="275"/>
      <c r="I896" s="275"/>
      <c r="J896" s="275"/>
      <c r="K896" s="264"/>
    </row>
    <row r="897" spans="1:11">
      <c r="A897" s="273">
        <v>298</v>
      </c>
      <c r="B897" s="274">
        <v>96</v>
      </c>
      <c r="C897" s="278" t="s">
        <v>218</v>
      </c>
      <c r="D897" s="275" t="s">
        <v>458</v>
      </c>
      <c r="E897" s="275" t="s">
        <v>459</v>
      </c>
      <c r="F897" s="275"/>
      <c r="G897" s="275"/>
      <c r="H897" s="275"/>
      <c r="I897" s="275"/>
      <c r="J897" s="275"/>
      <c r="K897" s="264"/>
    </row>
    <row r="898" spans="1:11">
      <c r="A898" s="273"/>
      <c r="B898" s="274"/>
      <c r="C898" s="278"/>
      <c r="D898" s="275">
        <v>1.1228100000000001</v>
      </c>
      <c r="E898" s="275">
        <v>1.1472</v>
      </c>
      <c r="F898" s="275"/>
      <c r="G898" s="275"/>
      <c r="H898" s="275"/>
      <c r="I898" s="275"/>
      <c r="J898" s="275"/>
      <c r="K898" s="264"/>
    </row>
    <row r="899" spans="1:11">
      <c r="A899" s="273"/>
      <c r="B899" s="274"/>
      <c r="C899" s="278"/>
      <c r="D899" s="275"/>
      <c r="E899" s="275"/>
      <c r="F899" s="275"/>
      <c r="G899" s="275"/>
      <c r="H899" s="275"/>
      <c r="I899" s="275"/>
      <c r="J899" s="275"/>
      <c r="K899" s="264"/>
    </row>
    <row r="900" spans="1:11">
      <c r="A900" s="273">
        <v>299</v>
      </c>
      <c r="B900" s="274">
        <v>97</v>
      </c>
      <c r="C900" s="278" t="s">
        <v>406</v>
      </c>
      <c r="D900" s="275" t="s">
        <v>458</v>
      </c>
      <c r="E900" s="275" t="s">
        <v>459</v>
      </c>
      <c r="F900" s="275"/>
      <c r="G900" s="275"/>
      <c r="H900" s="275"/>
      <c r="I900" s="275"/>
      <c r="J900" s="275"/>
      <c r="K900" s="264"/>
    </row>
    <row r="901" spans="1:11">
      <c r="A901" s="273"/>
      <c r="B901" s="274"/>
      <c r="C901" s="278"/>
      <c r="D901" s="275">
        <v>1.13001</v>
      </c>
      <c r="E901" s="275">
        <v>1.1604000000000001</v>
      </c>
      <c r="F901" s="275"/>
      <c r="G901" s="275"/>
      <c r="H901" s="275"/>
      <c r="I901" s="275"/>
      <c r="J901" s="275"/>
      <c r="K901" s="264"/>
    </row>
    <row r="902" spans="1:11">
      <c r="A902" s="273"/>
      <c r="B902" s="274"/>
      <c r="C902" s="278"/>
      <c r="D902" s="275"/>
      <c r="E902" s="275"/>
      <c r="F902" s="275"/>
      <c r="G902" s="275"/>
      <c r="H902" s="275"/>
      <c r="I902" s="275"/>
      <c r="J902" s="275"/>
      <c r="K902" s="264"/>
    </row>
    <row r="903" spans="1:11">
      <c r="A903" s="273">
        <v>300</v>
      </c>
      <c r="B903" s="274">
        <v>97</v>
      </c>
      <c r="C903" s="278" t="s">
        <v>219</v>
      </c>
      <c r="D903" s="275" t="s">
        <v>458</v>
      </c>
      <c r="E903" s="275" t="s">
        <v>459</v>
      </c>
      <c r="F903" s="275"/>
      <c r="G903" s="275"/>
      <c r="H903" s="275"/>
      <c r="I903" s="275"/>
      <c r="J903" s="275"/>
      <c r="K903" s="264"/>
    </row>
    <row r="904" spans="1:11">
      <c r="A904" s="273"/>
      <c r="B904" s="274"/>
      <c r="C904" s="278"/>
      <c r="D904" s="275">
        <v>1.08866</v>
      </c>
      <c r="E904" s="275">
        <v>1.1132500000000001</v>
      </c>
      <c r="F904" s="275"/>
      <c r="G904" s="275"/>
      <c r="H904" s="275"/>
      <c r="I904" s="275"/>
      <c r="J904" s="275"/>
      <c r="K904" s="264"/>
    </row>
    <row r="905" spans="1:11">
      <c r="A905" s="273"/>
      <c r="B905" s="274"/>
      <c r="C905" s="278"/>
      <c r="D905" s="275"/>
      <c r="E905" s="275"/>
      <c r="F905" s="275"/>
      <c r="G905" s="275"/>
      <c r="H905" s="275"/>
      <c r="I905" s="275"/>
      <c r="J905" s="275"/>
      <c r="K905" s="264"/>
    </row>
    <row r="906" spans="1:11">
      <c r="A906" s="273">
        <v>301</v>
      </c>
      <c r="B906" s="274">
        <v>98</v>
      </c>
      <c r="C906" s="278" t="s">
        <v>407</v>
      </c>
      <c r="D906" s="275" t="s">
        <v>458</v>
      </c>
      <c r="E906" s="275" t="s">
        <v>459</v>
      </c>
      <c r="F906" s="275"/>
      <c r="G906" s="275"/>
      <c r="H906" s="275"/>
      <c r="I906" s="275"/>
      <c r="J906" s="275"/>
      <c r="K906" s="264"/>
    </row>
    <row r="907" spans="1:11">
      <c r="A907" s="273"/>
      <c r="B907" s="274"/>
      <c r="C907" s="278"/>
      <c r="D907" s="275">
        <v>1.14134</v>
      </c>
      <c r="E907" s="275">
        <v>1.1821699999999999</v>
      </c>
      <c r="F907" s="275"/>
      <c r="G907" s="275"/>
      <c r="H907" s="275"/>
      <c r="I907" s="275"/>
      <c r="J907" s="275"/>
      <c r="K907" s="264"/>
    </row>
    <row r="908" spans="1:11">
      <c r="A908" s="273"/>
      <c r="B908" s="274"/>
      <c r="C908" s="278"/>
      <c r="D908" s="275"/>
      <c r="E908" s="275"/>
      <c r="F908" s="275"/>
      <c r="G908" s="275"/>
      <c r="H908" s="275"/>
      <c r="I908" s="275"/>
      <c r="J908" s="275"/>
      <c r="K908" s="264"/>
    </row>
    <row r="909" spans="1:11">
      <c r="A909" s="273">
        <v>302</v>
      </c>
      <c r="B909" s="274">
        <v>98</v>
      </c>
      <c r="C909" s="278" t="s">
        <v>220</v>
      </c>
      <c r="D909" s="275" t="s">
        <v>458</v>
      </c>
      <c r="E909" s="275" t="s">
        <v>459</v>
      </c>
      <c r="F909" s="275"/>
      <c r="G909" s="275"/>
      <c r="H909" s="275"/>
      <c r="I909" s="275"/>
      <c r="J909" s="275"/>
      <c r="K909" s="264"/>
    </row>
    <row r="910" spans="1:11">
      <c r="A910" s="273"/>
      <c r="B910" s="274"/>
      <c r="C910" s="278"/>
      <c r="D910" s="275">
        <v>1.0948599999999999</v>
      </c>
      <c r="E910" s="275">
        <v>1.12534</v>
      </c>
      <c r="F910" s="275"/>
      <c r="G910" s="275"/>
      <c r="H910" s="275"/>
      <c r="I910" s="275"/>
      <c r="J910" s="275"/>
      <c r="K910" s="264"/>
    </row>
    <row r="911" spans="1:11">
      <c r="A911" s="273"/>
      <c r="B911" s="274"/>
      <c r="C911" s="278"/>
      <c r="D911" s="275"/>
      <c r="E911" s="275"/>
      <c r="F911" s="275"/>
      <c r="G911" s="275"/>
      <c r="H911" s="275"/>
      <c r="I911" s="275"/>
      <c r="J911" s="275"/>
      <c r="K911" s="264"/>
    </row>
    <row r="912" spans="1:11">
      <c r="A912" s="273">
        <v>303</v>
      </c>
      <c r="B912" s="274">
        <v>98</v>
      </c>
      <c r="C912" s="278" t="s">
        <v>221</v>
      </c>
      <c r="D912" s="275" t="s">
        <v>458</v>
      </c>
      <c r="E912" s="275" t="s">
        <v>459</v>
      </c>
      <c r="F912" s="275"/>
      <c r="G912" s="275"/>
      <c r="H912" s="275"/>
      <c r="I912" s="275"/>
      <c r="J912" s="275"/>
      <c r="K912" s="264"/>
    </row>
    <row r="913" spans="1:11">
      <c r="A913" s="273"/>
      <c r="B913" s="274"/>
      <c r="C913" s="278"/>
      <c r="D913" s="275">
        <v>1.05724</v>
      </c>
      <c r="E913" s="275">
        <v>1.08206</v>
      </c>
      <c r="F913" s="275"/>
      <c r="G913" s="275"/>
      <c r="H913" s="275"/>
      <c r="I913" s="275"/>
      <c r="J913" s="275"/>
      <c r="K913" s="264"/>
    </row>
    <row r="914" spans="1:11">
      <c r="A914" s="273"/>
      <c r="B914" s="274"/>
      <c r="C914" s="278"/>
      <c r="D914" s="275"/>
      <c r="E914" s="275"/>
      <c r="F914" s="275"/>
      <c r="G914" s="275"/>
      <c r="H914" s="275"/>
      <c r="I914" s="275"/>
      <c r="J914" s="275"/>
      <c r="K914" s="264"/>
    </row>
    <row r="915" spans="1:11">
      <c r="A915" s="273">
        <v>304</v>
      </c>
      <c r="B915" s="274">
        <v>99</v>
      </c>
      <c r="C915" s="278" t="s">
        <v>408</v>
      </c>
      <c r="D915" s="275" t="s">
        <v>458</v>
      </c>
      <c r="E915" s="275" t="s">
        <v>459</v>
      </c>
      <c r="F915" s="275"/>
      <c r="G915" s="275"/>
      <c r="H915" s="275"/>
      <c r="I915" s="275"/>
      <c r="J915" s="275"/>
      <c r="K915" s="264"/>
    </row>
    <row r="916" spans="1:11">
      <c r="A916" s="273"/>
      <c r="B916" s="274"/>
      <c r="C916" s="278"/>
      <c r="D916" s="275">
        <v>1.10459</v>
      </c>
      <c r="E916" s="275">
        <v>1.1451499999999999</v>
      </c>
      <c r="F916" s="275"/>
      <c r="G916" s="275"/>
      <c r="H916" s="275"/>
      <c r="I916" s="275"/>
      <c r="J916" s="275"/>
      <c r="K916" s="264"/>
    </row>
    <row r="917" spans="1:11">
      <c r="A917" s="273"/>
      <c r="B917" s="274"/>
      <c r="C917" s="278"/>
      <c r="D917" s="275"/>
      <c r="E917" s="275"/>
      <c r="F917" s="275"/>
      <c r="G917" s="275"/>
      <c r="H917" s="275"/>
      <c r="I917" s="275"/>
      <c r="J917" s="275"/>
      <c r="K917" s="264"/>
    </row>
    <row r="918" spans="1:11">
      <c r="A918" s="273">
        <v>305</v>
      </c>
      <c r="B918" s="274">
        <v>99</v>
      </c>
      <c r="C918" s="278" t="s">
        <v>222</v>
      </c>
      <c r="D918" s="275" t="s">
        <v>458</v>
      </c>
      <c r="E918" s="275" t="s">
        <v>459</v>
      </c>
      <c r="F918" s="275"/>
      <c r="G918" s="275"/>
      <c r="H918" s="275"/>
      <c r="I918" s="275"/>
      <c r="J918" s="275"/>
      <c r="K918" s="264"/>
    </row>
    <row r="919" spans="1:11">
      <c r="A919" s="273"/>
      <c r="B919" s="274"/>
      <c r="C919" s="278"/>
      <c r="D919" s="275">
        <v>1.0626199999999999</v>
      </c>
      <c r="E919" s="275">
        <v>1.09324</v>
      </c>
      <c r="F919" s="275"/>
      <c r="G919" s="275"/>
      <c r="H919" s="275"/>
      <c r="I919" s="275"/>
      <c r="J919" s="275"/>
      <c r="K919" s="264"/>
    </row>
    <row r="920" spans="1:11">
      <c r="A920" s="273"/>
      <c r="B920" s="274"/>
      <c r="C920" s="278"/>
      <c r="D920" s="275"/>
      <c r="E920" s="275"/>
      <c r="F920" s="275"/>
      <c r="G920" s="275"/>
      <c r="H920" s="275"/>
      <c r="I920" s="275"/>
      <c r="J920" s="275"/>
      <c r="K920" s="264"/>
    </row>
    <row r="921" spans="1:11">
      <c r="A921" s="273">
        <v>306</v>
      </c>
      <c r="B921" s="274">
        <v>100</v>
      </c>
      <c r="C921" s="278" t="s">
        <v>409</v>
      </c>
      <c r="D921" s="275" t="s">
        <v>458</v>
      </c>
      <c r="E921" s="275" t="s">
        <v>459</v>
      </c>
      <c r="F921" s="275"/>
      <c r="G921" s="275"/>
      <c r="H921" s="275"/>
      <c r="I921" s="275"/>
      <c r="J921" s="275"/>
      <c r="K921" s="264"/>
    </row>
    <row r="922" spans="1:11">
      <c r="A922" s="273"/>
      <c r="B922" s="274"/>
      <c r="C922" s="278"/>
      <c r="D922" s="275">
        <v>1.07104</v>
      </c>
      <c r="E922" s="275">
        <v>1.11145</v>
      </c>
      <c r="F922" s="275"/>
      <c r="G922" s="275"/>
      <c r="H922" s="275"/>
      <c r="I922" s="275"/>
      <c r="J922" s="275"/>
      <c r="K922" s="264"/>
    </row>
    <row r="923" spans="1:11">
      <c r="A923" s="273"/>
      <c r="B923" s="274"/>
      <c r="C923" s="278"/>
      <c r="D923" s="275"/>
      <c r="E923" s="275"/>
      <c r="F923" s="275"/>
      <c r="G923" s="275"/>
      <c r="H923" s="275"/>
      <c r="I923" s="275"/>
      <c r="J923" s="275"/>
      <c r="K923" s="264"/>
    </row>
    <row r="924" spans="1:11">
      <c r="A924" s="273">
        <v>307</v>
      </c>
      <c r="B924" s="274">
        <v>100</v>
      </c>
      <c r="C924" s="278" t="s">
        <v>223</v>
      </c>
      <c r="D924" s="275" t="s">
        <v>458</v>
      </c>
      <c r="E924" s="275" t="s">
        <v>459</v>
      </c>
      <c r="F924" s="275"/>
      <c r="G924" s="275"/>
      <c r="H924" s="275"/>
      <c r="I924" s="275"/>
      <c r="J924" s="275"/>
      <c r="K924" s="264"/>
    </row>
    <row r="925" spans="1:11">
      <c r="A925" s="273"/>
      <c r="B925" s="274"/>
      <c r="C925" s="278"/>
      <c r="D925" s="275">
        <v>1.03287</v>
      </c>
      <c r="E925" s="275">
        <v>1.06366</v>
      </c>
      <c r="F925" s="275"/>
      <c r="G925" s="275"/>
      <c r="H925" s="275"/>
      <c r="I925" s="275"/>
      <c r="J925" s="275"/>
      <c r="K925" s="264"/>
    </row>
    <row r="926" spans="1:11">
      <c r="A926" s="273"/>
      <c r="B926" s="274"/>
      <c r="C926" s="278"/>
      <c r="D926" s="275"/>
      <c r="E926" s="275"/>
      <c r="F926" s="275"/>
      <c r="G926" s="275"/>
      <c r="H926" s="275"/>
      <c r="I926" s="275"/>
      <c r="J926" s="275"/>
      <c r="K926" s="264"/>
    </row>
    <row r="927" spans="1:11">
      <c r="A927" s="273">
        <v>308</v>
      </c>
      <c r="B927" s="274">
        <v>101</v>
      </c>
      <c r="C927" s="278" t="s">
        <v>410</v>
      </c>
      <c r="D927" s="275" t="s">
        <v>458</v>
      </c>
      <c r="E927" s="275" t="s">
        <v>459</v>
      </c>
      <c r="F927" s="275"/>
      <c r="G927" s="275"/>
      <c r="H927" s="275"/>
      <c r="I927" s="275"/>
      <c r="J927" s="275"/>
      <c r="K927" s="264"/>
    </row>
    <row r="928" spans="1:11">
      <c r="A928" s="273"/>
      <c r="B928" s="274"/>
      <c r="C928" s="278"/>
      <c r="D928" s="275">
        <v>1.0402</v>
      </c>
      <c r="E928" s="275">
        <v>1.0805400000000001</v>
      </c>
      <c r="F928" s="275"/>
      <c r="G928" s="275"/>
      <c r="H928" s="275"/>
      <c r="I928" s="275"/>
      <c r="J928" s="275"/>
      <c r="K928" s="264"/>
    </row>
    <row r="929" spans="1:11">
      <c r="A929" s="273"/>
      <c r="B929" s="274"/>
      <c r="C929" s="278"/>
      <c r="D929" s="275"/>
      <c r="E929" s="275"/>
      <c r="F929" s="275"/>
      <c r="G929" s="275"/>
      <c r="H929" s="275"/>
      <c r="I929" s="275"/>
      <c r="J929" s="275"/>
      <c r="K929" s="264"/>
    </row>
    <row r="930" spans="1:11">
      <c r="A930" s="273">
        <v>309</v>
      </c>
      <c r="B930" s="274">
        <v>101</v>
      </c>
      <c r="C930" s="278" t="s">
        <v>224</v>
      </c>
      <c r="D930" s="275" t="s">
        <v>458</v>
      </c>
      <c r="E930" s="275" t="s">
        <v>459</v>
      </c>
      <c r="F930" s="275"/>
      <c r="G930" s="275"/>
      <c r="H930" s="275"/>
      <c r="I930" s="275"/>
      <c r="J930" s="275"/>
      <c r="K930" s="264"/>
    </row>
    <row r="931" spans="1:11">
      <c r="A931" s="273"/>
      <c r="B931" s="274"/>
      <c r="C931" s="278"/>
      <c r="D931" s="275">
        <v>1.00526</v>
      </c>
      <c r="E931" s="275">
        <v>1.03627</v>
      </c>
      <c r="F931" s="275"/>
      <c r="G931" s="275"/>
      <c r="H931" s="275"/>
      <c r="I931" s="275"/>
      <c r="J931" s="275"/>
      <c r="K931" s="264"/>
    </row>
    <row r="932" spans="1:11">
      <c r="A932" s="273"/>
      <c r="B932" s="274"/>
      <c r="C932" s="278"/>
      <c r="D932" s="275"/>
      <c r="E932" s="275"/>
      <c r="F932" s="275"/>
      <c r="G932" s="275"/>
      <c r="H932" s="275"/>
      <c r="I932" s="275"/>
      <c r="J932" s="275"/>
      <c r="K932" s="264"/>
    </row>
    <row r="933" spans="1:11">
      <c r="A933" s="273">
        <v>310</v>
      </c>
      <c r="B933" s="274">
        <v>102</v>
      </c>
      <c r="C933" s="278" t="s">
        <v>411</v>
      </c>
      <c r="D933" s="275" t="s">
        <v>458</v>
      </c>
      <c r="E933" s="275" t="s">
        <v>459</v>
      </c>
      <c r="F933" s="275"/>
      <c r="G933" s="275"/>
      <c r="H933" s="275"/>
      <c r="I933" s="275"/>
      <c r="J933" s="275"/>
      <c r="K933" s="264"/>
    </row>
    <row r="934" spans="1:11">
      <c r="A934" s="273"/>
      <c r="B934" s="274"/>
      <c r="C934" s="278"/>
      <c r="D934" s="275">
        <v>1.0116799999999999</v>
      </c>
      <c r="E934" s="275">
        <v>1.0520400000000001</v>
      </c>
      <c r="F934" s="275"/>
      <c r="G934" s="275"/>
      <c r="H934" s="275"/>
      <c r="I934" s="275"/>
      <c r="J934" s="275"/>
      <c r="K934" s="264"/>
    </row>
    <row r="935" spans="1:11">
      <c r="A935" s="273"/>
      <c r="B935" s="274"/>
      <c r="C935" s="278"/>
      <c r="D935" s="275"/>
      <c r="E935" s="275"/>
      <c r="F935" s="275"/>
      <c r="G935" s="275"/>
      <c r="H935" s="275"/>
      <c r="I935" s="275"/>
      <c r="J935" s="275"/>
      <c r="K935" s="264"/>
    </row>
    <row r="936" spans="1:11">
      <c r="A936" s="273">
        <v>311</v>
      </c>
      <c r="B936" s="274">
        <v>102</v>
      </c>
      <c r="C936" s="278" t="s">
        <v>225</v>
      </c>
      <c r="D936" s="275" t="s">
        <v>458</v>
      </c>
      <c r="E936" s="275" t="s">
        <v>459</v>
      </c>
      <c r="F936" s="275"/>
      <c r="G936" s="275"/>
      <c r="H936" s="275"/>
      <c r="I936" s="275"/>
      <c r="J936" s="275"/>
      <c r="K936" s="264"/>
    </row>
    <row r="937" spans="1:11">
      <c r="A937" s="273"/>
      <c r="B937" s="274"/>
      <c r="C937" s="278"/>
      <c r="D937" s="275">
        <v>0.97953999999999997</v>
      </c>
      <c r="E937" s="275">
        <v>1.0107900000000001</v>
      </c>
      <c r="F937" s="275"/>
      <c r="G937" s="275"/>
      <c r="H937" s="275"/>
      <c r="I937" s="275"/>
      <c r="J937" s="275"/>
      <c r="K937" s="264"/>
    </row>
    <row r="938" spans="1:11">
      <c r="A938" s="273"/>
      <c r="B938" s="274"/>
      <c r="C938" s="278"/>
      <c r="D938" s="275"/>
      <c r="E938" s="275"/>
      <c r="F938" s="275"/>
      <c r="G938" s="275"/>
      <c r="H938" s="275"/>
      <c r="I938" s="275"/>
      <c r="J938" s="275"/>
      <c r="K938" s="264"/>
    </row>
    <row r="939" spans="1:11">
      <c r="A939" s="273">
        <v>312</v>
      </c>
      <c r="B939" s="274">
        <v>103</v>
      </c>
      <c r="C939" s="278" t="s">
        <v>412</v>
      </c>
      <c r="D939" s="275" t="s">
        <v>458</v>
      </c>
      <c r="E939" s="275" t="s">
        <v>459</v>
      </c>
      <c r="F939" s="275"/>
      <c r="G939" s="275"/>
      <c r="H939" s="275"/>
      <c r="I939" s="275"/>
      <c r="J939" s="275"/>
      <c r="K939" s="264"/>
    </row>
    <row r="940" spans="1:11">
      <c r="A940" s="273"/>
      <c r="B940" s="274"/>
      <c r="C940" s="278"/>
      <c r="D940" s="275">
        <v>0.95547000000000004</v>
      </c>
      <c r="E940" s="275">
        <v>0.98699000000000003</v>
      </c>
      <c r="F940" s="275"/>
      <c r="G940" s="275"/>
      <c r="H940" s="275"/>
      <c r="I940" s="275"/>
      <c r="J940" s="275"/>
      <c r="K940" s="264"/>
    </row>
    <row r="941" spans="1:11">
      <c r="A941" s="273"/>
      <c r="B941" s="274"/>
      <c r="C941" s="278"/>
      <c r="D941" s="275"/>
      <c r="E941" s="275"/>
      <c r="F941" s="275"/>
      <c r="G941" s="275"/>
      <c r="H941" s="275"/>
      <c r="I941" s="275"/>
      <c r="J941" s="275"/>
      <c r="K941" s="264"/>
    </row>
    <row r="942" spans="1:11">
      <c r="A942" s="273">
        <v>313</v>
      </c>
      <c r="B942" s="274">
        <v>104</v>
      </c>
      <c r="C942" s="278" t="s">
        <v>413</v>
      </c>
      <c r="D942" s="275" t="s">
        <v>458</v>
      </c>
      <c r="E942" s="275" t="s">
        <v>459</v>
      </c>
      <c r="F942" s="275"/>
      <c r="G942" s="275"/>
      <c r="H942" s="275"/>
      <c r="I942" s="275"/>
      <c r="J942" s="275"/>
      <c r="K942" s="264"/>
    </row>
    <row r="943" spans="1:11">
      <c r="A943" s="273"/>
      <c r="B943" s="274"/>
      <c r="C943" s="278"/>
      <c r="D943" s="275">
        <v>0.90905999999999998</v>
      </c>
      <c r="E943" s="275">
        <v>0.93566000000000005</v>
      </c>
      <c r="F943" s="275"/>
      <c r="G943" s="275"/>
      <c r="H943" s="275"/>
      <c r="I943" s="275"/>
      <c r="J943" s="275"/>
      <c r="K943" s="264"/>
    </row>
    <row r="944" spans="1:11">
      <c r="A944" s="273"/>
      <c r="B944" s="274"/>
      <c r="C944" s="278"/>
      <c r="D944" s="275"/>
      <c r="E944" s="275"/>
      <c r="F944" s="275"/>
      <c r="G944" s="275"/>
      <c r="H944" s="275"/>
      <c r="I944" s="275"/>
      <c r="J944" s="275"/>
      <c r="K944" s="264"/>
    </row>
    <row r="945" spans="1:11">
      <c r="A945" s="273">
        <v>314</v>
      </c>
      <c r="B945" s="274">
        <v>105</v>
      </c>
      <c r="C945" s="278" t="s">
        <v>414</v>
      </c>
      <c r="D945" s="275" t="s">
        <v>458</v>
      </c>
      <c r="E945" s="275" t="s">
        <v>459</v>
      </c>
      <c r="F945" s="275"/>
      <c r="G945" s="275"/>
      <c r="H945" s="275"/>
      <c r="I945" s="275"/>
      <c r="J945" s="275"/>
      <c r="K945" s="264"/>
    </row>
    <row r="946" spans="1:11">
      <c r="A946" s="273"/>
      <c r="B946" s="274"/>
      <c r="C946" s="278"/>
      <c r="D946" s="275">
        <v>0.86939999999999995</v>
      </c>
      <c r="E946" s="275">
        <v>0.89280000000000004</v>
      </c>
      <c r="F946" s="275"/>
      <c r="G946" s="275"/>
      <c r="H946" s="275"/>
      <c r="I946" s="275"/>
      <c r="J946" s="275"/>
      <c r="K946" s="264"/>
    </row>
    <row r="947" spans="1:11">
      <c r="A947" s="273"/>
      <c r="B947" s="274"/>
      <c r="C947" s="278"/>
      <c r="D947" s="275"/>
      <c r="E947" s="275"/>
      <c r="F947" s="275"/>
      <c r="G947" s="275"/>
      <c r="H947" s="275"/>
      <c r="I947" s="275"/>
      <c r="J947" s="275"/>
      <c r="K947" s="264"/>
    </row>
    <row r="948" spans="1:11">
      <c r="A948" s="273">
        <v>315</v>
      </c>
      <c r="B948" s="274">
        <v>106</v>
      </c>
      <c r="C948" s="278" t="s">
        <v>415</v>
      </c>
      <c r="D948" s="275" t="s">
        <v>458</v>
      </c>
      <c r="E948" s="275" t="s">
        <v>459</v>
      </c>
      <c r="F948" s="275"/>
      <c r="G948" s="275"/>
      <c r="H948" s="275"/>
      <c r="I948" s="275"/>
      <c r="J948" s="275"/>
      <c r="K948" s="264"/>
    </row>
    <row r="949" spans="1:11">
      <c r="A949" s="273"/>
      <c r="B949" s="274"/>
      <c r="C949" s="278"/>
      <c r="D949" s="275">
        <v>0.8347</v>
      </c>
      <c r="E949" s="275">
        <v>0.85582999999999998</v>
      </c>
      <c r="F949" s="275"/>
      <c r="G949" s="275"/>
      <c r="H949" s="275"/>
      <c r="I949" s="275"/>
      <c r="J949" s="275"/>
      <c r="K949" s="264"/>
    </row>
    <row r="950" spans="1:11">
      <c r="A950" s="273"/>
      <c r="B950" s="274"/>
      <c r="C950" s="278"/>
      <c r="D950" s="275"/>
      <c r="E950" s="275"/>
      <c r="F950" s="275"/>
      <c r="G950" s="275"/>
      <c r="H950" s="275"/>
      <c r="I950" s="275"/>
      <c r="J950" s="275"/>
      <c r="K950" s="264"/>
    </row>
    <row r="951" spans="1:11">
      <c r="A951" s="273">
        <v>316</v>
      </c>
      <c r="B951" s="274">
        <v>107</v>
      </c>
      <c r="C951" s="278" t="s">
        <v>416</v>
      </c>
      <c r="D951" s="275" t="s">
        <v>458</v>
      </c>
      <c r="E951" s="275" t="s">
        <v>459</v>
      </c>
      <c r="F951" s="275"/>
      <c r="G951" s="275"/>
      <c r="H951" s="275"/>
      <c r="I951" s="275"/>
      <c r="J951" s="275"/>
      <c r="K951" s="264"/>
    </row>
    <row r="952" spans="1:11">
      <c r="A952" s="273"/>
      <c r="B952" s="274"/>
      <c r="C952" s="278"/>
      <c r="D952" s="275">
        <v>0.80384</v>
      </c>
      <c r="E952" s="275">
        <v>0.82326999999999995</v>
      </c>
      <c r="F952" s="275"/>
      <c r="G952" s="275"/>
      <c r="H952" s="275"/>
      <c r="I952" s="275"/>
      <c r="J952" s="275"/>
      <c r="K952" s="264"/>
    </row>
    <row r="953" spans="1:11">
      <c r="A953" s="273"/>
      <c r="B953" s="274"/>
      <c r="C953" s="278"/>
      <c r="D953" s="275"/>
      <c r="E953" s="275"/>
      <c r="F953" s="275"/>
      <c r="G953" s="275"/>
      <c r="H953" s="275"/>
      <c r="I953" s="275"/>
      <c r="J953" s="275"/>
      <c r="K953" s="264"/>
    </row>
    <row r="954" spans="1:11">
      <c r="A954" s="273">
        <v>317</v>
      </c>
      <c r="B954" s="274">
        <v>108</v>
      </c>
      <c r="C954" s="278" t="s">
        <v>417</v>
      </c>
      <c r="D954" s="275" t="s">
        <v>458</v>
      </c>
      <c r="E954" s="275" t="s">
        <v>459</v>
      </c>
      <c r="F954" s="275"/>
      <c r="G954" s="275"/>
      <c r="H954" s="275"/>
      <c r="I954" s="275"/>
      <c r="J954" s="275"/>
      <c r="K954" s="264"/>
    </row>
    <row r="955" spans="1:11">
      <c r="A955" s="273"/>
      <c r="B955" s="274"/>
      <c r="C955" s="278"/>
      <c r="D955" s="275">
        <v>0.77605000000000002</v>
      </c>
      <c r="E955" s="275">
        <v>0.79417000000000004</v>
      </c>
      <c r="F955" s="275"/>
      <c r="G955" s="275"/>
      <c r="H955" s="275"/>
      <c r="I955" s="275"/>
      <c r="J955" s="275"/>
      <c r="K955" s="264"/>
    </row>
    <row r="956" spans="1:11">
      <c r="A956" s="273"/>
      <c r="B956" s="274"/>
      <c r="C956" s="278"/>
      <c r="D956" s="275"/>
      <c r="E956" s="275"/>
      <c r="F956" s="275"/>
      <c r="G956" s="275"/>
      <c r="H956" s="275"/>
      <c r="I956" s="275"/>
      <c r="J956" s="275"/>
      <c r="K956" s="264"/>
    </row>
    <row r="957" spans="1:11">
      <c r="A957" s="273">
        <v>318</v>
      </c>
      <c r="B957" s="274">
        <v>112</v>
      </c>
      <c r="C957" s="278" t="s">
        <v>418</v>
      </c>
      <c r="D957" s="275" t="s">
        <v>458</v>
      </c>
      <c r="E957" s="275" t="s">
        <v>459</v>
      </c>
      <c r="F957" s="275" t="s">
        <v>460</v>
      </c>
      <c r="G957" s="275" t="s">
        <v>461</v>
      </c>
      <c r="H957" s="275"/>
      <c r="I957" s="275"/>
      <c r="J957" s="275"/>
      <c r="K957" s="264"/>
    </row>
    <row r="958" spans="1:11">
      <c r="A958" s="273"/>
      <c r="B958" s="274"/>
      <c r="C958" s="278"/>
      <c r="D958" s="275">
        <v>0.70286000000000004</v>
      </c>
      <c r="E958" s="275">
        <v>0.71931999999999996</v>
      </c>
      <c r="F958" s="275">
        <v>1.5831900000000001</v>
      </c>
      <c r="G958" s="275">
        <v>1.69828</v>
      </c>
      <c r="H958" s="275"/>
      <c r="I958" s="275"/>
      <c r="J958" s="275"/>
      <c r="K958" s="26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CBA5-1DC9-41C5-AB27-EF92D8142B7E}">
  <dimension ref="A1:AA943"/>
  <sheetViews>
    <sheetView workbookViewId="0">
      <selection activeCell="G2" sqref="G2"/>
    </sheetView>
  </sheetViews>
  <sheetFormatPr defaultRowHeight="15"/>
  <cols>
    <col min="1" max="1" width="9.140625" style="264"/>
    <col min="2" max="2" width="9.140625" style="39"/>
    <col min="3" max="3" width="9.140625" style="38"/>
  </cols>
  <sheetData>
    <row r="1" spans="1:27">
      <c r="A1" s="281" t="s">
        <v>469</v>
      </c>
      <c r="B1" s="266"/>
      <c r="C1" s="266"/>
      <c r="D1" s="267"/>
      <c r="E1" s="267"/>
      <c r="F1" s="267"/>
      <c r="G1" s="267"/>
      <c r="H1" s="267"/>
      <c r="I1" s="267"/>
      <c r="J1" s="267"/>
      <c r="K1" s="267"/>
      <c r="L1" s="267"/>
    </row>
    <row r="2" spans="1:27">
      <c r="A2" s="266"/>
      <c r="B2" s="266" t="s">
        <v>432</v>
      </c>
      <c r="C2" s="266"/>
      <c r="D2" s="267"/>
      <c r="E2" s="267"/>
      <c r="F2" s="267"/>
      <c r="G2" s="267"/>
      <c r="H2" s="267"/>
      <c r="I2" s="267"/>
      <c r="J2" s="267"/>
      <c r="K2" s="267"/>
      <c r="L2" s="267"/>
    </row>
    <row r="4" spans="1:27">
      <c r="A4" s="279" t="s">
        <v>286</v>
      </c>
      <c r="B4" s="270" t="s">
        <v>0</v>
      </c>
      <c r="C4" s="276" t="s">
        <v>421</v>
      </c>
      <c r="D4" s="272" t="s">
        <v>433</v>
      </c>
      <c r="E4" s="272" t="s">
        <v>433</v>
      </c>
      <c r="F4" s="272" t="s">
        <v>433</v>
      </c>
      <c r="G4" s="272" t="s">
        <v>433</v>
      </c>
      <c r="H4" s="272" t="s">
        <v>433</v>
      </c>
      <c r="I4" s="272" t="s">
        <v>433</v>
      </c>
      <c r="J4" s="272" t="s">
        <v>433</v>
      </c>
      <c r="K4" s="272" t="s">
        <v>433</v>
      </c>
      <c r="L4" s="272" t="s">
        <v>433</v>
      </c>
      <c r="M4" s="272" t="s">
        <v>433</v>
      </c>
      <c r="N4" s="272" t="s">
        <v>433</v>
      </c>
      <c r="O4" s="272" t="s">
        <v>433</v>
      </c>
      <c r="P4" s="272" t="s">
        <v>433</v>
      </c>
      <c r="Q4" s="272" t="s">
        <v>433</v>
      </c>
      <c r="R4" s="272" t="s">
        <v>433</v>
      </c>
      <c r="S4" s="272" t="s">
        <v>433</v>
      </c>
      <c r="T4" s="272" t="s">
        <v>433</v>
      </c>
      <c r="U4" s="272" t="s">
        <v>433</v>
      </c>
      <c r="V4" s="272" t="s">
        <v>433</v>
      </c>
      <c r="W4" s="272" t="s">
        <v>433</v>
      </c>
      <c r="X4" s="272" t="s">
        <v>433</v>
      </c>
      <c r="Y4" s="272" t="s">
        <v>433</v>
      </c>
      <c r="Z4" s="272" t="s">
        <v>433</v>
      </c>
      <c r="AA4" s="272" t="s">
        <v>433</v>
      </c>
    </row>
    <row r="5" spans="1:27">
      <c r="A5" s="273"/>
      <c r="B5" s="274"/>
      <c r="C5" s="278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</row>
    <row r="6" spans="1:27">
      <c r="A6" s="273">
        <v>3</v>
      </c>
      <c r="B6" s="274">
        <v>5</v>
      </c>
      <c r="C6" s="278" t="s">
        <v>3</v>
      </c>
      <c r="D6" s="275" t="s">
        <v>434</v>
      </c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</row>
    <row r="7" spans="1:27">
      <c r="A7" s="273"/>
      <c r="B7" s="274"/>
      <c r="C7" s="278"/>
      <c r="D7" s="275">
        <v>0.21099999999999999</v>
      </c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</row>
    <row r="8" spans="1:27">
      <c r="A8" s="273"/>
      <c r="B8" s="274"/>
      <c r="C8" s="278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</row>
    <row r="9" spans="1:27">
      <c r="A9" s="273">
        <v>4</v>
      </c>
      <c r="B9" s="274">
        <v>5</v>
      </c>
      <c r="C9" s="278" t="s">
        <v>4</v>
      </c>
      <c r="D9" s="275" t="s">
        <v>434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</row>
    <row r="10" spans="1:27">
      <c r="A10" s="273"/>
      <c r="B10" s="274"/>
      <c r="C10" s="278"/>
      <c r="D10" s="275">
        <v>0.21099999999999999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</row>
    <row r="11" spans="1:27">
      <c r="A11" s="273"/>
      <c r="B11" s="274"/>
      <c r="C11" s="278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</row>
    <row r="12" spans="1:27">
      <c r="A12" s="273">
        <v>6</v>
      </c>
      <c r="B12" s="274">
        <v>6</v>
      </c>
      <c r="C12" s="278" t="s">
        <v>6</v>
      </c>
      <c r="D12" s="275" t="s">
        <v>434</v>
      </c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</row>
    <row r="13" spans="1:27">
      <c r="A13" s="273"/>
      <c r="B13" s="274"/>
      <c r="C13" s="278"/>
      <c r="D13" s="275">
        <v>0.17399999999999999</v>
      </c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</row>
    <row r="14" spans="1:27">
      <c r="A14" s="273"/>
      <c r="B14" s="274"/>
      <c r="C14" s="278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</row>
    <row r="15" spans="1:27">
      <c r="A15" s="273">
        <v>7</v>
      </c>
      <c r="B15" s="274">
        <v>6</v>
      </c>
      <c r="C15" s="278" t="s">
        <v>7</v>
      </c>
      <c r="D15" s="275" t="s">
        <v>434</v>
      </c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</row>
    <row r="16" spans="1:27">
      <c r="A16" s="273"/>
      <c r="B16" s="274"/>
      <c r="C16" s="278"/>
      <c r="D16" s="275">
        <v>0.17399999999999999</v>
      </c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</row>
    <row r="17" spans="1:27">
      <c r="A17" s="273"/>
      <c r="B17" s="274"/>
      <c r="C17" s="278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</row>
    <row r="18" spans="1:27">
      <c r="A18" s="273">
        <v>8</v>
      </c>
      <c r="B18" s="274">
        <v>6</v>
      </c>
      <c r="C18" s="278" t="s">
        <v>8</v>
      </c>
      <c r="D18" s="275" t="s">
        <v>434</v>
      </c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</row>
    <row r="19" spans="1:27">
      <c r="A19" s="273"/>
      <c r="B19" s="274"/>
      <c r="C19" s="278"/>
      <c r="D19" s="275">
        <v>0.17399999999999999</v>
      </c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</row>
    <row r="20" spans="1:27">
      <c r="A20" s="273"/>
      <c r="B20" s="274"/>
      <c r="C20" s="278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</row>
    <row r="21" spans="1:27">
      <c r="A21" s="273">
        <v>10</v>
      </c>
      <c r="B21" s="274">
        <v>6</v>
      </c>
      <c r="C21" s="278" t="s">
        <v>306</v>
      </c>
      <c r="D21" s="275" t="s">
        <v>434</v>
      </c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</row>
    <row r="22" spans="1:27">
      <c r="A22" s="273"/>
      <c r="B22" s="274"/>
      <c r="C22" s="278"/>
      <c r="D22" s="275">
        <v>0.17399999999999999</v>
      </c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</row>
    <row r="23" spans="1:27">
      <c r="A23" s="273"/>
      <c r="B23" s="274"/>
      <c r="C23" s="278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</row>
    <row r="24" spans="1:27">
      <c r="A24" s="273">
        <v>11</v>
      </c>
      <c r="B24" s="274">
        <v>7</v>
      </c>
      <c r="C24" s="278" t="s">
        <v>10</v>
      </c>
      <c r="D24" s="275" t="s">
        <v>434</v>
      </c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</row>
    <row r="25" spans="1:27">
      <c r="A25" s="273"/>
      <c r="B25" s="274"/>
      <c r="C25" s="278"/>
      <c r="D25" s="275">
        <v>0.14799999999999999</v>
      </c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</row>
    <row r="26" spans="1:27">
      <c r="A26" s="273"/>
      <c r="B26" s="274"/>
      <c r="C26" s="278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</row>
    <row r="27" spans="1:27">
      <c r="A27" s="273">
        <v>12</v>
      </c>
      <c r="B27" s="274">
        <v>7</v>
      </c>
      <c r="C27" s="278" t="s">
        <v>11</v>
      </c>
      <c r="D27" s="275" t="s">
        <v>434</v>
      </c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</row>
    <row r="28" spans="1:27">
      <c r="A28" s="273"/>
      <c r="B28" s="274"/>
      <c r="C28" s="278"/>
      <c r="D28" s="275">
        <v>0.14799999999999999</v>
      </c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</row>
    <row r="29" spans="1:27">
      <c r="A29" s="273"/>
      <c r="B29" s="274"/>
      <c r="C29" s="278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</row>
    <row r="30" spans="1:27">
      <c r="A30" s="273">
        <v>13</v>
      </c>
      <c r="B30" s="274">
        <v>7</v>
      </c>
      <c r="C30" s="278" t="s">
        <v>12</v>
      </c>
      <c r="D30" s="275" t="s">
        <v>434</v>
      </c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</row>
    <row r="31" spans="1:27">
      <c r="A31" s="273"/>
      <c r="B31" s="274"/>
      <c r="C31" s="278"/>
      <c r="D31" s="275">
        <v>0.14799999999999999</v>
      </c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</row>
    <row r="32" spans="1:27">
      <c r="A32" s="273"/>
      <c r="B32" s="274"/>
      <c r="C32" s="278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</row>
    <row r="33" spans="1:27">
      <c r="A33" s="273">
        <v>14</v>
      </c>
      <c r="B33" s="274">
        <v>7</v>
      </c>
      <c r="C33" s="278" t="s">
        <v>13</v>
      </c>
      <c r="D33" s="275" t="s">
        <v>434</v>
      </c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</row>
    <row r="34" spans="1:27">
      <c r="A34" s="273"/>
      <c r="B34" s="274"/>
      <c r="C34" s="278"/>
      <c r="D34" s="275">
        <v>0.14799999999999999</v>
      </c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</row>
    <row r="35" spans="1:27">
      <c r="A35" s="273"/>
      <c r="B35" s="274"/>
      <c r="C35" s="278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</row>
    <row r="36" spans="1:27">
      <c r="A36" s="273">
        <v>16</v>
      </c>
      <c r="B36" s="274">
        <v>8</v>
      </c>
      <c r="C36" s="278" t="s">
        <v>15</v>
      </c>
      <c r="D36" s="275" t="s">
        <v>434</v>
      </c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</row>
    <row r="37" spans="1:27">
      <c r="A37" s="273"/>
      <c r="B37" s="274"/>
      <c r="C37" s="278"/>
      <c r="D37" s="275">
        <v>0.129</v>
      </c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</row>
    <row r="38" spans="1:27">
      <c r="A38" s="273"/>
      <c r="B38" s="274"/>
      <c r="C38" s="278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</row>
    <row r="39" spans="1:27">
      <c r="A39" s="273">
        <v>17</v>
      </c>
      <c r="B39" s="274">
        <v>8</v>
      </c>
      <c r="C39" s="278" t="s">
        <v>16</v>
      </c>
      <c r="D39" s="275" t="s">
        <v>434</v>
      </c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</row>
    <row r="40" spans="1:27">
      <c r="A40" s="273"/>
      <c r="B40" s="274"/>
      <c r="C40" s="278"/>
      <c r="D40" s="275">
        <v>0.129</v>
      </c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</row>
    <row r="41" spans="1:27">
      <c r="A41" s="273"/>
      <c r="B41" s="274"/>
      <c r="C41" s="278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</row>
    <row r="42" spans="1:27">
      <c r="A42" s="273">
        <v>18</v>
      </c>
      <c r="B42" s="274">
        <v>8</v>
      </c>
      <c r="C42" s="278" t="s">
        <v>326</v>
      </c>
      <c r="D42" s="275" t="s">
        <v>434</v>
      </c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</row>
    <row r="43" spans="1:27">
      <c r="A43" s="273"/>
      <c r="B43" s="274"/>
      <c r="C43" s="278"/>
      <c r="D43" s="275">
        <v>0.129</v>
      </c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</row>
    <row r="44" spans="1:27">
      <c r="A44" s="273"/>
      <c r="B44" s="274"/>
      <c r="C44" s="278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</row>
    <row r="45" spans="1:27">
      <c r="A45" s="273">
        <v>19</v>
      </c>
      <c r="B45" s="274">
        <v>9</v>
      </c>
      <c r="C45" s="278" t="s">
        <v>328</v>
      </c>
      <c r="D45" s="275" t="s">
        <v>434</v>
      </c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</row>
    <row r="46" spans="1:27">
      <c r="A46" s="273"/>
      <c r="B46" s="274"/>
      <c r="C46" s="278"/>
      <c r="D46" s="275">
        <v>0.114</v>
      </c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</row>
    <row r="47" spans="1:27">
      <c r="A47" s="273"/>
      <c r="B47" s="274"/>
      <c r="C47" s="278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</row>
    <row r="48" spans="1:27">
      <c r="A48" s="273">
        <v>20</v>
      </c>
      <c r="B48" s="274">
        <v>11</v>
      </c>
      <c r="C48" s="278" t="s">
        <v>17</v>
      </c>
      <c r="D48" s="275" t="s">
        <v>434</v>
      </c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</row>
    <row r="49" spans="1:27">
      <c r="A49" s="273"/>
      <c r="B49" s="274"/>
      <c r="C49" s="278"/>
      <c r="D49" s="275">
        <v>9.2999999999999999E-2</v>
      </c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</row>
    <row r="50" spans="1:27">
      <c r="A50" s="273"/>
      <c r="B50" s="274"/>
      <c r="C50" s="278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</row>
    <row r="51" spans="1:27">
      <c r="A51" s="273">
        <v>21</v>
      </c>
      <c r="B51" s="274">
        <v>12</v>
      </c>
      <c r="C51" s="278" t="s">
        <v>329</v>
      </c>
      <c r="D51" s="275" t="s">
        <v>434</v>
      </c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</row>
    <row r="52" spans="1:27">
      <c r="A52" s="273"/>
      <c r="B52" s="274"/>
      <c r="C52" s="278"/>
      <c r="D52" s="275">
        <v>8.5000000000000006E-2</v>
      </c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</row>
    <row r="53" spans="1:27">
      <c r="A53" s="273"/>
      <c r="B53" s="274"/>
      <c r="C53" s="278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</row>
    <row r="54" spans="1:27">
      <c r="A54" s="273">
        <v>22</v>
      </c>
      <c r="B54" s="274">
        <v>13</v>
      </c>
      <c r="C54" s="278" t="s">
        <v>18</v>
      </c>
      <c r="D54" s="275" t="s">
        <v>434</v>
      </c>
      <c r="E54" s="275" t="s">
        <v>435</v>
      </c>
      <c r="F54" s="275" t="s">
        <v>436</v>
      </c>
      <c r="G54" s="275" t="s">
        <v>437</v>
      </c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</row>
    <row r="55" spans="1:27">
      <c r="A55" s="273"/>
      <c r="B55" s="274"/>
      <c r="C55" s="278"/>
      <c r="D55" s="275">
        <v>7.8E-2</v>
      </c>
      <c r="E55" s="275">
        <v>0.49399999999999999</v>
      </c>
      <c r="F55" s="275">
        <v>0.43099999999999999</v>
      </c>
      <c r="G55" s="275">
        <v>0.432</v>
      </c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</row>
    <row r="56" spans="1:27">
      <c r="A56" s="273"/>
      <c r="B56" s="274"/>
      <c r="C56" s="278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</row>
    <row r="57" spans="1:27">
      <c r="A57" s="273">
        <v>23</v>
      </c>
      <c r="B57" s="274">
        <v>13</v>
      </c>
      <c r="C57" s="278" t="s">
        <v>330</v>
      </c>
      <c r="D57" s="275" t="s">
        <v>434</v>
      </c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</row>
    <row r="58" spans="1:27">
      <c r="A58" s="273"/>
      <c r="B58" s="274"/>
      <c r="C58" s="278"/>
      <c r="D58" s="275">
        <v>7.8E-2</v>
      </c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</row>
    <row r="59" spans="1:27">
      <c r="A59" s="273"/>
      <c r="B59" s="274"/>
      <c r="C59" s="278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</row>
    <row r="60" spans="1:27">
      <c r="A60" s="273">
        <v>24</v>
      </c>
      <c r="B60" s="274">
        <v>14</v>
      </c>
      <c r="C60" s="278" t="s">
        <v>19</v>
      </c>
      <c r="D60" s="275" t="s">
        <v>434</v>
      </c>
      <c r="E60" s="275" t="s">
        <v>435</v>
      </c>
      <c r="F60" s="275" t="s">
        <v>436</v>
      </c>
      <c r="G60" s="275" t="s">
        <v>437</v>
      </c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</row>
    <row r="61" spans="1:27">
      <c r="A61" s="273"/>
      <c r="B61" s="274"/>
      <c r="C61" s="278"/>
      <c r="D61" s="275">
        <v>7.2999999999999995E-2</v>
      </c>
      <c r="E61" s="275">
        <v>0.45200000000000001</v>
      </c>
      <c r="F61" s="275">
        <v>0.38900000000000001</v>
      </c>
      <c r="G61" s="275">
        <v>0.39100000000000001</v>
      </c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</row>
    <row r="62" spans="1:27">
      <c r="A62" s="273"/>
      <c r="B62" s="274"/>
      <c r="C62" s="278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</row>
    <row r="63" spans="1:27">
      <c r="A63" s="273">
        <v>25</v>
      </c>
      <c r="B63" s="274">
        <v>14</v>
      </c>
      <c r="C63" s="278" t="s">
        <v>20</v>
      </c>
      <c r="D63" s="275" t="s">
        <v>434</v>
      </c>
      <c r="E63" s="275" t="s">
        <v>435</v>
      </c>
      <c r="F63" s="275" t="s">
        <v>436</v>
      </c>
      <c r="G63" s="275" t="s">
        <v>437</v>
      </c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</row>
    <row r="64" spans="1:27">
      <c r="A64" s="273"/>
      <c r="B64" s="274"/>
      <c r="C64" s="278"/>
      <c r="D64" s="275">
        <v>7.2999999999999995E-2</v>
      </c>
      <c r="E64" s="275">
        <v>0.45200000000000001</v>
      </c>
      <c r="F64" s="275">
        <v>0.38900000000000001</v>
      </c>
      <c r="G64" s="275">
        <v>0.39</v>
      </c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</row>
    <row r="65" spans="1:27">
      <c r="A65" s="273"/>
      <c r="B65" s="274"/>
      <c r="C65" s="278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</row>
    <row r="66" spans="1:27">
      <c r="A66" s="273">
        <v>26</v>
      </c>
      <c r="B66" s="274">
        <v>14</v>
      </c>
      <c r="C66" s="278" t="s">
        <v>21</v>
      </c>
      <c r="D66" s="275" t="s">
        <v>434</v>
      </c>
      <c r="E66" s="275" t="s">
        <v>435</v>
      </c>
      <c r="F66" s="275" t="s">
        <v>436</v>
      </c>
      <c r="G66" s="275" t="s">
        <v>437</v>
      </c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</row>
    <row r="67" spans="1:27">
      <c r="A67" s="273"/>
      <c r="B67" s="274"/>
      <c r="C67" s="278"/>
      <c r="D67" s="275">
        <v>7.2999999999999995E-2</v>
      </c>
      <c r="E67" s="275">
        <v>0.45200000000000001</v>
      </c>
      <c r="F67" s="275">
        <v>0.38800000000000001</v>
      </c>
      <c r="G67" s="275">
        <v>0.39</v>
      </c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</row>
    <row r="68" spans="1:27">
      <c r="A68" s="273"/>
      <c r="B68" s="274"/>
      <c r="C68" s="278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</row>
    <row r="69" spans="1:27">
      <c r="A69" s="273">
        <v>27</v>
      </c>
      <c r="B69" s="274">
        <v>14</v>
      </c>
      <c r="C69" s="278" t="s">
        <v>22</v>
      </c>
      <c r="D69" s="275" t="s">
        <v>434</v>
      </c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</row>
    <row r="70" spans="1:27">
      <c r="A70" s="273"/>
      <c r="B70" s="274"/>
      <c r="C70" s="278"/>
      <c r="D70" s="275">
        <v>7.2999999999999995E-2</v>
      </c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</row>
    <row r="71" spans="1:27">
      <c r="A71" s="273"/>
      <c r="B71" s="274"/>
      <c r="C71" s="278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</row>
    <row r="72" spans="1:27">
      <c r="A72" s="273">
        <v>28</v>
      </c>
      <c r="B72" s="274">
        <v>14</v>
      </c>
      <c r="C72" s="278" t="s">
        <v>463</v>
      </c>
      <c r="D72" s="275" t="s">
        <v>468</v>
      </c>
      <c r="E72" s="275" t="s">
        <v>435</v>
      </c>
      <c r="F72" s="275" t="s">
        <v>436</v>
      </c>
      <c r="G72" s="275" t="s">
        <v>437</v>
      </c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</row>
    <row r="73" spans="1:27">
      <c r="A73" s="273"/>
      <c r="B73" s="274"/>
      <c r="C73" s="278"/>
      <c r="D73" s="275">
        <v>7.2999999999999995E-2</v>
      </c>
      <c r="E73" s="275">
        <v>0.45300000000000001</v>
      </c>
      <c r="F73" s="275">
        <v>0.38900000000000001</v>
      </c>
      <c r="G73" s="275">
        <v>0.39100000000000001</v>
      </c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</row>
    <row r="74" spans="1:27">
      <c r="A74" s="273"/>
      <c r="B74" s="274"/>
      <c r="C74" s="278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</row>
    <row r="75" spans="1:27">
      <c r="A75" s="273">
        <v>29</v>
      </c>
      <c r="B75" s="274">
        <v>15</v>
      </c>
      <c r="C75" s="278" t="s">
        <v>23</v>
      </c>
      <c r="D75" s="275" t="s">
        <v>434</v>
      </c>
      <c r="E75" s="275" t="s">
        <v>435</v>
      </c>
      <c r="F75" s="275" t="s">
        <v>436</v>
      </c>
      <c r="G75" s="275" t="s">
        <v>437</v>
      </c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</row>
    <row r="76" spans="1:27">
      <c r="A76" s="273"/>
      <c r="B76" s="274"/>
      <c r="C76" s="278"/>
      <c r="D76" s="275">
        <v>6.8000000000000005E-2</v>
      </c>
      <c r="E76" s="275">
        <v>0.41699999999999998</v>
      </c>
      <c r="F76" s="275">
        <v>0.35499999999999998</v>
      </c>
      <c r="G76" s="275">
        <v>0.35599999999999998</v>
      </c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</row>
    <row r="77" spans="1:27">
      <c r="A77" s="273"/>
      <c r="B77" s="274"/>
      <c r="C77" s="278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</row>
    <row r="78" spans="1:27">
      <c r="A78" s="273">
        <v>30</v>
      </c>
      <c r="B78" s="274">
        <v>15</v>
      </c>
      <c r="C78" s="278" t="s">
        <v>24</v>
      </c>
      <c r="D78" s="275" t="s">
        <v>434</v>
      </c>
      <c r="E78" s="275" t="s">
        <v>435</v>
      </c>
      <c r="F78" s="275" t="s">
        <v>436</v>
      </c>
      <c r="G78" s="275" t="s">
        <v>437</v>
      </c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</row>
    <row r="79" spans="1:27">
      <c r="A79" s="273"/>
      <c r="B79" s="274"/>
      <c r="C79" s="278"/>
      <c r="D79" s="275">
        <v>6.8000000000000005E-2</v>
      </c>
      <c r="E79" s="275">
        <v>0.41699999999999998</v>
      </c>
      <c r="F79" s="275">
        <v>0.35399999999999998</v>
      </c>
      <c r="G79" s="275">
        <v>0.35599999999999998</v>
      </c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</row>
    <row r="80" spans="1:27">
      <c r="A80" s="273"/>
      <c r="B80" s="274"/>
      <c r="C80" s="278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</row>
    <row r="81" spans="1:27">
      <c r="A81" s="273">
        <v>31</v>
      </c>
      <c r="B81" s="274">
        <v>15</v>
      </c>
      <c r="C81" s="278" t="s">
        <v>25</v>
      </c>
      <c r="D81" s="275" t="s">
        <v>434</v>
      </c>
      <c r="E81" s="275" t="s">
        <v>435</v>
      </c>
      <c r="F81" s="275" t="s">
        <v>436</v>
      </c>
      <c r="G81" s="275" t="s">
        <v>437</v>
      </c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</row>
    <row r="82" spans="1:27">
      <c r="A82" s="273"/>
      <c r="B82" s="274"/>
      <c r="C82" s="278"/>
      <c r="D82" s="275">
        <v>6.8000000000000005E-2</v>
      </c>
      <c r="E82" s="275">
        <v>0.41599999999999998</v>
      </c>
      <c r="F82" s="275">
        <v>0.35399999999999998</v>
      </c>
      <c r="G82" s="275">
        <v>0.35599999999999998</v>
      </c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</row>
    <row r="83" spans="1:27">
      <c r="A83" s="273"/>
      <c r="B83" s="274"/>
      <c r="C83" s="278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</row>
    <row r="84" spans="1:27">
      <c r="A84" s="273">
        <v>32</v>
      </c>
      <c r="B84" s="274">
        <v>15</v>
      </c>
      <c r="C84" s="278" t="s">
        <v>26</v>
      </c>
      <c r="D84" s="275" t="s">
        <v>434</v>
      </c>
      <c r="E84" s="275" t="s">
        <v>435</v>
      </c>
      <c r="F84" s="275" t="s">
        <v>436</v>
      </c>
      <c r="G84" s="275" t="s">
        <v>437</v>
      </c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</row>
    <row r="85" spans="1:27">
      <c r="A85" s="273"/>
      <c r="B85" s="274"/>
      <c r="C85" s="278"/>
      <c r="D85" s="275">
        <v>6.8000000000000005E-2</v>
      </c>
      <c r="E85" s="275">
        <v>0.41599999999999998</v>
      </c>
      <c r="F85" s="275">
        <v>0.35399999999999998</v>
      </c>
      <c r="G85" s="275">
        <v>0.35499999999999998</v>
      </c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</row>
    <row r="86" spans="1:27">
      <c r="A86" s="273"/>
      <c r="B86" s="274"/>
      <c r="C86" s="278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</row>
    <row r="87" spans="1:27">
      <c r="A87" s="273">
        <v>33</v>
      </c>
      <c r="B87" s="274">
        <v>15</v>
      </c>
      <c r="C87" s="278" t="s">
        <v>27</v>
      </c>
      <c r="D87" s="275" t="s">
        <v>434</v>
      </c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</row>
    <row r="88" spans="1:27">
      <c r="A88" s="273"/>
      <c r="B88" s="274"/>
      <c r="C88" s="278"/>
      <c r="D88" s="275">
        <v>6.8000000000000005E-2</v>
      </c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</row>
    <row r="89" spans="1:27">
      <c r="A89" s="273"/>
      <c r="B89" s="274"/>
      <c r="C89" s="278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</row>
    <row r="90" spans="1:27">
      <c r="A90" s="273">
        <v>34</v>
      </c>
      <c r="B90" s="274">
        <v>16</v>
      </c>
      <c r="C90" s="278" t="s">
        <v>28</v>
      </c>
      <c r="D90" s="275" t="s">
        <v>434</v>
      </c>
      <c r="E90" s="275" t="s">
        <v>435</v>
      </c>
      <c r="F90" s="275" t="s">
        <v>436</v>
      </c>
      <c r="G90" s="275" t="s">
        <v>437</v>
      </c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</row>
    <row r="91" spans="1:27">
      <c r="A91" s="273"/>
      <c r="B91" s="274"/>
      <c r="C91" s="278"/>
      <c r="D91" s="275">
        <v>6.3E-2</v>
      </c>
      <c r="E91" s="275">
        <v>0.38600000000000001</v>
      </c>
      <c r="F91" s="275">
        <v>0.32600000000000001</v>
      </c>
      <c r="G91" s="275">
        <v>0.32700000000000001</v>
      </c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</row>
    <row r="92" spans="1:27">
      <c r="A92" s="273"/>
      <c r="B92" s="274"/>
      <c r="C92" s="278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</row>
    <row r="93" spans="1:27">
      <c r="A93" s="273">
        <v>35</v>
      </c>
      <c r="B93" s="274">
        <v>16</v>
      </c>
      <c r="C93" s="278" t="s">
        <v>29</v>
      </c>
      <c r="D93" s="275" t="s">
        <v>434</v>
      </c>
      <c r="E93" s="275" t="s">
        <v>435</v>
      </c>
      <c r="F93" s="275" t="s">
        <v>436</v>
      </c>
      <c r="G93" s="275" t="s">
        <v>437</v>
      </c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</row>
    <row r="94" spans="1:27">
      <c r="A94" s="273"/>
      <c r="B94" s="274"/>
      <c r="C94" s="278"/>
      <c r="D94" s="275">
        <v>6.3E-2</v>
      </c>
      <c r="E94" s="275">
        <v>0.38600000000000001</v>
      </c>
      <c r="F94" s="275">
        <v>0.32600000000000001</v>
      </c>
      <c r="G94" s="275">
        <v>0.32700000000000001</v>
      </c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</row>
    <row r="95" spans="1:27">
      <c r="A95" s="273"/>
      <c r="B95" s="274"/>
      <c r="C95" s="278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</row>
    <row r="96" spans="1:27">
      <c r="A96" s="273">
        <v>36</v>
      </c>
      <c r="B96" s="274">
        <v>16</v>
      </c>
      <c r="C96" s="278" t="s">
        <v>30</v>
      </c>
      <c r="D96" s="275" t="s">
        <v>434</v>
      </c>
      <c r="E96" s="275" t="s">
        <v>435</v>
      </c>
      <c r="F96" s="275" t="s">
        <v>436</v>
      </c>
      <c r="G96" s="275" t="s">
        <v>437</v>
      </c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</row>
    <row r="97" spans="1:27">
      <c r="A97" s="273"/>
      <c r="B97" s="274"/>
      <c r="C97" s="278"/>
      <c r="D97" s="275">
        <v>6.3E-2</v>
      </c>
      <c r="E97" s="275">
        <v>0.38600000000000001</v>
      </c>
      <c r="F97" s="275">
        <v>0.32500000000000001</v>
      </c>
      <c r="G97" s="275">
        <v>0.32700000000000001</v>
      </c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</row>
    <row r="98" spans="1:27">
      <c r="A98" s="273"/>
      <c r="B98" s="274"/>
      <c r="C98" s="278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</row>
    <row r="99" spans="1:27">
      <c r="A99" s="273">
        <v>37</v>
      </c>
      <c r="B99" s="274">
        <v>16</v>
      </c>
      <c r="C99" s="278" t="s">
        <v>31</v>
      </c>
      <c r="D99" s="275" t="s">
        <v>434</v>
      </c>
      <c r="E99" s="275" t="s">
        <v>435</v>
      </c>
      <c r="F99" s="275" t="s">
        <v>436</v>
      </c>
      <c r="G99" s="275" t="s">
        <v>437</v>
      </c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</row>
    <row r="100" spans="1:27">
      <c r="A100" s="273"/>
      <c r="B100" s="274"/>
      <c r="C100" s="278"/>
      <c r="D100" s="275">
        <v>6.3E-2</v>
      </c>
      <c r="E100" s="275">
        <v>0.38600000000000001</v>
      </c>
      <c r="F100" s="275">
        <v>0.32500000000000001</v>
      </c>
      <c r="G100" s="275">
        <v>0.32700000000000001</v>
      </c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</row>
    <row r="101" spans="1:27">
      <c r="A101" s="273"/>
      <c r="B101" s="274"/>
      <c r="C101" s="278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</row>
    <row r="102" spans="1:27">
      <c r="A102" s="273">
        <v>38</v>
      </c>
      <c r="B102" s="274">
        <v>16</v>
      </c>
      <c r="C102" s="278" t="s">
        <v>32</v>
      </c>
      <c r="D102" s="275" t="s">
        <v>434</v>
      </c>
      <c r="E102" s="275" t="s">
        <v>435</v>
      </c>
      <c r="F102" s="275" t="s">
        <v>436</v>
      </c>
      <c r="G102" s="275" t="s">
        <v>437</v>
      </c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</row>
    <row r="103" spans="1:27">
      <c r="A103" s="273"/>
      <c r="B103" s="274"/>
      <c r="C103" s="278"/>
      <c r="D103" s="275">
        <v>6.3E-2</v>
      </c>
      <c r="E103" s="275">
        <v>0.38600000000000001</v>
      </c>
      <c r="F103" s="275">
        <v>0.32500000000000001</v>
      </c>
      <c r="G103" s="275">
        <v>0.32600000000000001</v>
      </c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</row>
    <row r="104" spans="1:27">
      <c r="A104" s="273"/>
      <c r="B104" s="274"/>
      <c r="C104" s="278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</row>
    <row r="105" spans="1:27">
      <c r="A105" s="273">
        <v>39</v>
      </c>
      <c r="B105" s="274">
        <v>16</v>
      </c>
      <c r="C105" s="278" t="s">
        <v>33</v>
      </c>
      <c r="D105" s="275" t="s">
        <v>434</v>
      </c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</row>
    <row r="106" spans="1:27">
      <c r="A106" s="273"/>
      <c r="B106" s="274"/>
      <c r="C106" s="278"/>
      <c r="D106" s="275">
        <v>6.3E-2</v>
      </c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</row>
    <row r="107" spans="1:27">
      <c r="A107" s="273"/>
      <c r="B107" s="274"/>
      <c r="C107" s="278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</row>
    <row r="108" spans="1:27">
      <c r="A108" s="273">
        <v>40</v>
      </c>
      <c r="B108" s="274">
        <v>17</v>
      </c>
      <c r="C108" s="278" t="s">
        <v>34</v>
      </c>
      <c r="D108" s="275" t="s">
        <v>434</v>
      </c>
      <c r="E108" s="275" t="s">
        <v>435</v>
      </c>
      <c r="F108" s="275" t="s">
        <v>436</v>
      </c>
      <c r="G108" s="275" t="s">
        <v>437</v>
      </c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</row>
    <row r="109" spans="1:27">
      <c r="A109" s="273"/>
      <c r="B109" s="274"/>
      <c r="C109" s="278"/>
      <c r="D109" s="275">
        <v>0.06</v>
      </c>
      <c r="E109" s="275">
        <v>0.36</v>
      </c>
      <c r="F109" s="275">
        <v>0.30099999999999999</v>
      </c>
      <c r="G109" s="275">
        <v>0.30299999999999999</v>
      </c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</row>
    <row r="110" spans="1:27">
      <c r="A110" s="273"/>
      <c r="B110" s="274"/>
      <c r="C110" s="278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</row>
    <row r="111" spans="1:27">
      <c r="A111" s="273">
        <v>41</v>
      </c>
      <c r="B111" s="274">
        <v>17</v>
      </c>
      <c r="C111" s="278" t="s">
        <v>35</v>
      </c>
      <c r="D111" s="275" t="s">
        <v>434</v>
      </c>
      <c r="E111" s="275" t="s">
        <v>435</v>
      </c>
      <c r="F111" s="275" t="s">
        <v>436</v>
      </c>
      <c r="G111" s="275" t="s">
        <v>437</v>
      </c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</row>
    <row r="112" spans="1:27">
      <c r="A112" s="273"/>
      <c r="B112" s="274"/>
      <c r="C112" s="278"/>
      <c r="D112" s="275">
        <v>0.06</v>
      </c>
      <c r="E112" s="275">
        <v>0.36</v>
      </c>
      <c r="F112" s="275">
        <v>0.30099999999999999</v>
      </c>
      <c r="G112" s="275">
        <v>0.30299999999999999</v>
      </c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</row>
    <row r="113" spans="1:27">
      <c r="A113" s="273"/>
      <c r="B113" s="274"/>
      <c r="C113" s="278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</row>
    <row r="114" spans="1:27">
      <c r="A114" s="273">
        <v>42</v>
      </c>
      <c r="B114" s="274">
        <v>17</v>
      </c>
      <c r="C114" s="278" t="s">
        <v>36</v>
      </c>
      <c r="D114" s="275" t="s">
        <v>434</v>
      </c>
      <c r="E114" s="275" t="s">
        <v>435</v>
      </c>
      <c r="F114" s="275" t="s">
        <v>436</v>
      </c>
      <c r="G114" s="275" t="s">
        <v>437</v>
      </c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</row>
    <row r="115" spans="1:27">
      <c r="A115" s="273"/>
      <c r="B115" s="274"/>
      <c r="C115" s="278"/>
      <c r="D115" s="275">
        <v>0.06</v>
      </c>
      <c r="E115" s="275">
        <v>0.36</v>
      </c>
      <c r="F115" s="275">
        <v>0.30099999999999999</v>
      </c>
      <c r="G115" s="275">
        <v>0.30299999999999999</v>
      </c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</row>
    <row r="116" spans="1:27">
      <c r="A116" s="273"/>
      <c r="B116" s="274"/>
      <c r="C116" s="278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</row>
    <row r="117" spans="1:27">
      <c r="A117" s="273">
        <v>43</v>
      </c>
      <c r="B117" s="274">
        <v>17</v>
      </c>
      <c r="C117" s="278" t="s">
        <v>37</v>
      </c>
      <c r="D117" s="275" t="s">
        <v>434</v>
      </c>
      <c r="E117" s="275" t="s">
        <v>435</v>
      </c>
      <c r="F117" s="275" t="s">
        <v>436</v>
      </c>
      <c r="G117" s="275" t="s">
        <v>437</v>
      </c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</row>
    <row r="118" spans="1:27">
      <c r="A118" s="273"/>
      <c r="B118" s="274"/>
      <c r="C118" s="278"/>
      <c r="D118" s="275">
        <v>0.06</v>
      </c>
      <c r="E118" s="275">
        <v>0.35899999999999999</v>
      </c>
      <c r="F118" s="275">
        <v>0.30099999999999999</v>
      </c>
      <c r="G118" s="275">
        <v>0.30199999999999999</v>
      </c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</row>
    <row r="119" spans="1:27">
      <c r="A119" s="273"/>
      <c r="B119" s="274"/>
      <c r="C119" s="278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</row>
    <row r="120" spans="1:27">
      <c r="A120" s="273">
        <v>44</v>
      </c>
      <c r="B120" s="274">
        <v>17</v>
      </c>
      <c r="C120" s="278" t="s">
        <v>38</v>
      </c>
      <c r="D120" s="275" t="s">
        <v>434</v>
      </c>
      <c r="E120" s="275" t="s">
        <v>435</v>
      </c>
      <c r="F120" s="275" t="s">
        <v>436</v>
      </c>
      <c r="G120" s="275" t="s">
        <v>437</v>
      </c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</row>
    <row r="121" spans="1:27">
      <c r="A121" s="273"/>
      <c r="B121" s="274"/>
      <c r="C121" s="278"/>
      <c r="D121" s="275">
        <v>0.06</v>
      </c>
      <c r="E121" s="275">
        <v>0.35899999999999999</v>
      </c>
      <c r="F121" s="275">
        <v>0.3</v>
      </c>
      <c r="G121" s="275">
        <v>0.30199999999999999</v>
      </c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</row>
    <row r="122" spans="1:27">
      <c r="A122" s="273"/>
      <c r="B122" s="274"/>
      <c r="C122" s="278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</row>
    <row r="123" spans="1:27">
      <c r="A123" s="273">
        <v>45</v>
      </c>
      <c r="B123" s="274">
        <v>17</v>
      </c>
      <c r="C123" s="278" t="s">
        <v>39</v>
      </c>
      <c r="D123" s="275" t="s">
        <v>434</v>
      </c>
      <c r="E123" s="275" t="s">
        <v>435</v>
      </c>
      <c r="F123" s="275" t="s">
        <v>436</v>
      </c>
      <c r="G123" s="275" t="s">
        <v>437</v>
      </c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</row>
    <row r="124" spans="1:27">
      <c r="A124" s="273"/>
      <c r="B124" s="274"/>
      <c r="C124" s="278"/>
      <c r="D124" s="275">
        <v>0.06</v>
      </c>
      <c r="E124" s="275">
        <v>0.35899999999999999</v>
      </c>
      <c r="F124" s="275">
        <v>0.3</v>
      </c>
      <c r="G124" s="275">
        <v>0.30199999999999999</v>
      </c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</row>
    <row r="125" spans="1:27">
      <c r="A125" s="273"/>
      <c r="B125" s="274"/>
      <c r="C125" s="278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</row>
    <row r="126" spans="1:27">
      <c r="A126" s="273">
        <v>46</v>
      </c>
      <c r="B126" s="274">
        <v>17</v>
      </c>
      <c r="C126" s="278" t="s">
        <v>40</v>
      </c>
      <c r="D126" s="275" t="s">
        <v>434</v>
      </c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</row>
    <row r="127" spans="1:27">
      <c r="A127" s="273"/>
      <c r="B127" s="274"/>
      <c r="C127" s="278"/>
      <c r="D127" s="275">
        <v>0.06</v>
      </c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</row>
    <row r="128" spans="1:27">
      <c r="A128" s="273"/>
      <c r="B128" s="274"/>
      <c r="C128" s="278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</row>
    <row r="129" spans="1:27">
      <c r="A129" s="273">
        <v>47</v>
      </c>
      <c r="B129" s="274">
        <v>17</v>
      </c>
      <c r="C129" s="278" t="s">
        <v>332</v>
      </c>
      <c r="D129" s="275" t="s">
        <v>434</v>
      </c>
      <c r="E129" s="275" t="s">
        <v>435</v>
      </c>
      <c r="F129" s="275" t="s">
        <v>436</v>
      </c>
      <c r="G129" s="275" t="s">
        <v>437</v>
      </c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</row>
    <row r="130" spans="1:27">
      <c r="A130" s="273"/>
      <c r="B130" s="274"/>
      <c r="C130" s="278"/>
      <c r="D130" s="275">
        <v>0.06</v>
      </c>
      <c r="E130" s="275">
        <v>0.36</v>
      </c>
      <c r="F130" s="275">
        <v>0.30099999999999999</v>
      </c>
      <c r="G130" s="275">
        <v>0.30299999999999999</v>
      </c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</row>
    <row r="131" spans="1:27">
      <c r="A131" s="273"/>
      <c r="B131" s="274"/>
      <c r="C131" s="278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</row>
    <row r="132" spans="1:27">
      <c r="A132" s="273">
        <v>48</v>
      </c>
      <c r="B132" s="274">
        <v>19</v>
      </c>
      <c r="C132" s="278" t="s">
        <v>41</v>
      </c>
      <c r="D132" s="275" t="s">
        <v>434</v>
      </c>
      <c r="E132" s="275" t="s">
        <v>435</v>
      </c>
      <c r="F132" s="275" t="s">
        <v>436</v>
      </c>
      <c r="G132" s="275" t="s">
        <v>437</v>
      </c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</row>
    <row r="133" spans="1:27">
      <c r="A133" s="273"/>
      <c r="B133" s="274"/>
      <c r="C133" s="278"/>
      <c r="D133" s="275">
        <v>5.2999999999999999E-2</v>
      </c>
      <c r="E133" s="275">
        <v>0.317</v>
      </c>
      <c r="F133" s="275">
        <v>0.26200000000000001</v>
      </c>
      <c r="G133" s="275">
        <v>0.26400000000000001</v>
      </c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</row>
    <row r="134" spans="1:27">
      <c r="A134" s="273"/>
      <c r="B134" s="274"/>
      <c r="C134" s="278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</row>
    <row r="135" spans="1:27">
      <c r="A135" s="273">
        <v>49</v>
      </c>
      <c r="B135" s="274">
        <v>20</v>
      </c>
      <c r="C135" s="278" t="s">
        <v>333</v>
      </c>
      <c r="D135" s="275" t="s">
        <v>434</v>
      </c>
      <c r="E135" s="275" t="s">
        <v>435</v>
      </c>
      <c r="F135" s="275" t="s">
        <v>436</v>
      </c>
      <c r="G135" s="275" t="s">
        <v>437</v>
      </c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</row>
    <row r="136" spans="1:27">
      <c r="A136" s="273"/>
      <c r="B136" s="274"/>
      <c r="C136" s="278"/>
      <c r="D136" s="275">
        <v>0.05</v>
      </c>
      <c r="E136" s="275">
        <v>0.29899999999999999</v>
      </c>
      <c r="F136" s="275">
        <v>0.246</v>
      </c>
      <c r="G136" s="275">
        <v>0.248</v>
      </c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</row>
    <row r="137" spans="1:27">
      <c r="A137" s="273"/>
      <c r="B137" s="274"/>
      <c r="C137" s="278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</row>
    <row r="138" spans="1:27">
      <c r="A138" s="273">
        <v>50</v>
      </c>
      <c r="B138" s="274">
        <v>21</v>
      </c>
      <c r="C138" s="278" t="s">
        <v>42</v>
      </c>
      <c r="D138" s="275" t="s">
        <v>434</v>
      </c>
      <c r="E138" s="275" t="s">
        <v>435</v>
      </c>
      <c r="F138" s="275" t="s">
        <v>436</v>
      </c>
      <c r="G138" s="275" t="s">
        <v>437</v>
      </c>
      <c r="H138" s="275" t="s">
        <v>438</v>
      </c>
      <c r="I138" s="275" t="s">
        <v>439</v>
      </c>
      <c r="J138" s="275" t="s">
        <v>440</v>
      </c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</row>
    <row r="139" spans="1:27">
      <c r="A139" s="273"/>
      <c r="B139" s="274"/>
      <c r="C139" s="278"/>
      <c r="D139" s="275">
        <v>4.8000000000000001E-2</v>
      </c>
      <c r="E139" s="275">
        <v>0.28199999999999997</v>
      </c>
      <c r="F139" s="275">
        <v>0.23100000000000001</v>
      </c>
      <c r="G139" s="275">
        <v>0.23300000000000001</v>
      </c>
      <c r="H139" s="275">
        <v>0.92500000000000004</v>
      </c>
      <c r="I139" s="275">
        <v>0.96799999999999997</v>
      </c>
      <c r="J139" s="275">
        <v>0.97399999999999998</v>
      </c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</row>
    <row r="140" spans="1:27">
      <c r="A140" s="273"/>
      <c r="B140" s="274"/>
      <c r="C140" s="278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</row>
    <row r="141" spans="1:27">
      <c r="A141" s="273">
        <v>51</v>
      </c>
      <c r="B141" s="274">
        <v>21</v>
      </c>
      <c r="C141" s="278" t="s">
        <v>43</v>
      </c>
      <c r="D141" s="275" t="s">
        <v>434</v>
      </c>
      <c r="E141" s="275" t="s">
        <v>435</v>
      </c>
      <c r="F141" s="275" t="s">
        <v>436</v>
      </c>
      <c r="G141" s="275" t="s">
        <v>437</v>
      </c>
      <c r="H141" s="275" t="s">
        <v>438</v>
      </c>
      <c r="I141" s="275" t="s">
        <v>439</v>
      </c>
      <c r="J141" s="275" t="s">
        <v>440</v>
      </c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</row>
    <row r="142" spans="1:27">
      <c r="A142" s="273"/>
      <c r="B142" s="274"/>
      <c r="C142" s="278"/>
      <c r="D142" s="275">
        <v>4.8000000000000001E-2</v>
      </c>
      <c r="E142" s="275">
        <v>0.28199999999999997</v>
      </c>
      <c r="F142" s="275">
        <v>0.23100000000000001</v>
      </c>
      <c r="G142" s="275">
        <v>0.23300000000000001</v>
      </c>
      <c r="H142" s="275">
        <v>0.92600000000000005</v>
      </c>
      <c r="I142" s="275">
        <v>0.96699999999999997</v>
      </c>
      <c r="J142" s="275">
        <v>0.97299999999999998</v>
      </c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</row>
    <row r="143" spans="1:27">
      <c r="A143" s="273"/>
      <c r="B143" s="274"/>
      <c r="C143" s="278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</row>
    <row r="144" spans="1:27">
      <c r="A144" s="273">
        <v>52</v>
      </c>
      <c r="B144" s="274">
        <v>21</v>
      </c>
      <c r="C144" s="278" t="s">
        <v>44</v>
      </c>
      <c r="D144" s="275" t="s">
        <v>434</v>
      </c>
      <c r="E144" s="275" t="s">
        <v>435</v>
      </c>
      <c r="F144" s="275" t="s">
        <v>436</v>
      </c>
      <c r="G144" s="275" t="s">
        <v>437</v>
      </c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</row>
    <row r="145" spans="1:27">
      <c r="A145" s="273"/>
      <c r="B145" s="274"/>
      <c r="C145" s="278"/>
      <c r="D145" s="275">
        <v>4.8000000000000001E-2</v>
      </c>
      <c r="E145" s="275">
        <v>0.28199999999999997</v>
      </c>
      <c r="F145" s="275">
        <v>0.23100000000000001</v>
      </c>
      <c r="G145" s="275">
        <v>0.23300000000000001</v>
      </c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</row>
    <row r="146" spans="1:27">
      <c r="A146" s="273"/>
      <c r="B146" s="274"/>
      <c r="C146" s="278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</row>
    <row r="147" spans="1:27">
      <c r="A147" s="273">
        <v>53</v>
      </c>
      <c r="B147" s="274">
        <v>22</v>
      </c>
      <c r="C147" s="278" t="s">
        <v>334</v>
      </c>
      <c r="D147" s="275" t="s">
        <v>434</v>
      </c>
      <c r="E147" s="275" t="s">
        <v>435</v>
      </c>
      <c r="F147" s="275" t="s">
        <v>436</v>
      </c>
      <c r="G147" s="275" t="s">
        <v>437</v>
      </c>
      <c r="H147" s="275" t="s">
        <v>438</v>
      </c>
      <c r="I147" s="275" t="s">
        <v>439</v>
      </c>
      <c r="J147" s="275" t="s">
        <v>440</v>
      </c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</row>
    <row r="148" spans="1:27">
      <c r="A148" s="273"/>
      <c r="B148" s="274"/>
      <c r="C148" s="278"/>
      <c r="D148" s="275">
        <v>4.5999999999999999E-2</v>
      </c>
      <c r="E148" s="275">
        <v>0.26800000000000002</v>
      </c>
      <c r="F148" s="275">
        <v>0.218</v>
      </c>
      <c r="G148" s="275">
        <v>0.22</v>
      </c>
      <c r="H148" s="275">
        <v>0.86899999999999999</v>
      </c>
      <c r="I148" s="275">
        <v>0.90100000000000002</v>
      </c>
      <c r="J148" s="275">
        <v>0.90700000000000003</v>
      </c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</row>
    <row r="149" spans="1:27">
      <c r="A149" s="273"/>
      <c r="B149" s="274"/>
      <c r="C149" s="278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</row>
    <row r="150" spans="1:27">
      <c r="A150" s="273">
        <v>54</v>
      </c>
      <c r="B150" s="274">
        <v>22</v>
      </c>
      <c r="C150" s="278" t="s">
        <v>45</v>
      </c>
      <c r="D150" s="275" t="s">
        <v>434</v>
      </c>
      <c r="E150" s="275" t="s">
        <v>435</v>
      </c>
      <c r="F150" s="275" t="s">
        <v>436</v>
      </c>
      <c r="G150" s="275" t="s">
        <v>437</v>
      </c>
      <c r="H150" s="275" t="s">
        <v>438</v>
      </c>
      <c r="I150" s="275" t="s">
        <v>439</v>
      </c>
      <c r="J150" s="275" t="s">
        <v>440</v>
      </c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</row>
    <row r="151" spans="1:27">
      <c r="A151" s="273"/>
      <c r="B151" s="274"/>
      <c r="C151" s="278"/>
      <c r="D151" s="275">
        <v>4.5999999999999999E-2</v>
      </c>
      <c r="E151" s="275">
        <v>0.26800000000000002</v>
      </c>
      <c r="F151" s="275">
        <v>0.218</v>
      </c>
      <c r="G151" s="275">
        <v>0.22</v>
      </c>
      <c r="H151" s="275">
        <v>0.86299999999999999</v>
      </c>
      <c r="I151" s="275">
        <v>0.89200000000000002</v>
      </c>
      <c r="J151" s="275">
        <v>0.89800000000000002</v>
      </c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</row>
    <row r="152" spans="1:27">
      <c r="A152" s="273"/>
      <c r="B152" s="274"/>
      <c r="C152" s="278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</row>
    <row r="153" spans="1:27">
      <c r="A153" s="273">
        <v>55</v>
      </c>
      <c r="B153" s="274">
        <v>22</v>
      </c>
      <c r="C153" s="278" t="s">
        <v>46</v>
      </c>
      <c r="D153" s="275" t="s">
        <v>434</v>
      </c>
      <c r="E153" s="275" t="s">
        <v>435</v>
      </c>
      <c r="F153" s="275" t="s">
        <v>436</v>
      </c>
      <c r="G153" s="275" t="s">
        <v>437</v>
      </c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</row>
    <row r="154" spans="1:27">
      <c r="A154" s="273"/>
      <c r="B154" s="274"/>
      <c r="C154" s="278"/>
      <c r="D154" s="275">
        <v>4.5999999999999999E-2</v>
      </c>
      <c r="E154" s="275">
        <v>0.26800000000000002</v>
      </c>
      <c r="F154" s="275">
        <v>0.218</v>
      </c>
      <c r="G154" s="275">
        <v>0.22</v>
      </c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</row>
    <row r="155" spans="1:27">
      <c r="A155" s="273"/>
      <c r="B155" s="274"/>
      <c r="C155" s="278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</row>
    <row r="156" spans="1:27">
      <c r="A156" s="273">
        <v>56</v>
      </c>
      <c r="B156" s="274">
        <v>23</v>
      </c>
      <c r="C156" s="278" t="s">
        <v>47</v>
      </c>
      <c r="D156" s="275" t="s">
        <v>434</v>
      </c>
      <c r="E156" s="275" t="s">
        <v>435</v>
      </c>
      <c r="F156" s="275" t="s">
        <v>436</v>
      </c>
      <c r="G156" s="275" t="s">
        <v>437</v>
      </c>
      <c r="H156" s="275" t="s">
        <v>438</v>
      </c>
      <c r="I156" s="275" t="s">
        <v>439</v>
      </c>
      <c r="J156" s="275" t="s">
        <v>440</v>
      </c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</row>
    <row r="157" spans="1:27">
      <c r="A157" s="273"/>
      <c r="B157" s="274"/>
      <c r="C157" s="278"/>
      <c r="D157" s="275">
        <v>4.3999999999999997E-2</v>
      </c>
      <c r="E157" s="275">
        <v>0.255</v>
      </c>
      <c r="F157" s="275">
        <v>0.20699999999999999</v>
      </c>
      <c r="G157" s="275">
        <v>0.20899999999999999</v>
      </c>
      <c r="H157" s="275">
        <v>0.82199999999999995</v>
      </c>
      <c r="I157" s="275">
        <v>0.84799999999999998</v>
      </c>
      <c r="J157" s="275">
        <v>0.85499999999999998</v>
      </c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</row>
    <row r="158" spans="1:27">
      <c r="A158" s="273"/>
      <c r="B158" s="274"/>
      <c r="C158" s="278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</row>
    <row r="159" spans="1:27">
      <c r="A159" s="273">
        <v>57</v>
      </c>
      <c r="B159" s="274">
        <v>23</v>
      </c>
      <c r="C159" s="278" t="s">
        <v>48</v>
      </c>
      <c r="D159" s="275" t="s">
        <v>434</v>
      </c>
      <c r="E159" s="275" t="s">
        <v>435</v>
      </c>
      <c r="F159" s="275" t="s">
        <v>436</v>
      </c>
      <c r="G159" s="275" t="s">
        <v>437</v>
      </c>
      <c r="H159" s="275" t="s">
        <v>438</v>
      </c>
      <c r="I159" s="275" t="s">
        <v>439</v>
      </c>
      <c r="J159" s="275" t="s">
        <v>440</v>
      </c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</row>
    <row r="160" spans="1:27">
      <c r="A160" s="273"/>
      <c r="B160" s="274"/>
      <c r="C160" s="278"/>
      <c r="D160" s="275">
        <v>4.3999999999999997E-2</v>
      </c>
      <c r="E160" s="275">
        <v>0.255</v>
      </c>
      <c r="F160" s="275">
        <v>0.20699999999999999</v>
      </c>
      <c r="G160" s="275">
        <v>0.20899999999999999</v>
      </c>
      <c r="H160" s="275">
        <v>0.81899999999999995</v>
      </c>
      <c r="I160" s="275">
        <v>0.84499999999999997</v>
      </c>
      <c r="J160" s="275">
        <v>0.85099999999999998</v>
      </c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</row>
    <row r="161" spans="1:27">
      <c r="A161" s="273"/>
      <c r="B161" s="274"/>
      <c r="C161" s="278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</row>
    <row r="162" spans="1:27">
      <c r="A162" s="273">
        <v>58</v>
      </c>
      <c r="B162" s="274">
        <v>23</v>
      </c>
      <c r="C162" s="278" t="s">
        <v>49</v>
      </c>
      <c r="D162" s="275" t="s">
        <v>434</v>
      </c>
      <c r="E162" s="275" t="s">
        <v>435</v>
      </c>
      <c r="F162" s="275" t="s">
        <v>436</v>
      </c>
      <c r="G162" s="275" t="s">
        <v>437</v>
      </c>
      <c r="H162" s="275" t="s">
        <v>438</v>
      </c>
      <c r="I162" s="275" t="s">
        <v>439</v>
      </c>
      <c r="J162" s="275" t="s">
        <v>440</v>
      </c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</row>
    <row r="163" spans="1:27">
      <c r="A163" s="273"/>
      <c r="B163" s="274"/>
      <c r="C163" s="278"/>
      <c r="D163" s="275">
        <v>4.3999999999999997E-2</v>
      </c>
      <c r="E163" s="275">
        <v>0.255</v>
      </c>
      <c r="F163" s="275">
        <v>0.20699999999999999</v>
      </c>
      <c r="G163" s="275">
        <v>0.20899999999999999</v>
      </c>
      <c r="H163" s="275">
        <v>0.81499999999999995</v>
      </c>
      <c r="I163" s="275">
        <v>0.83699999999999997</v>
      </c>
      <c r="J163" s="275">
        <v>0.84299999999999997</v>
      </c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</row>
    <row r="164" spans="1:27">
      <c r="A164" s="273"/>
      <c r="B164" s="274"/>
      <c r="C164" s="278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</row>
    <row r="165" spans="1:27">
      <c r="A165" s="273">
        <v>59</v>
      </c>
      <c r="B165" s="274">
        <v>23</v>
      </c>
      <c r="C165" s="278" t="s">
        <v>50</v>
      </c>
      <c r="D165" s="275" t="s">
        <v>434</v>
      </c>
      <c r="E165" s="275" t="s">
        <v>435</v>
      </c>
      <c r="F165" s="275" t="s">
        <v>436</v>
      </c>
      <c r="G165" s="275" t="s">
        <v>437</v>
      </c>
      <c r="H165" s="275" t="s">
        <v>438</v>
      </c>
      <c r="I165" s="275" t="s">
        <v>439</v>
      </c>
      <c r="J165" s="275" t="s">
        <v>440</v>
      </c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</row>
    <row r="166" spans="1:27">
      <c r="A166" s="273"/>
      <c r="B166" s="274"/>
      <c r="C166" s="278"/>
      <c r="D166" s="275">
        <v>4.3999999999999997E-2</v>
      </c>
      <c r="E166" s="275">
        <v>0.255</v>
      </c>
      <c r="F166" s="275">
        <v>0.20699999999999999</v>
      </c>
      <c r="G166" s="275">
        <v>0.20899999999999999</v>
      </c>
      <c r="H166" s="275">
        <v>0.80900000000000005</v>
      </c>
      <c r="I166" s="275">
        <v>0.82799999999999996</v>
      </c>
      <c r="J166" s="275">
        <v>0.83299999999999996</v>
      </c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</row>
    <row r="167" spans="1:27">
      <c r="A167" s="273"/>
      <c r="B167" s="274"/>
      <c r="C167" s="278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</row>
    <row r="168" spans="1:27">
      <c r="A168" s="273">
        <v>60</v>
      </c>
      <c r="B168" s="274">
        <v>23</v>
      </c>
      <c r="C168" s="278" t="s">
        <v>51</v>
      </c>
      <c r="D168" s="275" t="s">
        <v>434</v>
      </c>
      <c r="E168" s="275" t="s">
        <v>435</v>
      </c>
      <c r="F168" s="275" t="s">
        <v>436</v>
      </c>
      <c r="G168" s="275" t="s">
        <v>437</v>
      </c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</row>
    <row r="169" spans="1:27">
      <c r="A169" s="273"/>
      <c r="B169" s="274"/>
      <c r="C169" s="278"/>
      <c r="D169" s="275">
        <v>4.3999999999999997E-2</v>
      </c>
      <c r="E169" s="275">
        <v>0.255</v>
      </c>
      <c r="F169" s="275">
        <v>0.20699999999999999</v>
      </c>
      <c r="G169" s="275">
        <v>0.20899999999999999</v>
      </c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</row>
    <row r="170" spans="1:27">
      <c r="A170" s="273"/>
      <c r="B170" s="274"/>
      <c r="C170" s="278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</row>
    <row r="171" spans="1:27">
      <c r="A171" s="273">
        <v>61</v>
      </c>
      <c r="B171" s="274">
        <v>24</v>
      </c>
      <c r="C171" s="278" t="s">
        <v>52</v>
      </c>
      <c r="D171" s="275" t="s">
        <v>434</v>
      </c>
      <c r="E171" s="275" t="s">
        <v>435</v>
      </c>
      <c r="F171" s="275" t="s">
        <v>436</v>
      </c>
      <c r="G171" s="275" t="s">
        <v>437</v>
      </c>
      <c r="H171" s="275" t="s">
        <v>438</v>
      </c>
      <c r="I171" s="275" t="s">
        <v>439</v>
      </c>
      <c r="J171" s="275" t="s">
        <v>440</v>
      </c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</row>
    <row r="172" spans="1:27">
      <c r="A172" s="273"/>
      <c r="B172" s="274"/>
      <c r="C172" s="278"/>
      <c r="D172" s="275">
        <v>4.2000000000000003E-2</v>
      </c>
      <c r="E172" s="275">
        <v>0.24299999999999999</v>
      </c>
      <c r="F172" s="275">
        <v>0.19600000000000001</v>
      </c>
      <c r="G172" s="275">
        <v>0.19900000000000001</v>
      </c>
      <c r="H172" s="275">
        <v>0.77700000000000002</v>
      </c>
      <c r="I172" s="275">
        <v>0.79800000000000004</v>
      </c>
      <c r="J172" s="275">
        <v>0.80500000000000005</v>
      </c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</row>
    <row r="173" spans="1:27">
      <c r="A173" s="273"/>
      <c r="B173" s="274"/>
      <c r="C173" s="278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</row>
    <row r="174" spans="1:27">
      <c r="A174" s="273">
        <v>62</v>
      </c>
      <c r="B174" s="274">
        <v>24</v>
      </c>
      <c r="C174" s="278" t="s">
        <v>53</v>
      </c>
      <c r="D174" s="275" t="s">
        <v>434</v>
      </c>
      <c r="E174" s="275" t="s">
        <v>435</v>
      </c>
      <c r="F174" s="275" t="s">
        <v>436</v>
      </c>
      <c r="G174" s="275" t="s">
        <v>437</v>
      </c>
      <c r="H174" s="275" t="s">
        <v>438</v>
      </c>
      <c r="I174" s="275" t="s">
        <v>439</v>
      </c>
      <c r="J174" s="275" t="s">
        <v>440</v>
      </c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</row>
    <row r="175" spans="1:27">
      <c r="A175" s="273"/>
      <c r="B175" s="274"/>
      <c r="C175" s="278"/>
      <c r="D175" s="275">
        <v>4.2000000000000003E-2</v>
      </c>
      <c r="E175" s="275">
        <v>0.24299999999999999</v>
      </c>
      <c r="F175" s="275">
        <v>0.19600000000000001</v>
      </c>
      <c r="G175" s="275">
        <v>0.19900000000000001</v>
      </c>
      <c r="H175" s="275">
        <v>0.77600000000000002</v>
      </c>
      <c r="I175" s="275">
        <v>0.79500000000000004</v>
      </c>
      <c r="J175" s="275">
        <v>0.80200000000000005</v>
      </c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</row>
    <row r="176" spans="1:27">
      <c r="A176" s="273"/>
      <c r="B176" s="274"/>
      <c r="C176" s="278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</row>
    <row r="177" spans="1:27">
      <c r="A177" s="273">
        <v>63</v>
      </c>
      <c r="B177" s="274">
        <v>24</v>
      </c>
      <c r="C177" s="278" t="s">
        <v>54</v>
      </c>
      <c r="D177" s="275" t="s">
        <v>434</v>
      </c>
      <c r="E177" s="275" t="s">
        <v>435</v>
      </c>
      <c r="F177" s="275" t="s">
        <v>436</v>
      </c>
      <c r="G177" s="275" t="s">
        <v>437</v>
      </c>
      <c r="H177" s="275" t="s">
        <v>438</v>
      </c>
      <c r="I177" s="275" t="s">
        <v>439</v>
      </c>
      <c r="J177" s="275" t="s">
        <v>440</v>
      </c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</row>
    <row r="178" spans="1:27">
      <c r="A178" s="273"/>
      <c r="B178" s="274"/>
      <c r="C178" s="278"/>
      <c r="D178" s="275">
        <v>4.2000000000000003E-2</v>
      </c>
      <c r="E178" s="275">
        <v>0.24299999999999999</v>
      </c>
      <c r="F178" s="275">
        <v>0.19600000000000001</v>
      </c>
      <c r="G178" s="275">
        <v>0.19900000000000001</v>
      </c>
      <c r="H178" s="275">
        <v>0.77200000000000002</v>
      </c>
      <c r="I178" s="275">
        <v>0.78900000000000003</v>
      </c>
      <c r="J178" s="275">
        <v>0.79500000000000004</v>
      </c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</row>
    <row r="179" spans="1:27">
      <c r="A179" s="273"/>
      <c r="B179" s="274"/>
      <c r="C179" s="278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</row>
    <row r="180" spans="1:27">
      <c r="A180" s="273">
        <v>64</v>
      </c>
      <c r="B180" s="274">
        <v>24</v>
      </c>
      <c r="C180" s="278" t="s">
        <v>55</v>
      </c>
      <c r="D180" s="275" t="s">
        <v>434</v>
      </c>
      <c r="E180" s="275" t="s">
        <v>435</v>
      </c>
      <c r="F180" s="275" t="s">
        <v>436</v>
      </c>
      <c r="G180" s="275" t="s">
        <v>437</v>
      </c>
      <c r="H180" s="275" t="s">
        <v>438</v>
      </c>
      <c r="I180" s="275" t="s">
        <v>439</v>
      </c>
      <c r="J180" s="275" t="s">
        <v>440</v>
      </c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</row>
    <row r="181" spans="1:27">
      <c r="A181" s="273"/>
      <c r="B181" s="274"/>
      <c r="C181" s="278"/>
      <c r="D181" s="275">
        <v>4.2000000000000003E-2</v>
      </c>
      <c r="E181" s="275">
        <v>0.24299999999999999</v>
      </c>
      <c r="F181" s="275">
        <v>0.19600000000000001</v>
      </c>
      <c r="G181" s="275">
        <v>0.19900000000000001</v>
      </c>
      <c r="H181" s="275">
        <v>0.76700000000000002</v>
      </c>
      <c r="I181" s="275">
        <v>0.78100000000000003</v>
      </c>
      <c r="J181" s="275">
        <v>0.78700000000000003</v>
      </c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</row>
    <row r="182" spans="1:27">
      <c r="A182" s="273"/>
      <c r="B182" s="274"/>
      <c r="C182" s="278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</row>
    <row r="183" spans="1:27">
      <c r="A183" s="273">
        <v>65</v>
      </c>
      <c r="B183" s="274">
        <v>24</v>
      </c>
      <c r="C183" s="278" t="s">
        <v>56</v>
      </c>
      <c r="D183" s="275" t="s">
        <v>434</v>
      </c>
      <c r="E183" s="275" t="s">
        <v>435</v>
      </c>
      <c r="F183" s="275" t="s">
        <v>436</v>
      </c>
      <c r="G183" s="275" t="s">
        <v>437</v>
      </c>
      <c r="H183" s="275" t="s">
        <v>438</v>
      </c>
      <c r="I183" s="275" t="s">
        <v>439</v>
      </c>
      <c r="J183" s="275" t="s">
        <v>440</v>
      </c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</row>
    <row r="184" spans="1:27">
      <c r="A184" s="273"/>
      <c r="B184" s="274"/>
      <c r="C184" s="278"/>
      <c r="D184" s="275">
        <v>4.2000000000000003E-2</v>
      </c>
      <c r="E184" s="275">
        <v>0.24299999999999999</v>
      </c>
      <c r="F184" s="275">
        <v>0.19600000000000001</v>
      </c>
      <c r="G184" s="275">
        <v>0.19900000000000001</v>
      </c>
      <c r="H184" s="275">
        <v>0.76</v>
      </c>
      <c r="I184" s="275">
        <v>0.77200000000000002</v>
      </c>
      <c r="J184" s="275">
        <v>0.77700000000000002</v>
      </c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</row>
    <row r="185" spans="1:27">
      <c r="A185" s="273"/>
      <c r="B185" s="274"/>
      <c r="C185" s="278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</row>
    <row r="186" spans="1:27">
      <c r="A186" s="273">
        <v>66</v>
      </c>
      <c r="B186" s="274">
        <v>24</v>
      </c>
      <c r="C186" s="278" t="s">
        <v>57</v>
      </c>
      <c r="D186" s="275" t="s">
        <v>434</v>
      </c>
      <c r="E186" s="275" t="s">
        <v>435</v>
      </c>
      <c r="F186" s="275" t="s">
        <v>436</v>
      </c>
      <c r="G186" s="275" t="s">
        <v>437</v>
      </c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</row>
    <row r="187" spans="1:27">
      <c r="A187" s="273"/>
      <c r="B187" s="274"/>
      <c r="C187" s="278"/>
      <c r="D187" s="275">
        <v>4.2000000000000003E-2</v>
      </c>
      <c r="E187" s="275">
        <v>0.24299999999999999</v>
      </c>
      <c r="F187" s="275">
        <v>0.19600000000000001</v>
      </c>
      <c r="G187" s="275">
        <v>0.19900000000000001</v>
      </c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</row>
    <row r="188" spans="1:27">
      <c r="A188" s="273"/>
      <c r="B188" s="274"/>
      <c r="C188" s="278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</row>
    <row r="189" spans="1:27">
      <c r="A189" s="273">
        <v>67</v>
      </c>
      <c r="B189" s="274">
        <v>25</v>
      </c>
      <c r="C189" s="278" t="s">
        <v>58</v>
      </c>
      <c r="D189" s="275" t="s">
        <v>434</v>
      </c>
      <c r="E189" s="275" t="s">
        <v>435</v>
      </c>
      <c r="F189" s="275" t="s">
        <v>436</v>
      </c>
      <c r="G189" s="275" t="s">
        <v>437</v>
      </c>
      <c r="H189" s="275" t="s">
        <v>438</v>
      </c>
      <c r="I189" s="275" t="s">
        <v>439</v>
      </c>
      <c r="J189" s="275" t="s">
        <v>440</v>
      </c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</row>
    <row r="190" spans="1:27">
      <c r="A190" s="273"/>
      <c r="B190" s="274"/>
      <c r="C190" s="278"/>
      <c r="D190" s="275">
        <v>0.04</v>
      </c>
      <c r="E190" s="275">
        <v>0.23200000000000001</v>
      </c>
      <c r="F190" s="275">
        <v>0.187</v>
      </c>
      <c r="G190" s="275">
        <v>0.189</v>
      </c>
      <c r="H190" s="275">
        <v>0.73599999999999999</v>
      </c>
      <c r="I190" s="275">
        <v>0.751</v>
      </c>
      <c r="J190" s="275">
        <v>0.75800000000000001</v>
      </c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</row>
    <row r="191" spans="1:27">
      <c r="A191" s="273"/>
      <c r="B191" s="274"/>
      <c r="C191" s="278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</row>
    <row r="192" spans="1:27">
      <c r="A192" s="273">
        <v>68</v>
      </c>
      <c r="B192" s="274">
        <v>25</v>
      </c>
      <c r="C192" s="278" t="s">
        <v>59</v>
      </c>
      <c r="D192" s="275" t="s">
        <v>434</v>
      </c>
      <c r="E192" s="275" t="s">
        <v>435</v>
      </c>
      <c r="F192" s="275" t="s">
        <v>436</v>
      </c>
      <c r="G192" s="275" t="s">
        <v>437</v>
      </c>
      <c r="H192" s="275" t="s">
        <v>438</v>
      </c>
      <c r="I192" s="275" t="s">
        <v>439</v>
      </c>
      <c r="J192" s="275" t="s">
        <v>440</v>
      </c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</row>
    <row r="193" spans="1:27">
      <c r="A193" s="273"/>
      <c r="B193" s="274"/>
      <c r="C193" s="278"/>
      <c r="D193" s="275">
        <v>0.04</v>
      </c>
      <c r="E193" s="275">
        <v>0.23200000000000001</v>
      </c>
      <c r="F193" s="275">
        <v>0.187</v>
      </c>
      <c r="G193" s="275">
        <v>0.189</v>
      </c>
      <c r="H193" s="275">
        <v>0.73599999999999999</v>
      </c>
      <c r="I193" s="275">
        <v>0.751</v>
      </c>
      <c r="J193" s="275">
        <v>0.75800000000000001</v>
      </c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</row>
    <row r="194" spans="1:27">
      <c r="A194" s="273"/>
      <c r="B194" s="274"/>
      <c r="C194" s="278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</row>
    <row r="195" spans="1:27">
      <c r="A195" s="273">
        <v>69</v>
      </c>
      <c r="B195" s="274">
        <v>25</v>
      </c>
      <c r="C195" s="278" t="s">
        <v>60</v>
      </c>
      <c r="D195" s="275" t="s">
        <v>434</v>
      </c>
      <c r="E195" s="275" t="s">
        <v>435</v>
      </c>
      <c r="F195" s="275" t="s">
        <v>436</v>
      </c>
      <c r="G195" s="275" t="s">
        <v>437</v>
      </c>
      <c r="H195" s="275" t="s">
        <v>438</v>
      </c>
      <c r="I195" s="275" t="s">
        <v>439</v>
      </c>
      <c r="J195" s="275" t="s">
        <v>440</v>
      </c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</row>
    <row r="196" spans="1:27">
      <c r="A196" s="273"/>
      <c r="B196" s="274"/>
      <c r="C196" s="278"/>
      <c r="D196" s="275">
        <v>0.04</v>
      </c>
      <c r="E196" s="275">
        <v>0.23200000000000001</v>
      </c>
      <c r="F196" s="275">
        <v>0.187</v>
      </c>
      <c r="G196" s="275">
        <v>0.189</v>
      </c>
      <c r="H196" s="275">
        <v>0.73299999999999998</v>
      </c>
      <c r="I196" s="275">
        <v>0.746</v>
      </c>
      <c r="J196" s="275">
        <v>0.753</v>
      </c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</row>
    <row r="197" spans="1:27">
      <c r="A197" s="273"/>
      <c r="B197" s="274"/>
      <c r="C197" s="278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</row>
    <row r="198" spans="1:27">
      <c r="A198" s="273">
        <v>70</v>
      </c>
      <c r="B198" s="274">
        <v>25</v>
      </c>
      <c r="C198" s="278" t="s">
        <v>61</v>
      </c>
      <c r="D198" s="275" t="s">
        <v>434</v>
      </c>
      <c r="E198" s="275" t="s">
        <v>435</v>
      </c>
      <c r="F198" s="275" t="s">
        <v>436</v>
      </c>
      <c r="G198" s="275" t="s">
        <v>437</v>
      </c>
      <c r="H198" s="275" t="s">
        <v>438</v>
      </c>
      <c r="I198" s="275" t="s">
        <v>439</v>
      </c>
      <c r="J198" s="275" t="s">
        <v>440</v>
      </c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</row>
    <row r="199" spans="1:27">
      <c r="A199" s="273"/>
      <c r="B199" s="274"/>
      <c r="C199" s="278"/>
      <c r="D199" s="275">
        <v>0.04</v>
      </c>
      <c r="E199" s="275">
        <v>0.23200000000000001</v>
      </c>
      <c r="F199" s="275">
        <v>0.187</v>
      </c>
      <c r="G199" s="275">
        <v>0.189</v>
      </c>
      <c r="H199" s="275">
        <v>0.72899999999999998</v>
      </c>
      <c r="I199" s="275">
        <v>0.74</v>
      </c>
      <c r="J199" s="275">
        <v>0.746</v>
      </c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</row>
    <row r="200" spans="1:27">
      <c r="A200" s="273"/>
      <c r="B200" s="274"/>
      <c r="C200" s="278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</row>
    <row r="201" spans="1:27">
      <c r="A201" s="273">
        <v>71</v>
      </c>
      <c r="B201" s="274">
        <v>25</v>
      </c>
      <c r="C201" s="278" t="s">
        <v>62</v>
      </c>
      <c r="D201" s="275" t="s">
        <v>434</v>
      </c>
      <c r="E201" s="275" t="s">
        <v>435</v>
      </c>
      <c r="F201" s="275" t="s">
        <v>436</v>
      </c>
      <c r="G201" s="275" t="s">
        <v>437</v>
      </c>
      <c r="H201" s="275" t="s">
        <v>438</v>
      </c>
      <c r="I201" s="275" t="s">
        <v>439</v>
      </c>
      <c r="J201" s="275" t="s">
        <v>440</v>
      </c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</row>
    <row r="202" spans="1:27">
      <c r="A202" s="273"/>
      <c r="B202" s="274"/>
      <c r="C202" s="278"/>
      <c r="D202" s="275">
        <v>0.04</v>
      </c>
      <c r="E202" s="275">
        <v>0.23200000000000001</v>
      </c>
      <c r="F202" s="275">
        <v>0.187</v>
      </c>
      <c r="G202" s="275">
        <v>0.189</v>
      </c>
      <c r="H202" s="275">
        <v>0.72399999999999998</v>
      </c>
      <c r="I202" s="275">
        <v>0.73199999999999998</v>
      </c>
      <c r="J202" s="275">
        <v>0.73799999999999999</v>
      </c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</row>
    <row r="203" spans="1:27">
      <c r="A203" s="273"/>
      <c r="B203" s="274"/>
      <c r="C203" s="278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</row>
    <row r="204" spans="1:27">
      <c r="A204" s="273">
        <v>72</v>
      </c>
      <c r="B204" s="274">
        <v>25</v>
      </c>
      <c r="C204" s="278" t="s">
        <v>63</v>
      </c>
      <c r="D204" s="275" t="s">
        <v>434</v>
      </c>
      <c r="E204" s="275" t="s">
        <v>435</v>
      </c>
      <c r="F204" s="275" t="s">
        <v>436</v>
      </c>
      <c r="G204" s="275" t="s">
        <v>437</v>
      </c>
      <c r="H204" s="275" t="s">
        <v>438</v>
      </c>
      <c r="I204" s="275" t="s">
        <v>439</v>
      </c>
      <c r="J204" s="275" t="s">
        <v>440</v>
      </c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</row>
    <row r="205" spans="1:27">
      <c r="A205" s="273"/>
      <c r="B205" s="274"/>
      <c r="C205" s="278"/>
      <c r="D205" s="275">
        <v>0.04</v>
      </c>
      <c r="E205" s="275">
        <v>0.23200000000000001</v>
      </c>
      <c r="F205" s="275">
        <v>0.187</v>
      </c>
      <c r="G205" s="275">
        <v>0.189</v>
      </c>
      <c r="H205" s="275">
        <v>0.71699999999999997</v>
      </c>
      <c r="I205" s="275">
        <v>0.72299999999999998</v>
      </c>
      <c r="J205" s="275">
        <v>0.72899999999999998</v>
      </c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</row>
    <row r="206" spans="1:27">
      <c r="A206" s="273"/>
      <c r="B206" s="274"/>
      <c r="C206" s="278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</row>
    <row r="207" spans="1:27">
      <c r="A207" s="273">
        <v>73</v>
      </c>
      <c r="B207" s="274">
        <v>25</v>
      </c>
      <c r="C207" s="278" t="s">
        <v>64</v>
      </c>
      <c r="D207" s="275" t="s">
        <v>434</v>
      </c>
      <c r="E207" s="275" t="s">
        <v>435</v>
      </c>
      <c r="F207" s="275" t="s">
        <v>436</v>
      </c>
      <c r="G207" s="275" t="s">
        <v>437</v>
      </c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</row>
    <row r="208" spans="1:27">
      <c r="A208" s="273"/>
      <c r="B208" s="274"/>
      <c r="C208" s="278"/>
      <c r="D208" s="275">
        <v>0.04</v>
      </c>
      <c r="E208" s="275">
        <v>0.23200000000000001</v>
      </c>
      <c r="F208" s="275">
        <v>0.187</v>
      </c>
      <c r="G208" s="275">
        <v>0.189</v>
      </c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</row>
    <row r="209" spans="1:27">
      <c r="A209" s="273"/>
      <c r="B209" s="274"/>
      <c r="C209" s="278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</row>
    <row r="210" spans="1:27">
      <c r="A210" s="273">
        <v>74</v>
      </c>
      <c r="B210" s="274">
        <v>26</v>
      </c>
      <c r="C210" s="278" t="s">
        <v>65</v>
      </c>
      <c r="D210" s="275" t="s">
        <v>434</v>
      </c>
      <c r="E210" s="275" t="s">
        <v>435</v>
      </c>
      <c r="F210" s="275" t="s">
        <v>436</v>
      </c>
      <c r="G210" s="275" t="s">
        <v>437</v>
      </c>
      <c r="H210" s="275" t="s">
        <v>438</v>
      </c>
      <c r="I210" s="275" t="s">
        <v>439</v>
      </c>
      <c r="J210" s="275" t="s">
        <v>440</v>
      </c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</row>
    <row r="211" spans="1:27">
      <c r="A211" s="273"/>
      <c r="B211" s="274"/>
      <c r="C211" s="278"/>
      <c r="D211" s="275">
        <v>3.7999999999999999E-2</v>
      </c>
      <c r="E211" s="275">
        <v>0.222</v>
      </c>
      <c r="F211" s="275">
        <v>0.17799999999999999</v>
      </c>
      <c r="G211" s="275">
        <v>0.18099999999999999</v>
      </c>
      <c r="H211" s="275">
        <v>0.70099999999999996</v>
      </c>
      <c r="I211" s="275">
        <v>0.71199999999999997</v>
      </c>
      <c r="J211" s="275">
        <v>0.71899999999999997</v>
      </c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</row>
    <row r="212" spans="1:27">
      <c r="A212" s="273"/>
      <c r="B212" s="274"/>
      <c r="C212" s="278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</row>
    <row r="213" spans="1:27">
      <c r="A213" s="273">
        <v>75</v>
      </c>
      <c r="B213" s="274">
        <v>26</v>
      </c>
      <c r="C213" s="278" t="s">
        <v>66</v>
      </c>
      <c r="D213" s="275" t="s">
        <v>434</v>
      </c>
      <c r="E213" s="275" t="s">
        <v>435</v>
      </c>
      <c r="F213" s="275" t="s">
        <v>436</v>
      </c>
      <c r="G213" s="275" t="s">
        <v>437</v>
      </c>
      <c r="H213" s="275" t="s">
        <v>438</v>
      </c>
      <c r="I213" s="275" t="s">
        <v>439</v>
      </c>
      <c r="J213" s="275" t="s">
        <v>440</v>
      </c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</row>
    <row r="214" spans="1:27">
      <c r="A214" s="273"/>
      <c r="B214" s="274"/>
      <c r="C214" s="278"/>
      <c r="D214" s="275">
        <v>3.7999999999999999E-2</v>
      </c>
      <c r="E214" s="275">
        <v>0.222</v>
      </c>
      <c r="F214" s="275">
        <v>0.17799999999999999</v>
      </c>
      <c r="G214" s="275">
        <v>0.18099999999999999</v>
      </c>
      <c r="H214" s="275">
        <v>0.70099999999999996</v>
      </c>
      <c r="I214" s="275">
        <v>0.71199999999999997</v>
      </c>
      <c r="J214" s="275">
        <v>0.71899999999999997</v>
      </c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</row>
    <row r="215" spans="1:27">
      <c r="A215" s="273"/>
      <c r="B215" s="274"/>
      <c r="C215" s="278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</row>
    <row r="216" spans="1:27">
      <c r="A216" s="273">
        <v>76</v>
      </c>
      <c r="B216" s="274">
        <v>26</v>
      </c>
      <c r="C216" s="278" t="s">
        <v>67</v>
      </c>
      <c r="D216" s="275" t="s">
        <v>434</v>
      </c>
      <c r="E216" s="275" t="s">
        <v>435</v>
      </c>
      <c r="F216" s="275" t="s">
        <v>436</v>
      </c>
      <c r="G216" s="275" t="s">
        <v>437</v>
      </c>
      <c r="H216" s="275" t="s">
        <v>438</v>
      </c>
      <c r="I216" s="275" t="s">
        <v>439</v>
      </c>
      <c r="J216" s="275" t="s">
        <v>440</v>
      </c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</row>
    <row r="217" spans="1:27">
      <c r="A217" s="273"/>
      <c r="B217" s="274"/>
      <c r="C217" s="278"/>
      <c r="D217" s="275">
        <v>3.7999999999999999E-2</v>
      </c>
      <c r="E217" s="275">
        <v>0.222</v>
      </c>
      <c r="F217" s="275">
        <v>0.17799999999999999</v>
      </c>
      <c r="G217" s="275">
        <v>0.18099999999999999</v>
      </c>
      <c r="H217" s="275">
        <v>0.69899999999999995</v>
      </c>
      <c r="I217" s="275">
        <v>0.70799999999999996</v>
      </c>
      <c r="J217" s="275">
        <v>0.71499999999999997</v>
      </c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</row>
    <row r="218" spans="1:27">
      <c r="A218" s="273"/>
      <c r="B218" s="274"/>
      <c r="C218" s="278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</row>
    <row r="219" spans="1:27">
      <c r="A219" s="273">
        <v>77</v>
      </c>
      <c r="B219" s="274">
        <v>26</v>
      </c>
      <c r="C219" s="278" t="s">
        <v>68</v>
      </c>
      <c r="D219" s="275" t="s">
        <v>434</v>
      </c>
      <c r="E219" s="275" t="s">
        <v>435</v>
      </c>
      <c r="F219" s="275" t="s">
        <v>436</v>
      </c>
      <c r="G219" s="275" t="s">
        <v>437</v>
      </c>
      <c r="H219" s="275" t="s">
        <v>438</v>
      </c>
      <c r="I219" s="275" t="s">
        <v>439</v>
      </c>
      <c r="J219" s="275" t="s">
        <v>440</v>
      </c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</row>
    <row r="220" spans="1:27">
      <c r="A220" s="273"/>
      <c r="B220" s="274"/>
      <c r="C220" s="278"/>
      <c r="D220" s="275">
        <v>3.7999999999999999E-2</v>
      </c>
      <c r="E220" s="275">
        <v>0.222</v>
      </c>
      <c r="F220" s="275">
        <v>0.17799999999999999</v>
      </c>
      <c r="G220" s="275">
        <v>0.18099999999999999</v>
      </c>
      <c r="H220" s="275">
        <v>0.69499999999999995</v>
      </c>
      <c r="I220" s="275">
        <v>0.70299999999999996</v>
      </c>
      <c r="J220" s="275">
        <v>0.70899999999999996</v>
      </c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</row>
    <row r="221" spans="1:27">
      <c r="A221" s="273"/>
      <c r="B221" s="274"/>
      <c r="C221" s="278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</row>
    <row r="222" spans="1:27">
      <c r="A222" s="273">
        <v>78</v>
      </c>
      <c r="B222" s="274">
        <v>26</v>
      </c>
      <c r="C222" s="278" t="s">
        <v>69</v>
      </c>
      <c r="D222" s="275" t="s">
        <v>434</v>
      </c>
      <c r="E222" s="275" t="s">
        <v>435</v>
      </c>
      <c r="F222" s="275" t="s">
        <v>436</v>
      </c>
      <c r="G222" s="275" t="s">
        <v>437</v>
      </c>
      <c r="H222" s="275" t="s">
        <v>438</v>
      </c>
      <c r="I222" s="275" t="s">
        <v>439</v>
      </c>
      <c r="J222" s="275" t="s">
        <v>440</v>
      </c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</row>
    <row r="223" spans="1:27">
      <c r="A223" s="273"/>
      <c r="B223" s="274"/>
      <c r="C223" s="278"/>
      <c r="D223" s="275">
        <v>3.7999999999999999E-2</v>
      </c>
      <c r="E223" s="275">
        <v>0.222</v>
      </c>
      <c r="F223" s="275">
        <v>0.17799999999999999</v>
      </c>
      <c r="G223" s="275">
        <v>0.18099999999999999</v>
      </c>
      <c r="H223" s="275">
        <v>0.69</v>
      </c>
      <c r="I223" s="275">
        <v>0.69599999999999995</v>
      </c>
      <c r="J223" s="275">
        <v>0.70199999999999996</v>
      </c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</row>
    <row r="224" spans="1:27">
      <c r="A224" s="273"/>
      <c r="B224" s="274"/>
      <c r="C224" s="278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</row>
    <row r="225" spans="1:27">
      <c r="A225" s="273">
        <v>79</v>
      </c>
      <c r="B225" s="274">
        <v>26</v>
      </c>
      <c r="C225" s="278" t="s">
        <v>70</v>
      </c>
      <c r="D225" s="275" t="s">
        <v>434</v>
      </c>
      <c r="E225" s="275" t="s">
        <v>435</v>
      </c>
      <c r="F225" s="275" t="s">
        <v>436</v>
      </c>
      <c r="G225" s="275" t="s">
        <v>437</v>
      </c>
      <c r="H225" s="275" t="s">
        <v>438</v>
      </c>
      <c r="I225" s="275" t="s">
        <v>439</v>
      </c>
      <c r="J225" s="275" t="s">
        <v>440</v>
      </c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</row>
    <row r="226" spans="1:27">
      <c r="A226" s="273"/>
      <c r="B226" s="274"/>
      <c r="C226" s="278"/>
      <c r="D226" s="275">
        <v>3.7999999999999999E-2</v>
      </c>
      <c r="E226" s="275">
        <v>0.222</v>
      </c>
      <c r="F226" s="275">
        <v>0.17799999999999999</v>
      </c>
      <c r="G226" s="275">
        <v>0.18099999999999999</v>
      </c>
      <c r="H226" s="275">
        <v>0.68500000000000005</v>
      </c>
      <c r="I226" s="275">
        <v>0.68799999999999994</v>
      </c>
      <c r="J226" s="275">
        <v>0.69399999999999995</v>
      </c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</row>
    <row r="227" spans="1:27">
      <c r="A227" s="273"/>
      <c r="B227" s="274"/>
      <c r="C227" s="278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</row>
    <row r="228" spans="1:27">
      <c r="A228" s="273">
        <v>80</v>
      </c>
      <c r="B228" s="274">
        <v>27</v>
      </c>
      <c r="C228" s="278" t="s">
        <v>71</v>
      </c>
      <c r="D228" s="275" t="s">
        <v>434</v>
      </c>
      <c r="E228" s="275" t="s">
        <v>435</v>
      </c>
      <c r="F228" s="275" t="s">
        <v>436</v>
      </c>
      <c r="G228" s="275" t="s">
        <v>437</v>
      </c>
      <c r="H228" s="275" t="s">
        <v>438</v>
      </c>
      <c r="I228" s="275" t="s">
        <v>439</v>
      </c>
      <c r="J228" s="275" t="s">
        <v>440</v>
      </c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</row>
    <row r="229" spans="1:27">
      <c r="A229" s="273"/>
      <c r="B229" s="274"/>
      <c r="C229" s="278"/>
      <c r="D229" s="275">
        <v>3.6999999999999998E-2</v>
      </c>
      <c r="E229" s="275">
        <v>0.21199999999999999</v>
      </c>
      <c r="F229" s="275">
        <v>0.17100000000000001</v>
      </c>
      <c r="G229" s="275">
        <v>0.17299999999999999</v>
      </c>
      <c r="H229" s="275">
        <v>0.67</v>
      </c>
      <c r="I229" s="275">
        <v>0.67900000000000005</v>
      </c>
      <c r="J229" s="275">
        <v>0.68600000000000005</v>
      </c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</row>
    <row r="230" spans="1:27">
      <c r="A230" s="273"/>
      <c r="B230" s="274"/>
      <c r="C230" s="278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</row>
    <row r="231" spans="1:27">
      <c r="A231" s="273">
        <v>81</v>
      </c>
      <c r="B231" s="274">
        <v>27</v>
      </c>
      <c r="C231" s="278" t="s">
        <v>72</v>
      </c>
      <c r="D231" s="275" t="s">
        <v>434</v>
      </c>
      <c r="E231" s="275" t="s">
        <v>435</v>
      </c>
      <c r="F231" s="275" t="s">
        <v>436</v>
      </c>
      <c r="G231" s="275" t="s">
        <v>437</v>
      </c>
      <c r="H231" s="275" t="s">
        <v>438</v>
      </c>
      <c r="I231" s="275" t="s">
        <v>439</v>
      </c>
      <c r="J231" s="275" t="s">
        <v>440</v>
      </c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</row>
    <row r="232" spans="1:27">
      <c r="A232" s="273"/>
      <c r="B232" s="274"/>
      <c r="C232" s="278"/>
      <c r="D232" s="275">
        <v>3.6999999999999998E-2</v>
      </c>
      <c r="E232" s="275">
        <v>0.21199999999999999</v>
      </c>
      <c r="F232" s="275">
        <v>0.17100000000000001</v>
      </c>
      <c r="G232" s="275">
        <v>0.17299999999999999</v>
      </c>
      <c r="H232" s="275">
        <v>0.66900000000000004</v>
      </c>
      <c r="I232" s="275">
        <v>0.67700000000000005</v>
      </c>
      <c r="J232" s="275">
        <v>0.68400000000000005</v>
      </c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</row>
    <row r="233" spans="1:27">
      <c r="A233" s="273"/>
      <c r="B233" s="274"/>
      <c r="C233" s="278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</row>
    <row r="234" spans="1:27">
      <c r="A234" s="273">
        <v>82</v>
      </c>
      <c r="B234" s="274">
        <v>27</v>
      </c>
      <c r="C234" s="278" t="s">
        <v>73</v>
      </c>
      <c r="D234" s="275" t="s">
        <v>434</v>
      </c>
      <c r="E234" s="275" t="s">
        <v>435</v>
      </c>
      <c r="F234" s="275" t="s">
        <v>436</v>
      </c>
      <c r="G234" s="275" t="s">
        <v>437</v>
      </c>
      <c r="H234" s="275" t="s">
        <v>438</v>
      </c>
      <c r="I234" s="275" t="s">
        <v>439</v>
      </c>
      <c r="J234" s="275" t="s">
        <v>440</v>
      </c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</row>
    <row r="235" spans="1:27">
      <c r="A235" s="273"/>
      <c r="B235" s="274"/>
      <c r="C235" s="278"/>
      <c r="D235" s="275">
        <v>3.6999999999999998E-2</v>
      </c>
      <c r="E235" s="275">
        <v>0.21199999999999999</v>
      </c>
      <c r="F235" s="275">
        <v>0.17100000000000001</v>
      </c>
      <c r="G235" s="275">
        <v>0.17299999999999999</v>
      </c>
      <c r="H235" s="275">
        <v>0.66700000000000004</v>
      </c>
      <c r="I235" s="275">
        <v>0.67400000000000004</v>
      </c>
      <c r="J235" s="275">
        <v>0.68100000000000005</v>
      </c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</row>
    <row r="236" spans="1:27">
      <c r="A236" s="273"/>
      <c r="B236" s="274"/>
      <c r="C236" s="278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</row>
    <row r="237" spans="1:27">
      <c r="A237" s="273">
        <v>83</v>
      </c>
      <c r="B237" s="274">
        <v>27</v>
      </c>
      <c r="C237" s="278" t="s">
        <v>74</v>
      </c>
      <c r="D237" s="275" t="s">
        <v>434</v>
      </c>
      <c r="E237" s="275" t="s">
        <v>435</v>
      </c>
      <c r="F237" s="275" t="s">
        <v>436</v>
      </c>
      <c r="G237" s="275" t="s">
        <v>437</v>
      </c>
      <c r="H237" s="275" t="s">
        <v>438</v>
      </c>
      <c r="I237" s="275" t="s">
        <v>439</v>
      </c>
      <c r="J237" s="275" t="s">
        <v>440</v>
      </c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</row>
    <row r="238" spans="1:27">
      <c r="A238" s="273"/>
      <c r="B238" s="274"/>
      <c r="C238" s="278"/>
      <c r="D238" s="275">
        <v>3.6999999999999998E-2</v>
      </c>
      <c r="E238" s="275">
        <v>0.21199999999999999</v>
      </c>
      <c r="F238" s="275">
        <v>0.17100000000000001</v>
      </c>
      <c r="G238" s="275">
        <v>0.17299999999999999</v>
      </c>
      <c r="H238" s="275">
        <v>0.66400000000000003</v>
      </c>
      <c r="I238" s="275">
        <v>0.66900000000000004</v>
      </c>
      <c r="J238" s="275">
        <v>0.67600000000000005</v>
      </c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</row>
    <row r="239" spans="1:27">
      <c r="A239" s="273"/>
      <c r="B239" s="274"/>
      <c r="C239" s="278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</row>
    <row r="240" spans="1:27">
      <c r="A240" s="273">
        <v>84</v>
      </c>
      <c r="B240" s="274">
        <v>27</v>
      </c>
      <c r="C240" s="278" t="s">
        <v>75</v>
      </c>
      <c r="D240" s="275" t="s">
        <v>434</v>
      </c>
      <c r="E240" s="275" t="s">
        <v>435</v>
      </c>
      <c r="F240" s="275" t="s">
        <v>436</v>
      </c>
      <c r="G240" s="275" t="s">
        <v>437</v>
      </c>
      <c r="H240" s="275" t="s">
        <v>438</v>
      </c>
      <c r="I240" s="275" t="s">
        <v>439</v>
      </c>
      <c r="J240" s="275" t="s">
        <v>440</v>
      </c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</row>
    <row r="241" spans="1:27">
      <c r="A241" s="273"/>
      <c r="B241" s="274"/>
      <c r="C241" s="278"/>
      <c r="D241" s="275">
        <v>3.6999999999999998E-2</v>
      </c>
      <c r="E241" s="275">
        <v>0.21199999999999999</v>
      </c>
      <c r="F241" s="275">
        <v>0.17100000000000001</v>
      </c>
      <c r="G241" s="275">
        <v>0.17299999999999999</v>
      </c>
      <c r="H241" s="275">
        <v>0.66</v>
      </c>
      <c r="I241" s="275">
        <v>0.66300000000000003</v>
      </c>
      <c r="J241" s="275">
        <v>0.67</v>
      </c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</row>
    <row r="242" spans="1:27">
      <c r="A242" s="273"/>
      <c r="B242" s="274"/>
      <c r="C242" s="278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</row>
    <row r="243" spans="1:27">
      <c r="A243" s="273">
        <v>85</v>
      </c>
      <c r="B243" s="274">
        <v>28</v>
      </c>
      <c r="C243" s="278" t="s">
        <v>76</v>
      </c>
      <c r="D243" s="275" t="s">
        <v>434</v>
      </c>
      <c r="E243" s="275" t="s">
        <v>435</v>
      </c>
      <c r="F243" s="275" t="s">
        <v>436</v>
      </c>
      <c r="G243" s="275" t="s">
        <v>437</v>
      </c>
      <c r="H243" s="275" t="s">
        <v>438</v>
      </c>
      <c r="I243" s="275" t="s">
        <v>439</v>
      </c>
      <c r="J243" s="275" t="s">
        <v>440</v>
      </c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</row>
    <row r="244" spans="1:27">
      <c r="A244" s="273"/>
      <c r="B244" s="274"/>
      <c r="C244" s="278"/>
      <c r="D244" s="275">
        <v>3.5000000000000003E-2</v>
      </c>
      <c r="E244" s="275">
        <v>0.20399999999999999</v>
      </c>
      <c r="F244" s="275">
        <v>0.16300000000000001</v>
      </c>
      <c r="G244" s="275">
        <v>0.16600000000000001</v>
      </c>
      <c r="H244" s="275">
        <v>0.64100000000000001</v>
      </c>
      <c r="I244" s="275">
        <v>0.64700000000000002</v>
      </c>
      <c r="J244" s="275">
        <v>0.65500000000000003</v>
      </c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</row>
    <row r="245" spans="1:27">
      <c r="A245" s="273"/>
      <c r="B245" s="274"/>
      <c r="C245" s="278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</row>
    <row r="246" spans="1:27">
      <c r="A246" s="273">
        <v>86</v>
      </c>
      <c r="B246" s="274">
        <v>28</v>
      </c>
      <c r="C246" s="278" t="s">
        <v>77</v>
      </c>
      <c r="D246" s="275" t="s">
        <v>434</v>
      </c>
      <c r="E246" s="275" t="s">
        <v>435</v>
      </c>
      <c r="F246" s="275" t="s">
        <v>436</v>
      </c>
      <c r="G246" s="275" t="s">
        <v>437</v>
      </c>
      <c r="H246" s="275" t="s">
        <v>438</v>
      </c>
      <c r="I246" s="275" t="s">
        <v>439</v>
      </c>
      <c r="J246" s="275" t="s">
        <v>440</v>
      </c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</row>
    <row r="247" spans="1:27">
      <c r="A247" s="273"/>
      <c r="B247" s="274"/>
      <c r="C247" s="278"/>
      <c r="D247" s="275">
        <v>3.5000000000000003E-2</v>
      </c>
      <c r="E247" s="275">
        <v>0.20399999999999999</v>
      </c>
      <c r="F247" s="275">
        <v>0.16300000000000001</v>
      </c>
      <c r="G247" s="275">
        <v>0.16600000000000001</v>
      </c>
      <c r="H247" s="275">
        <v>0.64</v>
      </c>
      <c r="I247" s="275">
        <v>0.64500000000000002</v>
      </c>
      <c r="J247" s="275">
        <v>0.65300000000000002</v>
      </c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</row>
    <row r="248" spans="1:27">
      <c r="A248" s="273"/>
      <c r="B248" s="274"/>
      <c r="C248" s="278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</row>
    <row r="249" spans="1:27">
      <c r="A249" s="273">
        <v>87</v>
      </c>
      <c r="B249" s="274">
        <v>28</v>
      </c>
      <c r="C249" s="278" t="s">
        <v>78</v>
      </c>
      <c r="D249" s="275" t="s">
        <v>434</v>
      </c>
      <c r="E249" s="275" t="s">
        <v>435</v>
      </c>
      <c r="F249" s="275" t="s">
        <v>436</v>
      </c>
      <c r="G249" s="275" t="s">
        <v>437</v>
      </c>
      <c r="H249" s="275" t="s">
        <v>438</v>
      </c>
      <c r="I249" s="275" t="s">
        <v>439</v>
      </c>
      <c r="J249" s="275" t="s">
        <v>440</v>
      </c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</row>
    <row r="250" spans="1:27">
      <c r="A250" s="273"/>
      <c r="B250" s="274"/>
      <c r="C250" s="278"/>
      <c r="D250" s="275">
        <v>3.5000000000000003E-2</v>
      </c>
      <c r="E250" s="275">
        <v>0.20399999999999999</v>
      </c>
      <c r="F250" s="275">
        <v>0.16300000000000001</v>
      </c>
      <c r="G250" s="275">
        <v>0.16600000000000001</v>
      </c>
      <c r="H250" s="275">
        <v>0.63800000000000001</v>
      </c>
      <c r="I250" s="275">
        <v>0.64200000000000002</v>
      </c>
      <c r="J250" s="275">
        <v>0.65</v>
      </c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</row>
    <row r="251" spans="1:27">
      <c r="A251" s="273"/>
      <c r="B251" s="274"/>
      <c r="C251" s="278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</row>
    <row r="252" spans="1:27">
      <c r="A252" s="273">
        <v>88</v>
      </c>
      <c r="B252" s="274">
        <v>28</v>
      </c>
      <c r="C252" s="278" t="s">
        <v>79</v>
      </c>
      <c r="D252" s="275" t="s">
        <v>434</v>
      </c>
      <c r="E252" s="275" t="s">
        <v>435</v>
      </c>
      <c r="F252" s="275" t="s">
        <v>436</v>
      </c>
      <c r="G252" s="275" t="s">
        <v>437</v>
      </c>
      <c r="H252" s="275" t="s">
        <v>438</v>
      </c>
      <c r="I252" s="275" t="s">
        <v>439</v>
      </c>
      <c r="J252" s="275" t="s">
        <v>440</v>
      </c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</row>
    <row r="253" spans="1:27">
      <c r="A253" s="273"/>
      <c r="B253" s="274"/>
      <c r="C253" s="278"/>
      <c r="D253" s="275">
        <v>3.5000000000000003E-2</v>
      </c>
      <c r="E253" s="275">
        <v>0.20399999999999999</v>
      </c>
      <c r="F253" s="275">
        <v>0.16300000000000001</v>
      </c>
      <c r="G253" s="275">
        <v>0.16600000000000001</v>
      </c>
      <c r="H253" s="275">
        <v>0.63500000000000001</v>
      </c>
      <c r="I253" s="275">
        <v>0.63800000000000001</v>
      </c>
      <c r="J253" s="275">
        <v>0.64500000000000002</v>
      </c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</row>
    <row r="254" spans="1:27">
      <c r="A254" s="273"/>
      <c r="B254" s="274"/>
      <c r="C254" s="278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</row>
    <row r="255" spans="1:27">
      <c r="A255" s="273">
        <v>89</v>
      </c>
      <c r="B255" s="274">
        <v>29</v>
      </c>
      <c r="C255" s="278" t="s">
        <v>80</v>
      </c>
      <c r="D255" s="275" t="s">
        <v>434</v>
      </c>
      <c r="E255" s="275" t="s">
        <v>435</v>
      </c>
      <c r="F255" s="275" t="s">
        <v>436</v>
      </c>
      <c r="G255" s="275" t="s">
        <v>437</v>
      </c>
      <c r="H255" s="275" t="s">
        <v>438</v>
      </c>
      <c r="I255" s="275" t="s">
        <v>439</v>
      </c>
      <c r="J255" s="275" t="s">
        <v>440</v>
      </c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</row>
    <row r="256" spans="1:27">
      <c r="A256" s="273"/>
      <c r="B256" s="274"/>
      <c r="C256" s="278"/>
      <c r="D256" s="275">
        <v>3.4000000000000002E-2</v>
      </c>
      <c r="E256" s="275">
        <v>0.19600000000000001</v>
      </c>
      <c r="F256" s="275">
        <v>0.157</v>
      </c>
      <c r="G256" s="275">
        <v>0.159</v>
      </c>
      <c r="H256" s="275">
        <v>0.61399999999999999</v>
      </c>
      <c r="I256" s="275">
        <v>0.61799999999999999</v>
      </c>
      <c r="J256" s="275">
        <v>0.626</v>
      </c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</row>
    <row r="257" spans="1:27">
      <c r="A257" s="273"/>
      <c r="B257" s="274"/>
      <c r="C257" s="278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</row>
    <row r="258" spans="1:27">
      <c r="A258" s="273">
        <v>90</v>
      </c>
      <c r="B258" s="274">
        <v>29</v>
      </c>
      <c r="C258" s="278" t="s">
        <v>81</v>
      </c>
      <c r="D258" s="275" t="s">
        <v>434</v>
      </c>
      <c r="E258" s="275" t="s">
        <v>435</v>
      </c>
      <c r="F258" s="275" t="s">
        <v>436</v>
      </c>
      <c r="G258" s="275" t="s">
        <v>437</v>
      </c>
      <c r="H258" s="275" t="s">
        <v>438</v>
      </c>
      <c r="I258" s="275" t="s">
        <v>439</v>
      </c>
      <c r="J258" s="275" t="s">
        <v>440</v>
      </c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</row>
    <row r="259" spans="1:27">
      <c r="A259" s="273"/>
      <c r="B259" s="274"/>
      <c r="C259" s="278"/>
      <c r="D259" s="275">
        <v>3.4000000000000002E-2</v>
      </c>
      <c r="E259" s="275">
        <v>0.19600000000000001</v>
      </c>
      <c r="F259" s="275">
        <v>0.157</v>
      </c>
      <c r="G259" s="275">
        <v>0.159</v>
      </c>
      <c r="H259" s="275">
        <v>0.61299999999999999</v>
      </c>
      <c r="I259" s="275">
        <v>0.61699999999999999</v>
      </c>
      <c r="J259" s="275">
        <v>0.624</v>
      </c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</row>
    <row r="260" spans="1:27">
      <c r="A260" s="273"/>
      <c r="B260" s="274"/>
      <c r="C260" s="278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</row>
    <row r="261" spans="1:27">
      <c r="A261" s="273">
        <v>91</v>
      </c>
      <c r="B261" s="274">
        <v>29</v>
      </c>
      <c r="C261" s="278" t="s">
        <v>82</v>
      </c>
      <c r="D261" s="275" t="s">
        <v>434</v>
      </c>
      <c r="E261" s="275" t="s">
        <v>435</v>
      </c>
      <c r="F261" s="275" t="s">
        <v>436</v>
      </c>
      <c r="G261" s="275" t="s">
        <v>437</v>
      </c>
      <c r="H261" s="275" t="s">
        <v>438</v>
      </c>
      <c r="I261" s="275" t="s">
        <v>439</v>
      </c>
      <c r="J261" s="275" t="s">
        <v>440</v>
      </c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</row>
    <row r="262" spans="1:27">
      <c r="A262" s="273"/>
      <c r="B262" s="274"/>
      <c r="C262" s="278"/>
      <c r="D262" s="275">
        <v>3.4000000000000002E-2</v>
      </c>
      <c r="E262" s="275">
        <v>0.19600000000000001</v>
      </c>
      <c r="F262" s="275">
        <v>0.157</v>
      </c>
      <c r="G262" s="275">
        <v>0.159</v>
      </c>
      <c r="H262" s="275">
        <v>0.61199999999999999</v>
      </c>
      <c r="I262" s="275">
        <v>0.61399999999999999</v>
      </c>
      <c r="J262" s="275">
        <v>0.621</v>
      </c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</row>
    <row r="263" spans="1:27">
      <c r="A263" s="273"/>
      <c r="B263" s="274"/>
      <c r="C263" s="278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</row>
    <row r="264" spans="1:27">
      <c r="A264" s="273">
        <v>92</v>
      </c>
      <c r="B264" s="274">
        <v>29</v>
      </c>
      <c r="C264" s="278" t="s">
        <v>83</v>
      </c>
      <c r="D264" s="275" t="s">
        <v>434</v>
      </c>
      <c r="E264" s="275" t="s">
        <v>435</v>
      </c>
      <c r="F264" s="275" t="s">
        <v>436</v>
      </c>
      <c r="G264" s="275" t="s">
        <v>437</v>
      </c>
      <c r="H264" s="275" t="s">
        <v>438</v>
      </c>
      <c r="I264" s="275" t="s">
        <v>439</v>
      </c>
      <c r="J264" s="275" t="s">
        <v>440</v>
      </c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</row>
    <row r="265" spans="1:27">
      <c r="A265" s="273"/>
      <c r="B265" s="274"/>
      <c r="C265" s="278"/>
      <c r="D265" s="275">
        <v>3.4000000000000002E-2</v>
      </c>
      <c r="E265" s="275">
        <v>0.19600000000000001</v>
      </c>
      <c r="F265" s="275">
        <v>0.157</v>
      </c>
      <c r="G265" s="275">
        <v>0.159</v>
      </c>
      <c r="H265" s="275">
        <v>0.60899999999999999</v>
      </c>
      <c r="I265" s="275">
        <v>0.61</v>
      </c>
      <c r="J265" s="275">
        <v>0.61799999999999999</v>
      </c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</row>
    <row r="266" spans="1:27">
      <c r="A266" s="273"/>
      <c r="B266" s="274"/>
      <c r="C266" s="278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</row>
    <row r="267" spans="1:27">
      <c r="A267" s="273">
        <v>93</v>
      </c>
      <c r="B267" s="274">
        <v>30</v>
      </c>
      <c r="C267" s="278" t="s">
        <v>335</v>
      </c>
      <c r="D267" s="275" t="s">
        <v>434</v>
      </c>
      <c r="E267" s="275" t="s">
        <v>435</v>
      </c>
      <c r="F267" s="275" t="s">
        <v>436</v>
      </c>
      <c r="G267" s="275" t="s">
        <v>437</v>
      </c>
      <c r="H267" s="275" t="s">
        <v>438</v>
      </c>
      <c r="I267" s="275" t="s">
        <v>439</v>
      </c>
      <c r="J267" s="275" t="s">
        <v>440</v>
      </c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</row>
    <row r="268" spans="1:27">
      <c r="A268" s="273"/>
      <c r="B268" s="274"/>
      <c r="C268" s="278"/>
      <c r="D268" s="275">
        <v>3.3000000000000002E-2</v>
      </c>
      <c r="E268" s="275">
        <v>0.189</v>
      </c>
      <c r="F268" s="275">
        <v>0.15</v>
      </c>
      <c r="G268" s="275">
        <v>0.153</v>
      </c>
      <c r="H268" s="275">
        <v>0.58899999999999997</v>
      </c>
      <c r="I268" s="275">
        <v>0.59</v>
      </c>
      <c r="J268" s="275">
        <v>0.59799999999999998</v>
      </c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</row>
    <row r="269" spans="1:27">
      <c r="A269" s="273"/>
      <c r="B269" s="274"/>
      <c r="C269" s="278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</row>
    <row r="270" spans="1:27">
      <c r="A270" s="273">
        <v>94</v>
      </c>
      <c r="B270" s="274">
        <v>31</v>
      </c>
      <c r="C270" s="278" t="s">
        <v>84</v>
      </c>
      <c r="D270" s="275" t="s">
        <v>434</v>
      </c>
      <c r="E270" s="275" t="s">
        <v>435</v>
      </c>
      <c r="F270" s="275" t="s">
        <v>436</v>
      </c>
      <c r="G270" s="275" t="s">
        <v>437</v>
      </c>
      <c r="H270" s="275" t="s">
        <v>438</v>
      </c>
      <c r="I270" s="275" t="s">
        <v>439</v>
      </c>
      <c r="J270" s="275" t="s">
        <v>440</v>
      </c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</row>
    <row r="271" spans="1:27">
      <c r="A271" s="273"/>
      <c r="B271" s="274"/>
      <c r="C271" s="278"/>
      <c r="D271" s="275">
        <v>3.2000000000000001E-2</v>
      </c>
      <c r="E271" s="275">
        <v>0.182</v>
      </c>
      <c r="F271" s="275">
        <v>0.14499999999999999</v>
      </c>
      <c r="G271" s="275">
        <v>0.14799999999999999</v>
      </c>
      <c r="H271" s="275">
        <v>0.56399999999999995</v>
      </c>
      <c r="I271" s="275">
        <v>0.56399999999999995</v>
      </c>
      <c r="J271" s="275">
        <v>0.57199999999999995</v>
      </c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</row>
    <row r="272" spans="1:27">
      <c r="A272" s="273"/>
      <c r="B272" s="274"/>
      <c r="C272" s="278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</row>
    <row r="273" spans="1:27">
      <c r="A273" s="273">
        <v>95</v>
      </c>
      <c r="B273" s="274">
        <v>31</v>
      </c>
      <c r="C273" s="278" t="s">
        <v>85</v>
      </c>
      <c r="D273" s="275" t="s">
        <v>434</v>
      </c>
      <c r="E273" s="275" t="s">
        <v>435</v>
      </c>
      <c r="F273" s="275" t="s">
        <v>436</v>
      </c>
      <c r="G273" s="275" t="s">
        <v>437</v>
      </c>
      <c r="H273" s="275" t="s">
        <v>438</v>
      </c>
      <c r="I273" s="275" t="s">
        <v>439</v>
      </c>
      <c r="J273" s="275" t="s">
        <v>440</v>
      </c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</row>
    <row r="274" spans="1:27">
      <c r="A274" s="273"/>
      <c r="B274" s="274"/>
      <c r="C274" s="278"/>
      <c r="D274" s="275">
        <v>3.2000000000000001E-2</v>
      </c>
      <c r="E274" s="275">
        <v>0.182</v>
      </c>
      <c r="F274" s="275">
        <v>0.14499999999999999</v>
      </c>
      <c r="G274" s="275">
        <v>0.14799999999999999</v>
      </c>
      <c r="H274" s="275">
        <v>0.56499999999999995</v>
      </c>
      <c r="I274" s="275">
        <v>0.56399999999999995</v>
      </c>
      <c r="J274" s="275">
        <v>0.57199999999999995</v>
      </c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</row>
    <row r="275" spans="1:27">
      <c r="A275" s="273"/>
      <c r="B275" s="274"/>
      <c r="C275" s="278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</row>
    <row r="276" spans="1:27">
      <c r="A276" s="273">
        <v>96</v>
      </c>
      <c r="B276" s="274">
        <v>31</v>
      </c>
      <c r="C276" s="278" t="s">
        <v>86</v>
      </c>
      <c r="D276" s="275" t="s">
        <v>434</v>
      </c>
      <c r="E276" s="275" t="s">
        <v>435</v>
      </c>
      <c r="F276" s="275" t="s">
        <v>436</v>
      </c>
      <c r="G276" s="275" t="s">
        <v>437</v>
      </c>
      <c r="H276" s="275" t="s">
        <v>438</v>
      </c>
      <c r="I276" s="275" t="s">
        <v>439</v>
      </c>
      <c r="J276" s="275" t="s">
        <v>440</v>
      </c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</row>
    <row r="277" spans="1:27">
      <c r="A277" s="273"/>
      <c r="B277" s="274"/>
      <c r="C277" s="278"/>
      <c r="D277" s="275">
        <v>3.2000000000000001E-2</v>
      </c>
      <c r="E277" s="275">
        <v>0.182</v>
      </c>
      <c r="F277" s="275">
        <v>0.14499999999999999</v>
      </c>
      <c r="G277" s="275">
        <v>0.14799999999999999</v>
      </c>
      <c r="H277" s="275">
        <v>0.56499999999999995</v>
      </c>
      <c r="I277" s="275">
        <v>0.56399999999999995</v>
      </c>
      <c r="J277" s="275">
        <v>0.57199999999999995</v>
      </c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</row>
    <row r="278" spans="1:27">
      <c r="A278" s="273"/>
      <c r="B278" s="274"/>
      <c r="C278" s="278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</row>
    <row r="279" spans="1:27">
      <c r="A279" s="273">
        <v>97</v>
      </c>
      <c r="B279" s="274">
        <v>32</v>
      </c>
      <c r="C279" s="278" t="s">
        <v>87</v>
      </c>
      <c r="D279" s="275" t="s">
        <v>434</v>
      </c>
      <c r="E279" s="275" t="s">
        <v>435</v>
      </c>
      <c r="F279" s="275" t="s">
        <v>436</v>
      </c>
      <c r="G279" s="275" t="s">
        <v>437</v>
      </c>
      <c r="H279" s="275" t="s">
        <v>438</v>
      </c>
      <c r="I279" s="275" t="s">
        <v>439</v>
      </c>
      <c r="J279" s="275" t="s">
        <v>440</v>
      </c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</row>
    <row r="280" spans="1:27">
      <c r="A280" s="273"/>
      <c r="B280" s="274"/>
      <c r="C280" s="278"/>
      <c r="D280" s="275">
        <v>3.1E-2</v>
      </c>
      <c r="E280" s="275">
        <v>0.17599999999999999</v>
      </c>
      <c r="F280" s="275">
        <v>0.13900000000000001</v>
      </c>
      <c r="G280" s="275">
        <v>0.14199999999999999</v>
      </c>
      <c r="H280" s="275">
        <v>0.54200000000000004</v>
      </c>
      <c r="I280" s="275">
        <v>0.53900000000000003</v>
      </c>
      <c r="J280" s="275">
        <v>0.54700000000000004</v>
      </c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</row>
    <row r="281" spans="1:27">
      <c r="A281" s="273"/>
      <c r="B281" s="274"/>
      <c r="C281" s="278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</row>
    <row r="282" spans="1:27">
      <c r="A282" s="273">
        <v>98</v>
      </c>
      <c r="B282" s="274">
        <v>32</v>
      </c>
      <c r="C282" s="278" t="s">
        <v>88</v>
      </c>
      <c r="D282" s="275" t="s">
        <v>434</v>
      </c>
      <c r="E282" s="275" t="s">
        <v>435</v>
      </c>
      <c r="F282" s="275" t="s">
        <v>436</v>
      </c>
      <c r="G282" s="275" t="s">
        <v>437</v>
      </c>
      <c r="H282" s="275" t="s">
        <v>438</v>
      </c>
      <c r="I282" s="275" t="s">
        <v>439</v>
      </c>
      <c r="J282" s="275" t="s">
        <v>440</v>
      </c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</row>
    <row r="283" spans="1:27">
      <c r="A283" s="273"/>
      <c r="B283" s="274"/>
      <c r="C283" s="278"/>
      <c r="D283" s="275">
        <v>3.1E-2</v>
      </c>
      <c r="E283" s="275">
        <v>0.17599999999999999</v>
      </c>
      <c r="F283" s="275">
        <v>0.13900000000000001</v>
      </c>
      <c r="G283" s="275">
        <v>0.14199999999999999</v>
      </c>
      <c r="H283" s="275">
        <v>0.54200000000000004</v>
      </c>
      <c r="I283" s="275">
        <v>0.53900000000000003</v>
      </c>
      <c r="J283" s="275">
        <v>0.54700000000000004</v>
      </c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</row>
    <row r="284" spans="1:27">
      <c r="A284" s="273"/>
      <c r="B284" s="274"/>
      <c r="C284" s="278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</row>
    <row r="285" spans="1:27">
      <c r="A285" s="273">
        <v>99</v>
      </c>
      <c r="B285" s="274">
        <v>32</v>
      </c>
      <c r="C285" s="278" t="s">
        <v>89</v>
      </c>
      <c r="D285" s="275" t="s">
        <v>434</v>
      </c>
      <c r="E285" s="275" t="s">
        <v>435</v>
      </c>
      <c r="F285" s="275" t="s">
        <v>436</v>
      </c>
      <c r="G285" s="275" t="s">
        <v>437</v>
      </c>
      <c r="H285" s="275" t="s">
        <v>438</v>
      </c>
      <c r="I285" s="275" t="s">
        <v>439</v>
      </c>
      <c r="J285" s="275" t="s">
        <v>440</v>
      </c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</row>
    <row r="286" spans="1:27">
      <c r="A286" s="273"/>
      <c r="B286" s="274"/>
      <c r="C286" s="278"/>
      <c r="D286" s="275">
        <v>3.1E-2</v>
      </c>
      <c r="E286" s="275">
        <v>0.17599999999999999</v>
      </c>
      <c r="F286" s="275">
        <v>0.13900000000000001</v>
      </c>
      <c r="G286" s="275">
        <v>0.14199999999999999</v>
      </c>
      <c r="H286" s="275">
        <v>0.54200000000000004</v>
      </c>
      <c r="I286" s="275">
        <v>0.53900000000000003</v>
      </c>
      <c r="J286" s="275">
        <v>0.54700000000000004</v>
      </c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</row>
    <row r="287" spans="1:27">
      <c r="A287" s="273"/>
      <c r="B287" s="274"/>
      <c r="C287" s="278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</row>
    <row r="288" spans="1:27">
      <c r="A288" s="273">
        <v>100</v>
      </c>
      <c r="B288" s="274">
        <v>32</v>
      </c>
      <c r="C288" s="278" t="s">
        <v>90</v>
      </c>
      <c r="D288" s="275" t="s">
        <v>434</v>
      </c>
      <c r="E288" s="275" t="s">
        <v>435</v>
      </c>
      <c r="F288" s="275" t="s">
        <v>436</v>
      </c>
      <c r="G288" s="275" t="s">
        <v>437</v>
      </c>
      <c r="H288" s="275" t="s">
        <v>438</v>
      </c>
      <c r="I288" s="275" t="s">
        <v>439</v>
      </c>
      <c r="J288" s="275" t="s">
        <v>440</v>
      </c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</row>
    <row r="289" spans="1:27">
      <c r="A289" s="273"/>
      <c r="B289" s="274"/>
      <c r="C289" s="278"/>
      <c r="D289" s="275">
        <v>3.1E-2</v>
      </c>
      <c r="E289" s="275">
        <v>0.17599999999999999</v>
      </c>
      <c r="F289" s="275">
        <v>0.13900000000000001</v>
      </c>
      <c r="G289" s="275">
        <v>0.14199999999999999</v>
      </c>
      <c r="H289" s="275">
        <v>0.54200000000000004</v>
      </c>
      <c r="I289" s="275">
        <v>0.53900000000000003</v>
      </c>
      <c r="J289" s="275">
        <v>0.54700000000000004</v>
      </c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</row>
    <row r="290" spans="1:27">
      <c r="A290" s="273"/>
      <c r="B290" s="274"/>
      <c r="C290" s="278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</row>
    <row r="291" spans="1:27">
      <c r="A291" s="273">
        <v>101</v>
      </c>
      <c r="B291" s="274">
        <v>33</v>
      </c>
      <c r="C291" s="278" t="s">
        <v>336</v>
      </c>
      <c r="D291" s="275" t="s">
        <v>434</v>
      </c>
      <c r="E291" s="275" t="s">
        <v>435</v>
      </c>
      <c r="F291" s="275" t="s">
        <v>436</v>
      </c>
      <c r="G291" s="275" t="s">
        <v>437</v>
      </c>
      <c r="H291" s="275" t="s">
        <v>438</v>
      </c>
      <c r="I291" s="275" t="s">
        <v>439</v>
      </c>
      <c r="J291" s="275" t="s">
        <v>440</v>
      </c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</row>
    <row r="292" spans="1:27">
      <c r="A292" s="273"/>
      <c r="B292" s="274"/>
      <c r="C292" s="278"/>
      <c r="D292" s="275">
        <v>0.03</v>
      </c>
      <c r="E292" s="275">
        <v>0.17</v>
      </c>
      <c r="F292" s="275">
        <v>0.13500000000000001</v>
      </c>
      <c r="G292" s="275">
        <v>0.13700000000000001</v>
      </c>
      <c r="H292" s="275">
        <v>0.52100000000000002</v>
      </c>
      <c r="I292" s="275">
        <v>0.51700000000000002</v>
      </c>
      <c r="J292" s="275">
        <v>0.52500000000000002</v>
      </c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</row>
    <row r="293" spans="1:27">
      <c r="A293" s="273"/>
      <c r="B293" s="274"/>
      <c r="C293" s="278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</row>
    <row r="294" spans="1:27">
      <c r="A294" s="273">
        <v>102</v>
      </c>
      <c r="B294" s="274">
        <v>33</v>
      </c>
      <c r="C294" s="278" t="s">
        <v>91</v>
      </c>
      <c r="D294" s="275" t="s">
        <v>434</v>
      </c>
      <c r="E294" s="275" t="s">
        <v>435</v>
      </c>
      <c r="F294" s="275" t="s">
        <v>436</v>
      </c>
      <c r="G294" s="275" t="s">
        <v>437</v>
      </c>
      <c r="H294" s="275" t="s">
        <v>438</v>
      </c>
      <c r="I294" s="275" t="s">
        <v>439</v>
      </c>
      <c r="J294" s="275" t="s">
        <v>440</v>
      </c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</row>
    <row r="295" spans="1:27">
      <c r="A295" s="273"/>
      <c r="B295" s="274"/>
      <c r="C295" s="278"/>
      <c r="D295" s="275">
        <v>0.03</v>
      </c>
      <c r="E295" s="275">
        <v>0.17</v>
      </c>
      <c r="F295" s="275">
        <v>0.13500000000000001</v>
      </c>
      <c r="G295" s="275">
        <v>0.13700000000000001</v>
      </c>
      <c r="H295" s="275">
        <v>0.52100000000000002</v>
      </c>
      <c r="I295" s="275">
        <v>0.51700000000000002</v>
      </c>
      <c r="J295" s="275">
        <v>0.52500000000000002</v>
      </c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</row>
    <row r="296" spans="1:27">
      <c r="A296" s="273"/>
      <c r="B296" s="274"/>
      <c r="C296" s="278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</row>
    <row r="297" spans="1:27">
      <c r="A297" s="273">
        <v>103</v>
      </c>
      <c r="B297" s="274">
        <v>33</v>
      </c>
      <c r="C297" s="278" t="s">
        <v>337</v>
      </c>
      <c r="D297" s="275" t="s">
        <v>434</v>
      </c>
      <c r="E297" s="275" t="s">
        <v>435</v>
      </c>
      <c r="F297" s="275" t="s">
        <v>436</v>
      </c>
      <c r="G297" s="275" t="s">
        <v>437</v>
      </c>
      <c r="H297" s="275" t="s">
        <v>438</v>
      </c>
      <c r="I297" s="275" t="s">
        <v>439</v>
      </c>
      <c r="J297" s="275" t="s">
        <v>440</v>
      </c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</row>
    <row r="298" spans="1:27">
      <c r="A298" s="273"/>
      <c r="B298" s="274"/>
      <c r="C298" s="278"/>
      <c r="D298" s="275">
        <v>0.03</v>
      </c>
      <c r="E298" s="275">
        <v>0.17</v>
      </c>
      <c r="F298" s="275">
        <v>0.13500000000000001</v>
      </c>
      <c r="G298" s="275">
        <v>0.13700000000000001</v>
      </c>
      <c r="H298" s="275">
        <v>0.52100000000000002</v>
      </c>
      <c r="I298" s="275">
        <v>0.51700000000000002</v>
      </c>
      <c r="J298" s="275">
        <v>0.52500000000000002</v>
      </c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</row>
    <row r="299" spans="1:27">
      <c r="A299" s="273"/>
      <c r="B299" s="274"/>
      <c r="C299" s="278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</row>
    <row r="300" spans="1:27">
      <c r="A300" s="273">
        <v>104</v>
      </c>
      <c r="B300" s="274">
        <v>34</v>
      </c>
      <c r="C300" s="278" t="s">
        <v>338</v>
      </c>
      <c r="D300" s="275" t="s">
        <v>434</v>
      </c>
      <c r="E300" s="275" t="s">
        <v>435</v>
      </c>
      <c r="F300" s="275" t="s">
        <v>436</v>
      </c>
      <c r="G300" s="275" t="s">
        <v>437</v>
      </c>
      <c r="H300" s="275" t="s">
        <v>438</v>
      </c>
      <c r="I300" s="275" t="s">
        <v>439</v>
      </c>
      <c r="J300" s="275" t="s">
        <v>440</v>
      </c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</row>
    <row r="301" spans="1:27">
      <c r="A301" s="273"/>
      <c r="B301" s="274"/>
      <c r="C301" s="278"/>
      <c r="D301" s="275">
        <v>2.9000000000000001E-2</v>
      </c>
      <c r="E301" s="275">
        <v>0.16400000000000001</v>
      </c>
      <c r="F301" s="275">
        <v>0.13</v>
      </c>
      <c r="G301" s="275">
        <v>0.13300000000000001</v>
      </c>
      <c r="H301" s="275">
        <v>0.501</v>
      </c>
      <c r="I301" s="275">
        <v>0.496</v>
      </c>
      <c r="J301" s="275">
        <v>0.504</v>
      </c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</row>
    <row r="302" spans="1:27">
      <c r="A302" s="273"/>
      <c r="B302" s="274"/>
      <c r="C302" s="278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</row>
    <row r="303" spans="1:27">
      <c r="A303" s="273">
        <v>105</v>
      </c>
      <c r="B303" s="274">
        <v>34</v>
      </c>
      <c r="C303" s="278" t="s">
        <v>339</v>
      </c>
      <c r="D303" s="275" t="s">
        <v>434</v>
      </c>
      <c r="E303" s="275" t="s">
        <v>435</v>
      </c>
      <c r="F303" s="275" t="s">
        <v>436</v>
      </c>
      <c r="G303" s="275" t="s">
        <v>437</v>
      </c>
      <c r="H303" s="275" t="s">
        <v>438</v>
      </c>
      <c r="I303" s="275" t="s">
        <v>439</v>
      </c>
      <c r="J303" s="275" t="s">
        <v>440</v>
      </c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</row>
    <row r="304" spans="1:27">
      <c r="A304" s="273"/>
      <c r="B304" s="274"/>
      <c r="C304" s="278"/>
      <c r="D304" s="275">
        <v>2.9000000000000001E-2</v>
      </c>
      <c r="E304" s="275">
        <v>0.16400000000000001</v>
      </c>
      <c r="F304" s="275">
        <v>0.13</v>
      </c>
      <c r="G304" s="275">
        <v>0.13300000000000001</v>
      </c>
      <c r="H304" s="275">
        <v>0.501</v>
      </c>
      <c r="I304" s="275">
        <v>0.496</v>
      </c>
      <c r="J304" s="275">
        <v>0.504</v>
      </c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</row>
    <row r="305" spans="1:27">
      <c r="A305" s="273"/>
      <c r="B305" s="274"/>
      <c r="C305" s="278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</row>
    <row r="306" spans="1:27">
      <c r="A306" s="273">
        <v>106</v>
      </c>
      <c r="B306" s="274">
        <v>34</v>
      </c>
      <c r="C306" s="278" t="s">
        <v>340</v>
      </c>
      <c r="D306" s="275" t="s">
        <v>434</v>
      </c>
      <c r="E306" s="275" t="s">
        <v>435</v>
      </c>
      <c r="F306" s="275" t="s">
        <v>436</v>
      </c>
      <c r="G306" s="275" t="s">
        <v>437</v>
      </c>
      <c r="H306" s="275" t="s">
        <v>438</v>
      </c>
      <c r="I306" s="275" t="s">
        <v>439</v>
      </c>
      <c r="J306" s="275" t="s">
        <v>440</v>
      </c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</row>
    <row r="307" spans="1:27">
      <c r="A307" s="273"/>
      <c r="B307" s="274"/>
      <c r="C307" s="278"/>
      <c r="D307" s="275">
        <v>2.9000000000000001E-2</v>
      </c>
      <c r="E307" s="275">
        <v>0.16400000000000001</v>
      </c>
      <c r="F307" s="275">
        <v>0.13</v>
      </c>
      <c r="G307" s="275">
        <v>0.13300000000000001</v>
      </c>
      <c r="H307" s="275">
        <v>0.502</v>
      </c>
      <c r="I307" s="275">
        <v>0.495</v>
      </c>
      <c r="J307" s="275">
        <v>0.504</v>
      </c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</row>
    <row r="308" spans="1:27">
      <c r="A308" s="273"/>
      <c r="B308" s="274"/>
      <c r="C308" s="278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</row>
    <row r="309" spans="1:27">
      <c r="A309" s="273">
        <v>107</v>
      </c>
      <c r="B309" s="274">
        <v>35</v>
      </c>
      <c r="C309" s="278" t="s">
        <v>92</v>
      </c>
      <c r="D309" s="275" t="s">
        <v>434</v>
      </c>
      <c r="E309" s="275" t="s">
        <v>435</v>
      </c>
      <c r="F309" s="275" t="s">
        <v>436</v>
      </c>
      <c r="G309" s="275" t="s">
        <v>437</v>
      </c>
      <c r="H309" s="275" t="s">
        <v>438</v>
      </c>
      <c r="I309" s="275" t="s">
        <v>439</v>
      </c>
      <c r="J309" s="275" t="s">
        <v>440</v>
      </c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</row>
    <row r="310" spans="1:27">
      <c r="A310" s="273"/>
      <c r="B310" s="274"/>
      <c r="C310" s="278"/>
      <c r="D310" s="275">
        <v>2.8000000000000001E-2</v>
      </c>
      <c r="E310" s="275">
        <v>0.159</v>
      </c>
      <c r="F310" s="275">
        <v>0.126</v>
      </c>
      <c r="G310" s="275">
        <v>0.129</v>
      </c>
      <c r="H310" s="275">
        <v>0.48299999999999998</v>
      </c>
      <c r="I310" s="275">
        <v>0.47599999999999998</v>
      </c>
      <c r="J310" s="275">
        <v>0.48399999999999999</v>
      </c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</row>
    <row r="311" spans="1:27">
      <c r="A311" s="273"/>
      <c r="B311" s="274"/>
      <c r="C311" s="278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</row>
    <row r="312" spans="1:27">
      <c r="A312" s="273">
        <v>108</v>
      </c>
      <c r="B312" s="274">
        <v>35</v>
      </c>
      <c r="C312" s="278" t="s">
        <v>341</v>
      </c>
      <c r="D312" s="275" t="s">
        <v>434</v>
      </c>
      <c r="E312" s="275" t="s">
        <v>435</v>
      </c>
      <c r="F312" s="275" t="s">
        <v>436</v>
      </c>
      <c r="G312" s="275" t="s">
        <v>437</v>
      </c>
      <c r="H312" s="275" t="s">
        <v>438</v>
      </c>
      <c r="I312" s="275" t="s">
        <v>439</v>
      </c>
      <c r="J312" s="275" t="s">
        <v>440</v>
      </c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</row>
    <row r="313" spans="1:27">
      <c r="A313" s="273"/>
      <c r="B313" s="274"/>
      <c r="C313" s="278"/>
      <c r="D313" s="275">
        <v>2.8000000000000001E-2</v>
      </c>
      <c r="E313" s="275">
        <v>0.159</v>
      </c>
      <c r="F313" s="275">
        <v>0.126</v>
      </c>
      <c r="G313" s="275">
        <v>0.129</v>
      </c>
      <c r="H313" s="275">
        <v>0.48299999999999998</v>
      </c>
      <c r="I313" s="275">
        <v>0.47599999999999998</v>
      </c>
      <c r="J313" s="275">
        <v>0.48399999999999999</v>
      </c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</row>
    <row r="314" spans="1:27">
      <c r="A314" s="273"/>
      <c r="B314" s="274"/>
      <c r="C314" s="278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</row>
    <row r="315" spans="1:27">
      <c r="A315" s="273">
        <v>109</v>
      </c>
      <c r="B315" s="274">
        <v>35</v>
      </c>
      <c r="C315" s="278" t="s">
        <v>93</v>
      </c>
      <c r="D315" s="275" t="s">
        <v>434</v>
      </c>
      <c r="E315" s="275" t="s">
        <v>435</v>
      </c>
      <c r="F315" s="275" t="s">
        <v>436</v>
      </c>
      <c r="G315" s="275" t="s">
        <v>437</v>
      </c>
      <c r="H315" s="275" t="s">
        <v>438</v>
      </c>
      <c r="I315" s="275" t="s">
        <v>439</v>
      </c>
      <c r="J315" s="275" t="s">
        <v>440</v>
      </c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</row>
    <row r="316" spans="1:27">
      <c r="A316" s="273"/>
      <c r="B316" s="274"/>
      <c r="C316" s="278"/>
      <c r="D316" s="275">
        <v>2.8000000000000001E-2</v>
      </c>
      <c r="E316" s="275">
        <v>0.159</v>
      </c>
      <c r="F316" s="275">
        <v>0.126</v>
      </c>
      <c r="G316" s="275">
        <v>0.129</v>
      </c>
      <c r="H316" s="275">
        <v>0.48299999999999998</v>
      </c>
      <c r="I316" s="275">
        <v>0.47599999999999998</v>
      </c>
      <c r="J316" s="275">
        <v>0.48399999999999999</v>
      </c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</row>
    <row r="317" spans="1:27">
      <c r="A317" s="273"/>
      <c r="B317" s="274"/>
      <c r="C317" s="278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</row>
    <row r="318" spans="1:27">
      <c r="A318" s="273">
        <v>110</v>
      </c>
      <c r="B318" s="274">
        <v>35</v>
      </c>
      <c r="C318" s="278" t="s">
        <v>94</v>
      </c>
      <c r="D318" s="275" t="s">
        <v>434</v>
      </c>
      <c r="E318" s="275" t="s">
        <v>435</v>
      </c>
      <c r="F318" s="275" t="s">
        <v>436</v>
      </c>
      <c r="G318" s="275" t="s">
        <v>437</v>
      </c>
      <c r="H318" s="275" t="s">
        <v>438</v>
      </c>
      <c r="I318" s="275" t="s">
        <v>439</v>
      </c>
      <c r="J318" s="275" t="s">
        <v>440</v>
      </c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</row>
    <row r="319" spans="1:27">
      <c r="A319" s="273"/>
      <c r="B319" s="274"/>
      <c r="C319" s="278"/>
      <c r="D319" s="275">
        <v>2.8000000000000001E-2</v>
      </c>
      <c r="E319" s="275">
        <v>0.159</v>
      </c>
      <c r="F319" s="275">
        <v>0.126</v>
      </c>
      <c r="G319" s="275">
        <v>0.129</v>
      </c>
      <c r="H319" s="275">
        <v>0.48299999999999998</v>
      </c>
      <c r="I319" s="275">
        <v>0.47599999999999998</v>
      </c>
      <c r="J319" s="275">
        <v>0.48399999999999999</v>
      </c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</row>
    <row r="320" spans="1:27">
      <c r="A320" s="273"/>
      <c r="B320" s="274"/>
      <c r="C320" s="278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</row>
    <row r="321" spans="1:27">
      <c r="A321" s="273">
        <v>111</v>
      </c>
      <c r="B321" s="274">
        <v>35</v>
      </c>
      <c r="C321" s="278" t="s">
        <v>342</v>
      </c>
      <c r="D321" s="275" t="s">
        <v>434</v>
      </c>
      <c r="E321" s="275" t="s">
        <v>435</v>
      </c>
      <c r="F321" s="275" t="s">
        <v>436</v>
      </c>
      <c r="G321" s="275" t="s">
        <v>437</v>
      </c>
      <c r="H321" s="275" t="s">
        <v>438</v>
      </c>
      <c r="I321" s="275" t="s">
        <v>439</v>
      </c>
      <c r="J321" s="275" t="s">
        <v>440</v>
      </c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</row>
    <row r="322" spans="1:27">
      <c r="A322" s="273"/>
      <c r="B322" s="274"/>
      <c r="C322" s="278"/>
      <c r="D322" s="275">
        <v>2.8000000000000001E-2</v>
      </c>
      <c r="E322" s="275">
        <v>0.159</v>
      </c>
      <c r="F322" s="275">
        <v>0.126</v>
      </c>
      <c r="G322" s="275">
        <v>0.129</v>
      </c>
      <c r="H322" s="275">
        <v>0.48299999999999998</v>
      </c>
      <c r="I322" s="275">
        <v>0.47599999999999998</v>
      </c>
      <c r="J322" s="275">
        <v>0.48399999999999999</v>
      </c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</row>
    <row r="323" spans="1:27">
      <c r="A323" s="273"/>
      <c r="B323" s="274"/>
      <c r="C323" s="278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</row>
    <row r="324" spans="1:27">
      <c r="A324" s="273">
        <v>112</v>
      </c>
      <c r="B324" s="274">
        <v>35</v>
      </c>
      <c r="C324" s="278" t="s">
        <v>343</v>
      </c>
      <c r="D324" s="275" t="s">
        <v>434</v>
      </c>
      <c r="E324" s="275" t="s">
        <v>435</v>
      </c>
      <c r="F324" s="275" t="s">
        <v>436</v>
      </c>
      <c r="G324" s="275" t="s">
        <v>437</v>
      </c>
      <c r="H324" s="275" t="s">
        <v>438</v>
      </c>
      <c r="I324" s="275" t="s">
        <v>439</v>
      </c>
      <c r="J324" s="275" t="s">
        <v>440</v>
      </c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</row>
    <row r="325" spans="1:27">
      <c r="A325" s="273"/>
      <c r="B325" s="274"/>
      <c r="C325" s="278"/>
      <c r="D325" s="275">
        <v>2.8000000000000001E-2</v>
      </c>
      <c r="E325" s="275">
        <v>0.159</v>
      </c>
      <c r="F325" s="275">
        <v>0.126</v>
      </c>
      <c r="G325" s="275">
        <v>0.129</v>
      </c>
      <c r="H325" s="275">
        <v>0.48299999999999998</v>
      </c>
      <c r="I325" s="275">
        <v>0.47599999999999998</v>
      </c>
      <c r="J325" s="275">
        <v>0.48399999999999999</v>
      </c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</row>
    <row r="326" spans="1:27">
      <c r="A326" s="273"/>
      <c r="B326" s="274"/>
      <c r="C326" s="278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</row>
    <row r="327" spans="1:27">
      <c r="A327" s="273">
        <v>113</v>
      </c>
      <c r="B327" s="274">
        <v>36</v>
      </c>
      <c r="C327" s="278" t="s">
        <v>344</v>
      </c>
      <c r="D327" s="275" t="s">
        <v>434</v>
      </c>
      <c r="E327" s="275" t="s">
        <v>435</v>
      </c>
      <c r="F327" s="275" t="s">
        <v>436</v>
      </c>
      <c r="G327" s="275" t="s">
        <v>437</v>
      </c>
      <c r="H327" s="275" t="s">
        <v>438</v>
      </c>
      <c r="I327" s="275" t="s">
        <v>439</v>
      </c>
      <c r="J327" s="275" t="s">
        <v>440</v>
      </c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</row>
    <row r="328" spans="1:27">
      <c r="A328" s="273"/>
      <c r="B328" s="274"/>
      <c r="C328" s="278"/>
      <c r="D328" s="275">
        <v>2.7E-2</v>
      </c>
      <c r="E328" s="275">
        <v>0.154</v>
      </c>
      <c r="F328" s="275">
        <v>0.121</v>
      </c>
      <c r="G328" s="275">
        <v>0.125</v>
      </c>
      <c r="H328" s="275">
        <v>0.46600000000000003</v>
      </c>
      <c r="I328" s="275">
        <v>0.45800000000000002</v>
      </c>
      <c r="J328" s="275">
        <v>0.46600000000000003</v>
      </c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</row>
    <row r="329" spans="1:27">
      <c r="A329" s="273"/>
      <c r="B329" s="274"/>
      <c r="C329" s="278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</row>
    <row r="330" spans="1:27">
      <c r="A330" s="273">
        <v>114</v>
      </c>
      <c r="B330" s="274">
        <v>37</v>
      </c>
      <c r="C330" s="278" t="s">
        <v>95</v>
      </c>
      <c r="D330" s="275" t="s">
        <v>434</v>
      </c>
      <c r="E330" s="275" t="s">
        <v>435</v>
      </c>
      <c r="F330" s="275" t="s">
        <v>436</v>
      </c>
      <c r="G330" s="275" t="s">
        <v>437</v>
      </c>
      <c r="H330" s="275" t="s">
        <v>438</v>
      </c>
      <c r="I330" s="275" t="s">
        <v>439</v>
      </c>
      <c r="J330" s="275" t="s">
        <v>440</v>
      </c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</row>
    <row r="331" spans="1:27">
      <c r="A331" s="273"/>
      <c r="B331" s="274"/>
      <c r="C331" s="278"/>
      <c r="D331" s="275">
        <v>2.5999999999999999E-2</v>
      </c>
      <c r="E331" s="275">
        <v>0.14899999999999999</v>
      </c>
      <c r="F331" s="275">
        <v>0.11799999999999999</v>
      </c>
      <c r="G331" s="275">
        <v>0.121</v>
      </c>
      <c r="H331" s="275">
        <v>0.45</v>
      </c>
      <c r="I331" s="275">
        <v>0.441</v>
      </c>
      <c r="J331" s="275">
        <v>0.44900000000000001</v>
      </c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</row>
    <row r="332" spans="1:27">
      <c r="A332" s="273"/>
      <c r="B332" s="274"/>
      <c r="C332" s="278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</row>
    <row r="333" spans="1:27">
      <c r="A333" s="273">
        <v>115</v>
      </c>
      <c r="B333" s="274">
        <v>38</v>
      </c>
      <c r="C333" s="278" t="s">
        <v>345</v>
      </c>
      <c r="D333" s="275" t="s">
        <v>434</v>
      </c>
      <c r="E333" s="275" t="s">
        <v>435</v>
      </c>
      <c r="F333" s="275" t="s">
        <v>436</v>
      </c>
      <c r="G333" s="275" t="s">
        <v>437</v>
      </c>
      <c r="H333" s="275" t="s">
        <v>438</v>
      </c>
      <c r="I333" s="275" t="s">
        <v>439</v>
      </c>
      <c r="J333" s="275" t="s">
        <v>440</v>
      </c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</row>
    <row r="334" spans="1:27">
      <c r="A334" s="273"/>
      <c r="B334" s="274"/>
      <c r="C334" s="278"/>
      <c r="D334" s="275">
        <v>2.5999999999999999E-2</v>
      </c>
      <c r="E334" s="275">
        <v>0.14499999999999999</v>
      </c>
      <c r="F334" s="275">
        <v>0.114</v>
      </c>
      <c r="G334" s="275">
        <v>0.11700000000000001</v>
      </c>
      <c r="H334" s="275">
        <v>0.435</v>
      </c>
      <c r="I334" s="275">
        <v>0.42499999999999999</v>
      </c>
      <c r="J334" s="275">
        <v>0.433</v>
      </c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</row>
    <row r="335" spans="1:27">
      <c r="A335" s="273"/>
      <c r="B335" s="274"/>
      <c r="C335" s="278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</row>
    <row r="336" spans="1:27">
      <c r="A336" s="273">
        <v>116</v>
      </c>
      <c r="B336" s="274">
        <v>39</v>
      </c>
      <c r="C336" s="278" t="s">
        <v>346</v>
      </c>
      <c r="D336" s="275" t="s">
        <v>434</v>
      </c>
      <c r="E336" s="275" t="s">
        <v>435</v>
      </c>
      <c r="F336" s="275" t="s">
        <v>436</v>
      </c>
      <c r="G336" s="275" t="s">
        <v>437</v>
      </c>
      <c r="H336" s="275" t="s">
        <v>438</v>
      </c>
      <c r="I336" s="275" t="s">
        <v>439</v>
      </c>
      <c r="J336" s="275" t="s">
        <v>440</v>
      </c>
      <c r="K336" s="275" t="s">
        <v>441</v>
      </c>
      <c r="L336" s="275" t="s">
        <v>442</v>
      </c>
      <c r="M336" s="275" t="s">
        <v>443</v>
      </c>
      <c r="N336" s="275" t="s">
        <v>444</v>
      </c>
      <c r="O336" s="275" t="s">
        <v>445</v>
      </c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</row>
    <row r="337" spans="1:27">
      <c r="A337" s="273"/>
      <c r="B337" s="274"/>
      <c r="C337" s="278"/>
      <c r="D337" s="275">
        <v>2.5000000000000001E-2</v>
      </c>
      <c r="E337" s="275">
        <v>0.14099999999999999</v>
      </c>
      <c r="F337" s="275">
        <v>0.111</v>
      </c>
      <c r="G337" s="275">
        <v>0.114</v>
      </c>
      <c r="H337" s="275">
        <v>0.42</v>
      </c>
      <c r="I337" s="275">
        <v>0.41</v>
      </c>
      <c r="J337" s="275">
        <v>0.41899999999999998</v>
      </c>
      <c r="K337" s="275">
        <v>0.36199999999999999</v>
      </c>
      <c r="L337" s="275">
        <v>0.36399999999999999</v>
      </c>
      <c r="M337" s="275">
        <v>1.1339999999999999</v>
      </c>
      <c r="N337" s="275">
        <v>1.2310000000000001</v>
      </c>
      <c r="O337" s="275">
        <v>1.256</v>
      </c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</row>
    <row r="338" spans="1:27">
      <c r="A338" s="273"/>
      <c r="B338" s="274"/>
      <c r="C338" s="278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</row>
    <row r="339" spans="1:27">
      <c r="A339" s="273">
        <v>117</v>
      </c>
      <c r="B339" s="274">
        <v>39</v>
      </c>
      <c r="C339" s="278" t="s">
        <v>96</v>
      </c>
      <c r="D339" s="275" t="s">
        <v>434</v>
      </c>
      <c r="E339" s="275" t="s">
        <v>435</v>
      </c>
      <c r="F339" s="275" t="s">
        <v>436</v>
      </c>
      <c r="G339" s="275" t="s">
        <v>437</v>
      </c>
      <c r="H339" s="275" t="s">
        <v>438</v>
      </c>
      <c r="I339" s="275" t="s">
        <v>439</v>
      </c>
      <c r="J339" s="275" t="s">
        <v>440</v>
      </c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</row>
    <row r="340" spans="1:27">
      <c r="A340" s="273"/>
      <c r="B340" s="274"/>
      <c r="C340" s="278"/>
      <c r="D340" s="275">
        <v>2.5000000000000001E-2</v>
      </c>
      <c r="E340" s="275">
        <v>0.14099999999999999</v>
      </c>
      <c r="F340" s="275">
        <v>0.111</v>
      </c>
      <c r="G340" s="275">
        <v>0.114</v>
      </c>
      <c r="H340" s="275">
        <v>0.42</v>
      </c>
      <c r="I340" s="275">
        <v>0.41</v>
      </c>
      <c r="J340" s="275">
        <v>0.41899999999999998</v>
      </c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</row>
    <row r="341" spans="1:27">
      <c r="A341" s="273"/>
      <c r="B341" s="274"/>
      <c r="C341" s="278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</row>
    <row r="342" spans="1:27">
      <c r="A342" s="273">
        <v>118</v>
      </c>
      <c r="B342" s="274">
        <v>40</v>
      </c>
      <c r="C342" s="278" t="s">
        <v>97</v>
      </c>
      <c r="D342" s="275" t="s">
        <v>434</v>
      </c>
      <c r="E342" s="275" t="s">
        <v>435</v>
      </c>
      <c r="F342" s="275" t="s">
        <v>436</v>
      </c>
      <c r="G342" s="275" t="s">
        <v>437</v>
      </c>
      <c r="H342" s="275" t="s">
        <v>438</v>
      </c>
      <c r="I342" s="275" t="s">
        <v>439</v>
      </c>
      <c r="J342" s="275" t="s">
        <v>440</v>
      </c>
      <c r="K342" s="275" t="s">
        <v>441</v>
      </c>
      <c r="L342" s="275" t="s">
        <v>442</v>
      </c>
      <c r="M342" s="275" t="s">
        <v>443</v>
      </c>
      <c r="N342" s="275" t="s">
        <v>444</v>
      </c>
      <c r="O342" s="275" t="s">
        <v>445</v>
      </c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</row>
    <row r="343" spans="1:27">
      <c r="A343" s="273"/>
      <c r="B343" s="274"/>
      <c r="C343" s="278"/>
      <c r="D343" s="275">
        <v>2.4E-2</v>
      </c>
      <c r="E343" s="275">
        <v>0.13700000000000001</v>
      </c>
      <c r="F343" s="275">
        <v>0.107</v>
      </c>
      <c r="G343" s="275">
        <v>0.111</v>
      </c>
      <c r="H343" s="275">
        <v>0.40699999999999997</v>
      </c>
      <c r="I343" s="275">
        <v>0.39600000000000002</v>
      </c>
      <c r="J343" s="275">
        <v>0.40500000000000003</v>
      </c>
      <c r="K343" s="275">
        <v>0.34699999999999998</v>
      </c>
      <c r="L343" s="275">
        <v>0.35</v>
      </c>
      <c r="M343" s="275">
        <v>1.08</v>
      </c>
      <c r="N343" s="275">
        <v>1.165</v>
      </c>
      <c r="O343" s="275">
        <v>1.1890000000000001</v>
      </c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</row>
    <row r="344" spans="1:27">
      <c r="A344" s="273"/>
      <c r="B344" s="274"/>
      <c r="C344" s="278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</row>
    <row r="345" spans="1:27">
      <c r="A345" s="273">
        <v>119</v>
      </c>
      <c r="B345" s="274">
        <v>40</v>
      </c>
      <c r="C345" s="278" t="s">
        <v>98</v>
      </c>
      <c r="D345" s="275" t="s">
        <v>434</v>
      </c>
      <c r="E345" s="275" t="s">
        <v>435</v>
      </c>
      <c r="F345" s="275" t="s">
        <v>436</v>
      </c>
      <c r="G345" s="275" t="s">
        <v>437</v>
      </c>
      <c r="H345" s="275" t="s">
        <v>438</v>
      </c>
      <c r="I345" s="275" t="s">
        <v>439</v>
      </c>
      <c r="J345" s="275" t="s">
        <v>440</v>
      </c>
      <c r="K345" s="275" t="s">
        <v>441</v>
      </c>
      <c r="L345" s="275" t="s">
        <v>442</v>
      </c>
      <c r="M345" s="275" t="s">
        <v>443</v>
      </c>
      <c r="N345" s="275" t="s">
        <v>444</v>
      </c>
      <c r="O345" s="275" t="s">
        <v>445</v>
      </c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</row>
    <row r="346" spans="1:27">
      <c r="A346" s="273"/>
      <c r="B346" s="274"/>
      <c r="C346" s="278"/>
      <c r="D346" s="275">
        <v>2.4E-2</v>
      </c>
      <c r="E346" s="275">
        <v>0.13700000000000001</v>
      </c>
      <c r="F346" s="275">
        <v>0.107</v>
      </c>
      <c r="G346" s="275">
        <v>0.111</v>
      </c>
      <c r="H346" s="275">
        <v>0.40699999999999997</v>
      </c>
      <c r="I346" s="275">
        <v>0.39600000000000002</v>
      </c>
      <c r="J346" s="275">
        <v>0.40500000000000003</v>
      </c>
      <c r="K346" s="275">
        <v>0.34699999999999998</v>
      </c>
      <c r="L346" s="275">
        <v>0.35</v>
      </c>
      <c r="M346" s="275">
        <v>1.081</v>
      </c>
      <c r="N346" s="275">
        <v>1.165</v>
      </c>
      <c r="O346" s="275">
        <v>1.1890000000000001</v>
      </c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</row>
    <row r="347" spans="1:27">
      <c r="A347" s="273"/>
      <c r="B347" s="274"/>
      <c r="C347" s="278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</row>
    <row r="348" spans="1:27">
      <c r="A348" s="273">
        <v>120</v>
      </c>
      <c r="B348" s="274">
        <v>40</v>
      </c>
      <c r="C348" s="278" t="s">
        <v>99</v>
      </c>
      <c r="D348" s="275" t="s">
        <v>434</v>
      </c>
      <c r="E348" s="275" t="s">
        <v>435</v>
      </c>
      <c r="F348" s="275" t="s">
        <v>436</v>
      </c>
      <c r="G348" s="275" t="s">
        <v>437</v>
      </c>
      <c r="H348" s="275" t="s">
        <v>438</v>
      </c>
      <c r="I348" s="275" t="s">
        <v>439</v>
      </c>
      <c r="J348" s="275" t="s">
        <v>440</v>
      </c>
      <c r="K348" s="275" t="s">
        <v>441</v>
      </c>
      <c r="L348" s="275" t="s">
        <v>442</v>
      </c>
      <c r="M348" s="275" t="s">
        <v>443</v>
      </c>
      <c r="N348" s="275" t="s">
        <v>444</v>
      </c>
      <c r="O348" s="275" t="s">
        <v>445</v>
      </c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</row>
    <row r="349" spans="1:27">
      <c r="A349" s="273"/>
      <c r="B349" s="274"/>
      <c r="C349" s="278"/>
      <c r="D349" s="275">
        <v>2.4E-2</v>
      </c>
      <c r="E349" s="275">
        <v>0.13700000000000001</v>
      </c>
      <c r="F349" s="275">
        <v>0.107</v>
      </c>
      <c r="G349" s="275">
        <v>0.111</v>
      </c>
      <c r="H349" s="275">
        <v>0.40699999999999997</v>
      </c>
      <c r="I349" s="275">
        <v>0.39600000000000002</v>
      </c>
      <c r="J349" s="275">
        <v>0.40500000000000003</v>
      </c>
      <c r="K349" s="275">
        <v>0.34699999999999998</v>
      </c>
      <c r="L349" s="275">
        <v>0.35</v>
      </c>
      <c r="M349" s="275">
        <v>1.0780000000000001</v>
      </c>
      <c r="N349" s="275">
        <v>1.1579999999999999</v>
      </c>
      <c r="O349" s="275">
        <v>1.181</v>
      </c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</row>
    <row r="350" spans="1:27">
      <c r="A350" s="273"/>
      <c r="B350" s="274"/>
      <c r="C350" s="278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</row>
    <row r="351" spans="1:27">
      <c r="A351" s="273">
        <v>121</v>
      </c>
      <c r="B351" s="274">
        <v>40</v>
      </c>
      <c r="C351" s="278" t="s">
        <v>100</v>
      </c>
      <c r="D351" s="275" t="s">
        <v>434</v>
      </c>
      <c r="E351" s="275" t="s">
        <v>435</v>
      </c>
      <c r="F351" s="275" t="s">
        <v>436</v>
      </c>
      <c r="G351" s="275" t="s">
        <v>437</v>
      </c>
      <c r="H351" s="275" t="s">
        <v>438</v>
      </c>
      <c r="I351" s="275" t="s">
        <v>439</v>
      </c>
      <c r="J351" s="275" t="s">
        <v>440</v>
      </c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</row>
    <row r="352" spans="1:27">
      <c r="A352" s="273"/>
      <c r="B352" s="274"/>
      <c r="C352" s="278"/>
      <c r="D352" s="275">
        <v>2.4E-2</v>
      </c>
      <c r="E352" s="275">
        <v>0.13700000000000001</v>
      </c>
      <c r="F352" s="275">
        <v>0.107</v>
      </c>
      <c r="G352" s="275">
        <v>0.111</v>
      </c>
      <c r="H352" s="275">
        <v>0.40699999999999997</v>
      </c>
      <c r="I352" s="275">
        <v>0.39600000000000002</v>
      </c>
      <c r="J352" s="275">
        <v>0.40500000000000003</v>
      </c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</row>
    <row r="353" spans="1:27">
      <c r="A353" s="273"/>
      <c r="B353" s="274"/>
      <c r="C353" s="278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</row>
    <row r="354" spans="1:27">
      <c r="A354" s="273">
        <v>122</v>
      </c>
      <c r="B354" s="274">
        <v>41</v>
      </c>
      <c r="C354" s="278" t="s">
        <v>347</v>
      </c>
      <c r="D354" s="275" t="s">
        <v>434</v>
      </c>
      <c r="E354" s="275" t="s">
        <v>435</v>
      </c>
      <c r="F354" s="275" t="s">
        <v>436</v>
      </c>
      <c r="G354" s="275" t="s">
        <v>437</v>
      </c>
      <c r="H354" s="275" t="s">
        <v>438</v>
      </c>
      <c r="I354" s="275" t="s">
        <v>439</v>
      </c>
      <c r="J354" s="275" t="s">
        <v>440</v>
      </c>
      <c r="K354" s="275" t="s">
        <v>441</v>
      </c>
      <c r="L354" s="275" t="s">
        <v>442</v>
      </c>
      <c r="M354" s="275" t="s">
        <v>443</v>
      </c>
      <c r="N354" s="275" t="s">
        <v>444</v>
      </c>
      <c r="O354" s="275" t="s">
        <v>445</v>
      </c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</row>
    <row r="355" spans="1:27">
      <c r="A355" s="273"/>
      <c r="B355" s="274"/>
      <c r="C355" s="278"/>
      <c r="D355" s="275">
        <v>2.4E-2</v>
      </c>
      <c r="E355" s="275">
        <v>0.13300000000000001</v>
      </c>
      <c r="F355" s="275">
        <v>0.104</v>
      </c>
      <c r="G355" s="275">
        <v>0.108</v>
      </c>
      <c r="H355" s="275">
        <v>0.39400000000000002</v>
      </c>
      <c r="I355" s="275">
        <v>0.38300000000000001</v>
      </c>
      <c r="J355" s="275">
        <v>0.39200000000000002</v>
      </c>
      <c r="K355" s="275">
        <v>0.33400000000000002</v>
      </c>
      <c r="L355" s="275">
        <v>0.33700000000000002</v>
      </c>
      <c r="M355" s="275">
        <v>1.0329999999999999</v>
      </c>
      <c r="N355" s="275">
        <v>1.107</v>
      </c>
      <c r="O355" s="275">
        <v>1.1299999999999999</v>
      </c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</row>
    <row r="356" spans="1:27">
      <c r="A356" s="273"/>
      <c r="B356" s="274"/>
      <c r="C356" s="278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</row>
    <row r="357" spans="1:27">
      <c r="A357" s="273">
        <v>123</v>
      </c>
      <c r="B357" s="274">
        <v>41</v>
      </c>
      <c r="C357" s="278" t="s">
        <v>101</v>
      </c>
      <c r="D357" s="275" t="s">
        <v>434</v>
      </c>
      <c r="E357" s="275" t="s">
        <v>435</v>
      </c>
      <c r="F357" s="275" t="s">
        <v>436</v>
      </c>
      <c r="G357" s="275" t="s">
        <v>437</v>
      </c>
      <c r="H357" s="275" t="s">
        <v>438</v>
      </c>
      <c r="I357" s="275" t="s">
        <v>439</v>
      </c>
      <c r="J357" s="275" t="s">
        <v>440</v>
      </c>
      <c r="K357" s="275" t="s">
        <v>441</v>
      </c>
      <c r="L357" s="275" t="s">
        <v>442</v>
      </c>
      <c r="M357" s="275" t="s">
        <v>443</v>
      </c>
      <c r="N357" s="275" t="s">
        <v>444</v>
      </c>
      <c r="O357" s="275" t="s">
        <v>445</v>
      </c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</row>
    <row r="358" spans="1:27">
      <c r="A358" s="273"/>
      <c r="B358" s="274"/>
      <c r="C358" s="278"/>
      <c r="D358" s="275">
        <v>2.4E-2</v>
      </c>
      <c r="E358" s="275">
        <v>0.13300000000000001</v>
      </c>
      <c r="F358" s="275">
        <v>0.104</v>
      </c>
      <c r="G358" s="275">
        <v>0.108</v>
      </c>
      <c r="H358" s="275">
        <v>0.39400000000000002</v>
      </c>
      <c r="I358" s="275">
        <v>0.38300000000000001</v>
      </c>
      <c r="J358" s="275">
        <v>0.39200000000000002</v>
      </c>
      <c r="K358" s="275">
        <v>0.33400000000000002</v>
      </c>
      <c r="L358" s="275">
        <v>0.33700000000000002</v>
      </c>
      <c r="M358" s="275">
        <v>1.03</v>
      </c>
      <c r="N358" s="275">
        <v>1.101</v>
      </c>
      <c r="O358" s="275">
        <v>1.1240000000000001</v>
      </c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</row>
    <row r="359" spans="1:27">
      <c r="A359" s="273"/>
      <c r="B359" s="274"/>
      <c r="C359" s="278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</row>
    <row r="360" spans="1:27">
      <c r="A360" s="273">
        <v>124</v>
      </c>
      <c r="B360" s="274">
        <v>41</v>
      </c>
      <c r="C360" s="278" t="s">
        <v>102</v>
      </c>
      <c r="D360" s="275" t="s">
        <v>434</v>
      </c>
      <c r="E360" s="275" t="s">
        <v>435</v>
      </c>
      <c r="F360" s="275" t="s">
        <v>436</v>
      </c>
      <c r="G360" s="275" t="s">
        <v>437</v>
      </c>
      <c r="H360" s="275" t="s">
        <v>438</v>
      </c>
      <c r="I360" s="275" t="s">
        <v>439</v>
      </c>
      <c r="J360" s="275" t="s">
        <v>440</v>
      </c>
      <c r="K360" s="275" t="s">
        <v>441</v>
      </c>
      <c r="L360" s="275" t="s">
        <v>442</v>
      </c>
      <c r="M360" s="275" t="s">
        <v>443</v>
      </c>
      <c r="N360" s="275" t="s">
        <v>444</v>
      </c>
      <c r="O360" s="275" t="s">
        <v>445</v>
      </c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</row>
    <row r="361" spans="1:27">
      <c r="A361" s="273"/>
      <c r="B361" s="274"/>
      <c r="C361" s="278"/>
      <c r="D361" s="275">
        <v>2.4E-2</v>
      </c>
      <c r="E361" s="275">
        <v>0.13300000000000001</v>
      </c>
      <c r="F361" s="275">
        <v>0.104</v>
      </c>
      <c r="G361" s="275">
        <v>0.108</v>
      </c>
      <c r="H361" s="275">
        <v>0.39400000000000002</v>
      </c>
      <c r="I361" s="275">
        <v>0.38300000000000001</v>
      </c>
      <c r="J361" s="275">
        <v>0.39200000000000002</v>
      </c>
      <c r="K361" s="275">
        <v>0.33400000000000002</v>
      </c>
      <c r="L361" s="275">
        <v>0.33700000000000002</v>
      </c>
      <c r="M361" s="275">
        <v>1.026</v>
      </c>
      <c r="N361" s="275">
        <v>1.0940000000000001</v>
      </c>
      <c r="O361" s="275">
        <v>1.1160000000000001</v>
      </c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</row>
    <row r="362" spans="1:27">
      <c r="A362" s="273"/>
      <c r="B362" s="274"/>
      <c r="C362" s="278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</row>
    <row r="363" spans="1:27">
      <c r="A363" s="273">
        <v>125</v>
      </c>
      <c r="B363" s="274">
        <v>41</v>
      </c>
      <c r="C363" s="278" t="s">
        <v>103</v>
      </c>
      <c r="D363" s="275" t="s">
        <v>434</v>
      </c>
      <c r="E363" s="275" t="s">
        <v>435</v>
      </c>
      <c r="F363" s="275" t="s">
        <v>436</v>
      </c>
      <c r="G363" s="275" t="s">
        <v>437</v>
      </c>
      <c r="H363" s="275" t="s">
        <v>438</v>
      </c>
      <c r="I363" s="275" t="s">
        <v>439</v>
      </c>
      <c r="J363" s="275" t="s">
        <v>440</v>
      </c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</row>
    <row r="364" spans="1:27">
      <c r="A364" s="273"/>
      <c r="B364" s="274"/>
      <c r="C364" s="278"/>
      <c r="D364" s="275">
        <v>2.4E-2</v>
      </c>
      <c r="E364" s="275">
        <v>0.13300000000000001</v>
      </c>
      <c r="F364" s="275">
        <v>0.104</v>
      </c>
      <c r="G364" s="275">
        <v>0.108</v>
      </c>
      <c r="H364" s="275">
        <v>0.39400000000000002</v>
      </c>
      <c r="I364" s="275">
        <v>0.38300000000000001</v>
      </c>
      <c r="J364" s="275">
        <v>0.39200000000000002</v>
      </c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</row>
    <row r="365" spans="1:27">
      <c r="A365" s="273"/>
      <c r="B365" s="274"/>
      <c r="C365" s="278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</row>
    <row r="366" spans="1:27">
      <c r="A366" s="273">
        <v>126</v>
      </c>
      <c r="B366" s="274">
        <v>42</v>
      </c>
      <c r="C366" s="278" t="s">
        <v>104</v>
      </c>
      <c r="D366" s="275" t="s">
        <v>434</v>
      </c>
      <c r="E366" s="275" t="s">
        <v>435</v>
      </c>
      <c r="F366" s="275" t="s">
        <v>436</v>
      </c>
      <c r="G366" s="275" t="s">
        <v>437</v>
      </c>
      <c r="H366" s="275" t="s">
        <v>438</v>
      </c>
      <c r="I366" s="275" t="s">
        <v>439</v>
      </c>
      <c r="J366" s="275" t="s">
        <v>440</v>
      </c>
      <c r="K366" s="275" t="s">
        <v>441</v>
      </c>
      <c r="L366" s="275" t="s">
        <v>442</v>
      </c>
      <c r="M366" s="275" t="s">
        <v>443</v>
      </c>
      <c r="N366" s="275" t="s">
        <v>444</v>
      </c>
      <c r="O366" s="275" t="s">
        <v>445</v>
      </c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</row>
    <row r="367" spans="1:27">
      <c r="A367" s="273"/>
      <c r="B367" s="274"/>
      <c r="C367" s="278"/>
      <c r="D367" s="275">
        <v>2.3E-2</v>
      </c>
      <c r="E367" s="275">
        <v>0.129</v>
      </c>
      <c r="F367" s="275">
        <v>0.10100000000000001</v>
      </c>
      <c r="G367" s="275">
        <v>0.105</v>
      </c>
      <c r="H367" s="275">
        <v>0.38300000000000001</v>
      </c>
      <c r="I367" s="275">
        <v>0.371</v>
      </c>
      <c r="J367" s="275">
        <v>0.38</v>
      </c>
      <c r="K367" s="275">
        <v>0.32200000000000001</v>
      </c>
      <c r="L367" s="275">
        <v>0.32500000000000001</v>
      </c>
      <c r="M367" s="275">
        <v>0.99199999999999999</v>
      </c>
      <c r="N367" s="275">
        <v>1.0589999999999999</v>
      </c>
      <c r="O367" s="275">
        <v>1.0820000000000001</v>
      </c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</row>
    <row r="368" spans="1:27">
      <c r="A368" s="273"/>
      <c r="B368" s="274"/>
      <c r="C368" s="278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</row>
    <row r="369" spans="1:27">
      <c r="A369" s="273">
        <v>127</v>
      </c>
      <c r="B369" s="274">
        <v>42</v>
      </c>
      <c r="C369" s="278" t="s">
        <v>105</v>
      </c>
      <c r="D369" s="275" t="s">
        <v>434</v>
      </c>
      <c r="E369" s="275" t="s">
        <v>435</v>
      </c>
      <c r="F369" s="275" t="s">
        <v>436</v>
      </c>
      <c r="G369" s="275" t="s">
        <v>437</v>
      </c>
      <c r="H369" s="275" t="s">
        <v>438</v>
      </c>
      <c r="I369" s="275" t="s">
        <v>439</v>
      </c>
      <c r="J369" s="275" t="s">
        <v>440</v>
      </c>
      <c r="K369" s="275" t="s">
        <v>441</v>
      </c>
      <c r="L369" s="275" t="s">
        <v>442</v>
      </c>
      <c r="M369" s="275" t="s">
        <v>443</v>
      </c>
      <c r="N369" s="275" t="s">
        <v>444</v>
      </c>
      <c r="O369" s="275" t="s">
        <v>445</v>
      </c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</row>
    <row r="370" spans="1:27">
      <c r="A370" s="273"/>
      <c r="B370" s="274"/>
      <c r="C370" s="278"/>
      <c r="D370" s="275">
        <v>2.3E-2</v>
      </c>
      <c r="E370" s="275">
        <v>0.129</v>
      </c>
      <c r="F370" s="275">
        <v>0.10100000000000001</v>
      </c>
      <c r="G370" s="275">
        <v>0.105</v>
      </c>
      <c r="H370" s="275">
        <v>0.38200000000000001</v>
      </c>
      <c r="I370" s="275">
        <v>0.371</v>
      </c>
      <c r="J370" s="275">
        <v>0.38</v>
      </c>
      <c r="K370" s="275">
        <v>0.32200000000000001</v>
      </c>
      <c r="L370" s="275">
        <v>0.32500000000000001</v>
      </c>
      <c r="M370" s="275">
        <v>0.99099999999999999</v>
      </c>
      <c r="N370" s="275">
        <v>1.056</v>
      </c>
      <c r="O370" s="275">
        <v>1.079</v>
      </c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</row>
    <row r="371" spans="1:27">
      <c r="A371" s="273"/>
      <c r="B371" s="274"/>
      <c r="C371" s="278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</row>
    <row r="372" spans="1:27">
      <c r="A372" s="273">
        <v>128</v>
      </c>
      <c r="B372" s="274">
        <v>42</v>
      </c>
      <c r="C372" s="278" t="s">
        <v>106</v>
      </c>
      <c r="D372" s="275" t="s">
        <v>434</v>
      </c>
      <c r="E372" s="275" t="s">
        <v>435</v>
      </c>
      <c r="F372" s="275" t="s">
        <v>436</v>
      </c>
      <c r="G372" s="275" t="s">
        <v>437</v>
      </c>
      <c r="H372" s="275" t="s">
        <v>438</v>
      </c>
      <c r="I372" s="275" t="s">
        <v>439</v>
      </c>
      <c r="J372" s="275" t="s">
        <v>440</v>
      </c>
      <c r="K372" s="275" t="s">
        <v>441</v>
      </c>
      <c r="L372" s="275" t="s">
        <v>442</v>
      </c>
      <c r="M372" s="275" t="s">
        <v>443</v>
      </c>
      <c r="N372" s="275" t="s">
        <v>444</v>
      </c>
      <c r="O372" s="275" t="s">
        <v>445</v>
      </c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</row>
    <row r="373" spans="1:27">
      <c r="A373" s="273"/>
      <c r="B373" s="274"/>
      <c r="C373" s="278"/>
      <c r="D373" s="275">
        <v>2.3E-2</v>
      </c>
      <c r="E373" s="275">
        <v>0.129</v>
      </c>
      <c r="F373" s="275">
        <v>0.10100000000000001</v>
      </c>
      <c r="G373" s="275">
        <v>0.105</v>
      </c>
      <c r="H373" s="275">
        <v>0.38200000000000001</v>
      </c>
      <c r="I373" s="275">
        <v>0.371</v>
      </c>
      <c r="J373" s="275">
        <v>0.38</v>
      </c>
      <c r="K373" s="275">
        <v>0.32200000000000001</v>
      </c>
      <c r="L373" s="275">
        <v>0.32500000000000001</v>
      </c>
      <c r="M373" s="275">
        <v>0.98799999999999999</v>
      </c>
      <c r="N373" s="275">
        <v>1.0509999999999999</v>
      </c>
      <c r="O373" s="275">
        <v>1.073</v>
      </c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</row>
    <row r="374" spans="1:27">
      <c r="A374" s="273"/>
      <c r="B374" s="274"/>
      <c r="C374" s="278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</row>
    <row r="375" spans="1:27">
      <c r="A375" s="273">
        <v>129</v>
      </c>
      <c r="B375" s="274">
        <v>42</v>
      </c>
      <c r="C375" s="278" t="s">
        <v>107</v>
      </c>
      <c r="D375" s="275" t="s">
        <v>434</v>
      </c>
      <c r="E375" s="275" t="s">
        <v>435</v>
      </c>
      <c r="F375" s="275" t="s">
        <v>436</v>
      </c>
      <c r="G375" s="275" t="s">
        <v>437</v>
      </c>
      <c r="H375" s="275" t="s">
        <v>438</v>
      </c>
      <c r="I375" s="275" t="s">
        <v>439</v>
      </c>
      <c r="J375" s="275" t="s">
        <v>440</v>
      </c>
      <c r="K375" s="275" t="s">
        <v>441</v>
      </c>
      <c r="L375" s="275" t="s">
        <v>442</v>
      </c>
      <c r="M375" s="275" t="s">
        <v>443</v>
      </c>
      <c r="N375" s="275" t="s">
        <v>444</v>
      </c>
      <c r="O375" s="275" t="s">
        <v>445</v>
      </c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</row>
    <row r="376" spans="1:27">
      <c r="A376" s="273"/>
      <c r="B376" s="274"/>
      <c r="C376" s="278"/>
      <c r="D376" s="275">
        <v>2.3E-2</v>
      </c>
      <c r="E376" s="275">
        <v>0.129</v>
      </c>
      <c r="F376" s="275">
        <v>0.10100000000000001</v>
      </c>
      <c r="G376" s="275">
        <v>0.105</v>
      </c>
      <c r="H376" s="275">
        <v>0.38200000000000001</v>
      </c>
      <c r="I376" s="275">
        <v>0.371</v>
      </c>
      <c r="J376" s="275">
        <v>0.38</v>
      </c>
      <c r="K376" s="275">
        <v>0.32200000000000001</v>
      </c>
      <c r="L376" s="275">
        <v>0.32500000000000001</v>
      </c>
      <c r="M376" s="275">
        <v>0.98399999999999999</v>
      </c>
      <c r="N376" s="275">
        <v>1.044</v>
      </c>
      <c r="O376" s="275">
        <v>1.0660000000000001</v>
      </c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</row>
    <row r="377" spans="1:27">
      <c r="A377" s="273"/>
      <c r="B377" s="274"/>
      <c r="C377" s="278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</row>
    <row r="378" spans="1:27">
      <c r="A378" s="273">
        <v>130</v>
      </c>
      <c r="B378" s="274">
        <v>42</v>
      </c>
      <c r="C378" s="278" t="s">
        <v>108</v>
      </c>
      <c r="D378" s="275" t="s">
        <v>434</v>
      </c>
      <c r="E378" s="275" t="s">
        <v>435</v>
      </c>
      <c r="F378" s="275" t="s">
        <v>436</v>
      </c>
      <c r="G378" s="275" t="s">
        <v>437</v>
      </c>
      <c r="H378" s="275" t="s">
        <v>438</v>
      </c>
      <c r="I378" s="275" t="s">
        <v>439</v>
      </c>
      <c r="J378" s="275" t="s">
        <v>440</v>
      </c>
      <c r="K378" s="275" t="s">
        <v>441</v>
      </c>
      <c r="L378" s="275" t="s">
        <v>442</v>
      </c>
      <c r="M378" s="275" t="s">
        <v>443</v>
      </c>
      <c r="N378" s="275" t="s">
        <v>444</v>
      </c>
      <c r="O378" s="275" t="s">
        <v>445</v>
      </c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</row>
    <row r="379" spans="1:27">
      <c r="A379" s="273"/>
      <c r="B379" s="274"/>
      <c r="C379" s="278"/>
      <c r="D379" s="275">
        <v>2.3E-2</v>
      </c>
      <c r="E379" s="275">
        <v>0.129</v>
      </c>
      <c r="F379" s="275">
        <v>0.10100000000000001</v>
      </c>
      <c r="G379" s="275">
        <v>0.105</v>
      </c>
      <c r="H379" s="275">
        <v>0.38200000000000001</v>
      </c>
      <c r="I379" s="275">
        <v>0.371</v>
      </c>
      <c r="J379" s="275">
        <v>0.379</v>
      </c>
      <c r="K379" s="275">
        <v>0.32200000000000001</v>
      </c>
      <c r="L379" s="275">
        <v>0.32500000000000001</v>
      </c>
      <c r="M379" s="275">
        <v>0.98</v>
      </c>
      <c r="N379" s="275">
        <v>1.0369999999999999</v>
      </c>
      <c r="O379" s="275">
        <v>1.0580000000000001</v>
      </c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</row>
    <row r="380" spans="1:27">
      <c r="A380" s="273"/>
      <c r="B380" s="274"/>
      <c r="C380" s="278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</row>
    <row r="381" spans="1:27">
      <c r="A381" s="273">
        <v>131</v>
      </c>
      <c r="B381" s="274">
        <v>42</v>
      </c>
      <c r="C381" s="278" t="s">
        <v>109</v>
      </c>
      <c r="D381" s="275" t="s">
        <v>434</v>
      </c>
      <c r="E381" s="275" t="s">
        <v>435</v>
      </c>
      <c r="F381" s="275" t="s">
        <v>436</v>
      </c>
      <c r="G381" s="275" t="s">
        <v>437</v>
      </c>
      <c r="H381" s="275" t="s">
        <v>438</v>
      </c>
      <c r="I381" s="275" t="s">
        <v>439</v>
      </c>
      <c r="J381" s="275" t="s">
        <v>440</v>
      </c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</row>
    <row r="382" spans="1:27">
      <c r="A382" s="273"/>
      <c r="B382" s="274"/>
      <c r="C382" s="278"/>
      <c r="D382" s="275">
        <v>2.3E-2</v>
      </c>
      <c r="E382" s="275">
        <v>0.129</v>
      </c>
      <c r="F382" s="275">
        <v>0.10100000000000001</v>
      </c>
      <c r="G382" s="275">
        <v>0.105</v>
      </c>
      <c r="H382" s="275">
        <v>0.38200000000000001</v>
      </c>
      <c r="I382" s="275">
        <v>0.37</v>
      </c>
      <c r="J382" s="275">
        <v>0.379</v>
      </c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</row>
    <row r="383" spans="1:27">
      <c r="A383" s="273"/>
      <c r="B383" s="274"/>
      <c r="C383" s="278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</row>
    <row r="384" spans="1:27">
      <c r="A384" s="273">
        <v>132</v>
      </c>
      <c r="B384" s="274">
        <v>43</v>
      </c>
      <c r="C384" s="278" t="s">
        <v>110</v>
      </c>
      <c r="D384" s="275" t="s">
        <v>434</v>
      </c>
      <c r="E384" s="275" t="s">
        <v>435</v>
      </c>
      <c r="F384" s="275" t="s">
        <v>436</v>
      </c>
      <c r="G384" s="275" t="s">
        <v>437</v>
      </c>
      <c r="H384" s="275" t="s">
        <v>438</v>
      </c>
      <c r="I384" s="275" t="s">
        <v>439</v>
      </c>
      <c r="J384" s="275" t="s">
        <v>440</v>
      </c>
      <c r="K384" s="275" t="s">
        <v>441</v>
      </c>
      <c r="L384" s="275" t="s">
        <v>442</v>
      </c>
      <c r="M384" s="275" t="s">
        <v>443</v>
      </c>
      <c r="N384" s="275" t="s">
        <v>444</v>
      </c>
      <c r="O384" s="275" t="s">
        <v>445</v>
      </c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</row>
    <row r="385" spans="1:27">
      <c r="A385" s="273"/>
      <c r="B385" s="274"/>
      <c r="C385" s="278"/>
      <c r="D385" s="275">
        <v>2.1999999999999999E-2</v>
      </c>
      <c r="E385" s="275">
        <v>0.126</v>
      </c>
      <c r="F385" s="275">
        <v>9.8000000000000004E-2</v>
      </c>
      <c r="G385" s="275">
        <v>0.10199999999999999</v>
      </c>
      <c r="H385" s="275">
        <v>0.371</v>
      </c>
      <c r="I385" s="275">
        <v>0.35899999999999999</v>
      </c>
      <c r="J385" s="275">
        <v>0.36799999999999999</v>
      </c>
      <c r="K385" s="275">
        <v>0.311</v>
      </c>
      <c r="L385" s="275">
        <v>0.313</v>
      </c>
      <c r="M385" s="275">
        <v>0.95099999999999996</v>
      </c>
      <c r="N385" s="275">
        <v>1.01</v>
      </c>
      <c r="O385" s="275">
        <v>1.0329999999999999</v>
      </c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</row>
    <row r="386" spans="1:27">
      <c r="A386" s="273"/>
      <c r="B386" s="274"/>
      <c r="C386" s="278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</row>
    <row r="387" spans="1:27">
      <c r="A387" s="273">
        <v>133</v>
      </c>
      <c r="B387" s="274">
        <v>43</v>
      </c>
      <c r="C387" s="278" t="s">
        <v>111</v>
      </c>
      <c r="D387" s="275" t="s">
        <v>434</v>
      </c>
      <c r="E387" s="275" t="s">
        <v>435</v>
      </c>
      <c r="F387" s="275" t="s">
        <v>436</v>
      </c>
      <c r="G387" s="275" t="s">
        <v>437</v>
      </c>
      <c r="H387" s="275" t="s">
        <v>438</v>
      </c>
      <c r="I387" s="275" t="s">
        <v>439</v>
      </c>
      <c r="J387" s="275" t="s">
        <v>440</v>
      </c>
      <c r="K387" s="275" t="s">
        <v>441</v>
      </c>
      <c r="L387" s="275" t="s">
        <v>442</v>
      </c>
      <c r="M387" s="275" t="s">
        <v>443</v>
      </c>
      <c r="N387" s="275" t="s">
        <v>444</v>
      </c>
      <c r="O387" s="275" t="s">
        <v>445</v>
      </c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</row>
    <row r="388" spans="1:27">
      <c r="A388" s="273"/>
      <c r="B388" s="274"/>
      <c r="C388" s="278"/>
      <c r="D388" s="275">
        <v>2.1999999999999999E-2</v>
      </c>
      <c r="E388" s="275">
        <v>0.126</v>
      </c>
      <c r="F388" s="275">
        <v>9.8000000000000004E-2</v>
      </c>
      <c r="G388" s="275">
        <v>0.10199999999999999</v>
      </c>
      <c r="H388" s="275">
        <v>0.371</v>
      </c>
      <c r="I388" s="275">
        <v>0.35899999999999999</v>
      </c>
      <c r="J388" s="275">
        <v>0.36799999999999999</v>
      </c>
      <c r="K388" s="275">
        <v>0.311</v>
      </c>
      <c r="L388" s="275">
        <v>0.313</v>
      </c>
      <c r="M388" s="275">
        <v>0.95199999999999996</v>
      </c>
      <c r="N388" s="275">
        <v>1.01</v>
      </c>
      <c r="O388" s="275">
        <v>1.0329999999999999</v>
      </c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</row>
    <row r="389" spans="1:27">
      <c r="A389" s="273"/>
      <c r="B389" s="274"/>
      <c r="C389" s="278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</row>
    <row r="390" spans="1:27">
      <c r="A390" s="273">
        <v>134</v>
      </c>
      <c r="B390" s="274">
        <v>43</v>
      </c>
      <c r="C390" s="278" t="s">
        <v>112</v>
      </c>
      <c r="D390" s="275" t="s">
        <v>434</v>
      </c>
      <c r="E390" s="275" t="s">
        <v>435</v>
      </c>
      <c r="F390" s="275" t="s">
        <v>436</v>
      </c>
      <c r="G390" s="275" t="s">
        <v>437</v>
      </c>
      <c r="H390" s="275" t="s">
        <v>438</v>
      </c>
      <c r="I390" s="275" t="s">
        <v>439</v>
      </c>
      <c r="J390" s="275" t="s">
        <v>440</v>
      </c>
      <c r="K390" s="275" t="s">
        <v>441</v>
      </c>
      <c r="L390" s="275" t="s">
        <v>442</v>
      </c>
      <c r="M390" s="275" t="s">
        <v>443</v>
      </c>
      <c r="N390" s="275" t="s">
        <v>444</v>
      </c>
      <c r="O390" s="275" t="s">
        <v>445</v>
      </c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</row>
    <row r="391" spans="1:27">
      <c r="A391" s="273"/>
      <c r="B391" s="274"/>
      <c r="C391" s="278"/>
      <c r="D391" s="275">
        <v>2.1999999999999999E-2</v>
      </c>
      <c r="E391" s="275">
        <v>0.126</v>
      </c>
      <c r="F391" s="275">
        <v>9.8000000000000004E-2</v>
      </c>
      <c r="G391" s="275">
        <v>0.10199999999999999</v>
      </c>
      <c r="H391" s="275">
        <v>0.371</v>
      </c>
      <c r="I391" s="275">
        <v>0.35899999999999999</v>
      </c>
      <c r="J391" s="275">
        <v>0.36799999999999999</v>
      </c>
      <c r="K391" s="275">
        <v>0.311</v>
      </c>
      <c r="L391" s="275">
        <v>0.313</v>
      </c>
      <c r="M391" s="275">
        <v>0.94899999999999995</v>
      </c>
      <c r="N391" s="275">
        <v>1.0049999999999999</v>
      </c>
      <c r="O391" s="275">
        <v>1.028</v>
      </c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</row>
    <row r="392" spans="1:27">
      <c r="A392" s="273"/>
      <c r="B392" s="274"/>
      <c r="C392" s="278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</row>
    <row r="393" spans="1:27">
      <c r="A393" s="273">
        <v>135</v>
      </c>
      <c r="B393" s="274">
        <v>43</v>
      </c>
      <c r="C393" s="278" t="s">
        <v>113</v>
      </c>
      <c r="D393" s="275" t="s">
        <v>434</v>
      </c>
      <c r="E393" s="275" t="s">
        <v>435</v>
      </c>
      <c r="F393" s="275" t="s">
        <v>436</v>
      </c>
      <c r="G393" s="275" t="s">
        <v>437</v>
      </c>
      <c r="H393" s="275" t="s">
        <v>438</v>
      </c>
      <c r="I393" s="275" t="s">
        <v>439</v>
      </c>
      <c r="J393" s="275" t="s">
        <v>440</v>
      </c>
      <c r="K393" s="275" t="s">
        <v>441</v>
      </c>
      <c r="L393" s="275" t="s">
        <v>442</v>
      </c>
      <c r="M393" s="275" t="s">
        <v>443</v>
      </c>
      <c r="N393" s="275" t="s">
        <v>444</v>
      </c>
      <c r="O393" s="275" t="s">
        <v>445</v>
      </c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</row>
    <row r="394" spans="1:27">
      <c r="A394" s="273"/>
      <c r="B394" s="274"/>
      <c r="C394" s="278"/>
      <c r="D394" s="275">
        <v>2.1999999999999999E-2</v>
      </c>
      <c r="E394" s="275">
        <v>0.126</v>
      </c>
      <c r="F394" s="275">
        <v>9.8000000000000004E-2</v>
      </c>
      <c r="G394" s="275">
        <v>0.10199999999999999</v>
      </c>
      <c r="H394" s="275">
        <v>0.371</v>
      </c>
      <c r="I394" s="275">
        <v>0.35899999999999999</v>
      </c>
      <c r="J394" s="275">
        <v>0.36799999999999999</v>
      </c>
      <c r="K394" s="275">
        <v>0.311</v>
      </c>
      <c r="L394" s="275">
        <v>0.313</v>
      </c>
      <c r="M394" s="275">
        <v>0.94599999999999995</v>
      </c>
      <c r="N394" s="275">
        <v>1</v>
      </c>
      <c r="O394" s="275">
        <v>1.022</v>
      </c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</row>
    <row r="395" spans="1:27">
      <c r="A395" s="273"/>
      <c r="B395" s="274"/>
      <c r="C395" s="278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</row>
    <row r="396" spans="1:27">
      <c r="A396" s="273">
        <v>136</v>
      </c>
      <c r="B396" s="274">
        <v>43</v>
      </c>
      <c r="C396" s="278" t="s">
        <v>114</v>
      </c>
      <c r="D396" s="275" t="s">
        <v>434</v>
      </c>
      <c r="E396" s="275" t="s">
        <v>435</v>
      </c>
      <c r="F396" s="275" t="s">
        <v>436</v>
      </c>
      <c r="G396" s="275" t="s">
        <v>437</v>
      </c>
      <c r="H396" s="275" t="s">
        <v>438</v>
      </c>
      <c r="I396" s="275" t="s">
        <v>439</v>
      </c>
      <c r="J396" s="275" t="s">
        <v>440</v>
      </c>
      <c r="K396" s="275" t="s">
        <v>441</v>
      </c>
      <c r="L396" s="275" t="s">
        <v>442</v>
      </c>
      <c r="M396" s="275" t="s">
        <v>443</v>
      </c>
      <c r="N396" s="275" t="s">
        <v>444</v>
      </c>
      <c r="O396" s="275" t="s">
        <v>445</v>
      </c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</row>
    <row r="397" spans="1:27">
      <c r="A397" s="273"/>
      <c r="B397" s="274"/>
      <c r="C397" s="278"/>
      <c r="D397" s="275">
        <v>2.1999999999999999E-2</v>
      </c>
      <c r="E397" s="275">
        <v>0.126</v>
      </c>
      <c r="F397" s="275">
        <v>9.8000000000000004E-2</v>
      </c>
      <c r="G397" s="275">
        <v>0.10199999999999999</v>
      </c>
      <c r="H397" s="275">
        <v>0.371</v>
      </c>
      <c r="I397" s="275">
        <v>0.35899999999999999</v>
      </c>
      <c r="J397" s="275">
        <v>0.36799999999999999</v>
      </c>
      <c r="K397" s="275">
        <v>0.311</v>
      </c>
      <c r="L397" s="275">
        <v>0.313</v>
      </c>
      <c r="M397" s="275">
        <v>0.94199999999999995</v>
      </c>
      <c r="N397" s="275">
        <v>0.99299999999999999</v>
      </c>
      <c r="O397" s="275">
        <v>1.0149999999999999</v>
      </c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</row>
    <row r="398" spans="1:27">
      <c r="A398" s="273"/>
      <c r="B398" s="274"/>
      <c r="C398" s="278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</row>
    <row r="399" spans="1:27">
      <c r="A399" s="273">
        <v>137</v>
      </c>
      <c r="B399" s="274">
        <v>43</v>
      </c>
      <c r="C399" s="278" t="s">
        <v>115</v>
      </c>
      <c r="D399" s="275" t="s">
        <v>434</v>
      </c>
      <c r="E399" s="275" t="s">
        <v>435</v>
      </c>
      <c r="F399" s="275" t="s">
        <v>436</v>
      </c>
      <c r="G399" s="275" t="s">
        <v>437</v>
      </c>
      <c r="H399" s="275" t="s">
        <v>438</v>
      </c>
      <c r="I399" s="275" t="s">
        <v>439</v>
      </c>
      <c r="J399" s="275" t="s">
        <v>440</v>
      </c>
      <c r="K399" s="275" t="s">
        <v>441</v>
      </c>
      <c r="L399" s="275" t="s">
        <v>442</v>
      </c>
      <c r="M399" s="275" t="s">
        <v>443</v>
      </c>
      <c r="N399" s="275" t="s">
        <v>444</v>
      </c>
      <c r="O399" s="275" t="s">
        <v>445</v>
      </c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</row>
    <row r="400" spans="1:27">
      <c r="A400" s="273"/>
      <c r="B400" s="274"/>
      <c r="C400" s="278"/>
      <c r="D400" s="275">
        <v>2.1999999999999999E-2</v>
      </c>
      <c r="E400" s="275">
        <v>0.126</v>
      </c>
      <c r="F400" s="275">
        <v>9.8000000000000004E-2</v>
      </c>
      <c r="G400" s="275">
        <v>0.10199999999999999</v>
      </c>
      <c r="H400" s="275">
        <v>0.371</v>
      </c>
      <c r="I400" s="275">
        <v>0.35899999999999999</v>
      </c>
      <c r="J400" s="275">
        <v>0.36799999999999999</v>
      </c>
      <c r="K400" s="275">
        <v>0.311</v>
      </c>
      <c r="L400" s="275">
        <v>0.313</v>
      </c>
      <c r="M400" s="275">
        <v>0.93700000000000006</v>
      </c>
      <c r="N400" s="275">
        <v>0.98599999999999999</v>
      </c>
      <c r="O400" s="275">
        <v>1.0069999999999999</v>
      </c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</row>
    <row r="401" spans="1:27">
      <c r="A401" s="273"/>
      <c r="B401" s="274"/>
      <c r="C401" s="278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</row>
    <row r="402" spans="1:27">
      <c r="A402" s="273">
        <v>138</v>
      </c>
      <c r="B402" s="274">
        <v>43</v>
      </c>
      <c r="C402" s="278" t="s">
        <v>116</v>
      </c>
      <c r="D402" s="275" t="s">
        <v>434</v>
      </c>
      <c r="E402" s="275" t="s">
        <v>435</v>
      </c>
      <c r="F402" s="275" t="s">
        <v>436</v>
      </c>
      <c r="G402" s="275" t="s">
        <v>437</v>
      </c>
      <c r="H402" s="275" t="s">
        <v>438</v>
      </c>
      <c r="I402" s="275" t="s">
        <v>439</v>
      </c>
      <c r="J402" s="275" t="s">
        <v>440</v>
      </c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</row>
    <row r="403" spans="1:27">
      <c r="A403" s="273"/>
      <c r="B403" s="274"/>
      <c r="C403" s="278"/>
      <c r="D403" s="275">
        <v>2.1999999999999999E-2</v>
      </c>
      <c r="E403" s="275">
        <v>0.126</v>
      </c>
      <c r="F403" s="275">
        <v>9.8000000000000004E-2</v>
      </c>
      <c r="G403" s="275">
        <v>0.10199999999999999</v>
      </c>
      <c r="H403" s="275">
        <v>0.371</v>
      </c>
      <c r="I403" s="275">
        <v>0.35899999999999999</v>
      </c>
      <c r="J403" s="275">
        <v>0.36799999999999999</v>
      </c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</row>
    <row r="404" spans="1:27">
      <c r="A404" s="273"/>
      <c r="B404" s="274"/>
      <c r="C404" s="278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</row>
    <row r="405" spans="1:27">
      <c r="A405" s="273">
        <v>139</v>
      </c>
      <c r="B405" s="274">
        <v>44</v>
      </c>
      <c r="C405" s="278" t="s">
        <v>117</v>
      </c>
      <c r="D405" s="275" t="s">
        <v>434</v>
      </c>
      <c r="E405" s="275" t="s">
        <v>435</v>
      </c>
      <c r="F405" s="275" t="s">
        <v>436</v>
      </c>
      <c r="G405" s="275" t="s">
        <v>437</v>
      </c>
      <c r="H405" s="275" t="s">
        <v>438</v>
      </c>
      <c r="I405" s="275" t="s">
        <v>439</v>
      </c>
      <c r="J405" s="275" t="s">
        <v>440</v>
      </c>
      <c r="K405" s="275" t="s">
        <v>441</v>
      </c>
      <c r="L405" s="275" t="s">
        <v>442</v>
      </c>
      <c r="M405" s="275" t="s">
        <v>443</v>
      </c>
      <c r="N405" s="275" t="s">
        <v>444</v>
      </c>
      <c r="O405" s="275" t="s">
        <v>445</v>
      </c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</row>
    <row r="406" spans="1:27">
      <c r="A406" s="273"/>
      <c r="B406" s="274"/>
      <c r="C406" s="278"/>
      <c r="D406" s="275">
        <v>2.1999999999999999E-2</v>
      </c>
      <c r="E406" s="275">
        <v>0.123</v>
      </c>
      <c r="F406" s="275">
        <v>9.6000000000000002E-2</v>
      </c>
      <c r="G406" s="275">
        <v>0.1</v>
      </c>
      <c r="H406" s="275">
        <v>0.36099999999999999</v>
      </c>
      <c r="I406" s="275">
        <v>0.34799999999999998</v>
      </c>
      <c r="J406" s="275">
        <v>0.35699999999999998</v>
      </c>
      <c r="K406" s="275">
        <v>0.3</v>
      </c>
      <c r="L406" s="275">
        <v>0.30299999999999999</v>
      </c>
      <c r="M406" s="275">
        <v>0.91700000000000004</v>
      </c>
      <c r="N406" s="275">
        <v>0.97</v>
      </c>
      <c r="O406" s="275">
        <v>0.99399999999999999</v>
      </c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</row>
    <row r="407" spans="1:27">
      <c r="A407" s="273"/>
      <c r="B407" s="274"/>
      <c r="C407" s="278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</row>
    <row r="408" spans="1:27">
      <c r="A408" s="273">
        <v>140</v>
      </c>
      <c r="B408" s="274">
        <v>44</v>
      </c>
      <c r="C408" s="278" t="s">
        <v>118</v>
      </c>
      <c r="D408" s="275" t="s">
        <v>434</v>
      </c>
      <c r="E408" s="275" t="s">
        <v>435</v>
      </c>
      <c r="F408" s="275" t="s">
        <v>436</v>
      </c>
      <c r="G408" s="275" t="s">
        <v>437</v>
      </c>
      <c r="H408" s="275" t="s">
        <v>438</v>
      </c>
      <c r="I408" s="275" t="s">
        <v>439</v>
      </c>
      <c r="J408" s="275" t="s">
        <v>440</v>
      </c>
      <c r="K408" s="275" t="s">
        <v>441</v>
      </c>
      <c r="L408" s="275" t="s">
        <v>442</v>
      </c>
      <c r="M408" s="275" t="s">
        <v>443</v>
      </c>
      <c r="N408" s="275" t="s">
        <v>444</v>
      </c>
      <c r="O408" s="275" t="s">
        <v>445</v>
      </c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</row>
    <row r="409" spans="1:27">
      <c r="A409" s="273"/>
      <c r="B409" s="274"/>
      <c r="C409" s="278"/>
      <c r="D409" s="275">
        <v>2.1999999999999999E-2</v>
      </c>
      <c r="E409" s="275">
        <v>0.123</v>
      </c>
      <c r="F409" s="275">
        <v>9.6000000000000002E-2</v>
      </c>
      <c r="G409" s="275">
        <v>0.1</v>
      </c>
      <c r="H409" s="275">
        <v>0.36099999999999999</v>
      </c>
      <c r="I409" s="275">
        <v>0.34799999999999998</v>
      </c>
      <c r="J409" s="275">
        <v>0.35699999999999998</v>
      </c>
      <c r="K409" s="275">
        <v>0.3</v>
      </c>
      <c r="L409" s="275">
        <v>0.30299999999999999</v>
      </c>
      <c r="M409" s="275">
        <v>0.91600000000000004</v>
      </c>
      <c r="N409" s="275">
        <v>0.96799999999999997</v>
      </c>
      <c r="O409" s="275">
        <v>0.99099999999999999</v>
      </c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</row>
    <row r="410" spans="1:27">
      <c r="A410" s="273"/>
      <c r="B410" s="274"/>
      <c r="C410" s="278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</row>
    <row r="411" spans="1:27">
      <c r="A411" s="273">
        <v>141</v>
      </c>
      <c r="B411" s="274">
        <v>44</v>
      </c>
      <c r="C411" s="278" t="s">
        <v>119</v>
      </c>
      <c r="D411" s="275" t="s">
        <v>434</v>
      </c>
      <c r="E411" s="275" t="s">
        <v>435</v>
      </c>
      <c r="F411" s="275" t="s">
        <v>436</v>
      </c>
      <c r="G411" s="275" t="s">
        <v>437</v>
      </c>
      <c r="H411" s="275" t="s">
        <v>438</v>
      </c>
      <c r="I411" s="275" t="s">
        <v>439</v>
      </c>
      <c r="J411" s="275" t="s">
        <v>440</v>
      </c>
      <c r="K411" s="275" t="s">
        <v>441</v>
      </c>
      <c r="L411" s="275" t="s">
        <v>442</v>
      </c>
      <c r="M411" s="275" t="s">
        <v>443</v>
      </c>
      <c r="N411" s="275" t="s">
        <v>444</v>
      </c>
      <c r="O411" s="275" t="s">
        <v>445</v>
      </c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</row>
    <row r="412" spans="1:27">
      <c r="A412" s="273"/>
      <c r="B412" s="274"/>
      <c r="C412" s="278"/>
      <c r="D412" s="275">
        <v>2.1999999999999999E-2</v>
      </c>
      <c r="E412" s="275">
        <v>0.123</v>
      </c>
      <c r="F412" s="275">
        <v>9.6000000000000002E-2</v>
      </c>
      <c r="G412" s="275">
        <v>0.1</v>
      </c>
      <c r="H412" s="275">
        <v>0.36099999999999999</v>
      </c>
      <c r="I412" s="275">
        <v>0.34799999999999998</v>
      </c>
      <c r="J412" s="275">
        <v>0.35699999999999998</v>
      </c>
      <c r="K412" s="275">
        <v>0.3</v>
      </c>
      <c r="L412" s="275">
        <v>0.30299999999999999</v>
      </c>
      <c r="M412" s="275">
        <v>0.91400000000000003</v>
      </c>
      <c r="N412" s="275">
        <v>0.96399999999999997</v>
      </c>
      <c r="O412" s="275">
        <v>0.98699999999999999</v>
      </c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</row>
    <row r="413" spans="1:27">
      <c r="A413" s="273"/>
      <c r="B413" s="274"/>
      <c r="C413" s="278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</row>
    <row r="414" spans="1:27">
      <c r="A414" s="273">
        <v>142</v>
      </c>
      <c r="B414" s="274">
        <v>44</v>
      </c>
      <c r="C414" s="278" t="s">
        <v>120</v>
      </c>
      <c r="D414" s="275" t="s">
        <v>434</v>
      </c>
      <c r="E414" s="275" t="s">
        <v>435</v>
      </c>
      <c r="F414" s="275" t="s">
        <v>436</v>
      </c>
      <c r="G414" s="275" t="s">
        <v>437</v>
      </c>
      <c r="H414" s="275" t="s">
        <v>438</v>
      </c>
      <c r="I414" s="275" t="s">
        <v>439</v>
      </c>
      <c r="J414" s="275" t="s">
        <v>440</v>
      </c>
      <c r="K414" s="275" t="s">
        <v>441</v>
      </c>
      <c r="L414" s="275" t="s">
        <v>442</v>
      </c>
      <c r="M414" s="275" t="s">
        <v>443</v>
      </c>
      <c r="N414" s="275" t="s">
        <v>444</v>
      </c>
      <c r="O414" s="275" t="s">
        <v>445</v>
      </c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</row>
    <row r="415" spans="1:27">
      <c r="A415" s="273"/>
      <c r="B415" s="274"/>
      <c r="C415" s="278"/>
      <c r="D415" s="275">
        <v>2.1999999999999999E-2</v>
      </c>
      <c r="E415" s="275">
        <v>0.123</v>
      </c>
      <c r="F415" s="275">
        <v>9.6000000000000002E-2</v>
      </c>
      <c r="G415" s="275">
        <v>0.1</v>
      </c>
      <c r="H415" s="275">
        <v>0.36</v>
      </c>
      <c r="I415" s="275">
        <v>0.34799999999999998</v>
      </c>
      <c r="J415" s="275">
        <v>0.35699999999999998</v>
      </c>
      <c r="K415" s="275">
        <v>0.3</v>
      </c>
      <c r="L415" s="275">
        <v>0.30299999999999999</v>
      </c>
      <c r="M415" s="275">
        <v>0.91100000000000003</v>
      </c>
      <c r="N415" s="275">
        <v>0.95899999999999996</v>
      </c>
      <c r="O415" s="275">
        <v>0.98099999999999998</v>
      </c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</row>
    <row r="416" spans="1:27">
      <c r="A416" s="273"/>
      <c r="B416" s="274"/>
      <c r="C416" s="278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</row>
    <row r="417" spans="1:27">
      <c r="A417" s="273">
        <v>143</v>
      </c>
      <c r="B417" s="274">
        <v>44</v>
      </c>
      <c r="C417" s="278" t="s">
        <v>121</v>
      </c>
      <c r="D417" s="275" t="s">
        <v>434</v>
      </c>
      <c r="E417" s="275" t="s">
        <v>435</v>
      </c>
      <c r="F417" s="275" t="s">
        <v>436</v>
      </c>
      <c r="G417" s="275" t="s">
        <v>437</v>
      </c>
      <c r="H417" s="275" t="s">
        <v>438</v>
      </c>
      <c r="I417" s="275" t="s">
        <v>439</v>
      </c>
      <c r="J417" s="275" t="s">
        <v>440</v>
      </c>
      <c r="K417" s="275" t="s">
        <v>441</v>
      </c>
      <c r="L417" s="275" t="s">
        <v>442</v>
      </c>
      <c r="M417" s="275" t="s">
        <v>443</v>
      </c>
      <c r="N417" s="275" t="s">
        <v>444</v>
      </c>
      <c r="O417" s="275" t="s">
        <v>445</v>
      </c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</row>
    <row r="418" spans="1:27">
      <c r="A418" s="273"/>
      <c r="B418" s="274"/>
      <c r="C418" s="278"/>
      <c r="D418" s="275">
        <v>2.1999999999999999E-2</v>
      </c>
      <c r="E418" s="275">
        <v>0.123</v>
      </c>
      <c r="F418" s="275">
        <v>9.6000000000000002E-2</v>
      </c>
      <c r="G418" s="275">
        <v>0.1</v>
      </c>
      <c r="H418" s="275">
        <v>0.36</v>
      </c>
      <c r="I418" s="275">
        <v>0.34799999999999998</v>
      </c>
      <c r="J418" s="275">
        <v>0.35699999999999998</v>
      </c>
      <c r="K418" s="275">
        <v>0.3</v>
      </c>
      <c r="L418" s="275">
        <v>0.30299999999999999</v>
      </c>
      <c r="M418" s="275">
        <v>0.90700000000000003</v>
      </c>
      <c r="N418" s="275">
        <v>0.95399999999999996</v>
      </c>
      <c r="O418" s="275">
        <v>0.97499999999999998</v>
      </c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</row>
    <row r="419" spans="1:27">
      <c r="A419" s="273"/>
      <c r="B419" s="274"/>
      <c r="C419" s="278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</row>
    <row r="420" spans="1:27">
      <c r="A420" s="273">
        <v>144</v>
      </c>
      <c r="B420" s="274">
        <v>44</v>
      </c>
      <c r="C420" s="278" t="s">
        <v>122</v>
      </c>
      <c r="D420" s="275" t="s">
        <v>434</v>
      </c>
      <c r="E420" s="275" t="s">
        <v>435</v>
      </c>
      <c r="F420" s="275" t="s">
        <v>436</v>
      </c>
      <c r="G420" s="275" t="s">
        <v>437</v>
      </c>
      <c r="H420" s="275" t="s">
        <v>438</v>
      </c>
      <c r="I420" s="275" t="s">
        <v>439</v>
      </c>
      <c r="J420" s="275" t="s">
        <v>440</v>
      </c>
      <c r="K420" s="275" t="s">
        <v>441</v>
      </c>
      <c r="L420" s="275" t="s">
        <v>442</v>
      </c>
      <c r="M420" s="275" t="s">
        <v>443</v>
      </c>
      <c r="N420" s="275" t="s">
        <v>444</v>
      </c>
      <c r="O420" s="275" t="s">
        <v>445</v>
      </c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</row>
    <row r="421" spans="1:27">
      <c r="A421" s="273"/>
      <c r="B421" s="274"/>
      <c r="C421" s="278"/>
      <c r="D421" s="275">
        <v>2.1999999999999999E-2</v>
      </c>
      <c r="E421" s="275">
        <v>0.123</v>
      </c>
      <c r="F421" s="275">
        <v>9.6000000000000002E-2</v>
      </c>
      <c r="G421" s="275">
        <v>0.1</v>
      </c>
      <c r="H421" s="275">
        <v>0.36</v>
      </c>
      <c r="I421" s="275">
        <v>0.34799999999999998</v>
      </c>
      <c r="J421" s="275">
        <v>0.35699999999999998</v>
      </c>
      <c r="K421" s="275">
        <v>0.3</v>
      </c>
      <c r="L421" s="275">
        <v>0.30299999999999999</v>
      </c>
      <c r="M421" s="275">
        <v>0.90300000000000002</v>
      </c>
      <c r="N421" s="275">
        <v>0.94699999999999995</v>
      </c>
      <c r="O421" s="275">
        <v>0.96799999999999997</v>
      </c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</row>
    <row r="422" spans="1:27">
      <c r="A422" s="273"/>
      <c r="B422" s="274"/>
      <c r="C422" s="278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</row>
    <row r="423" spans="1:27">
      <c r="A423" s="273">
        <v>145</v>
      </c>
      <c r="B423" s="274">
        <v>44</v>
      </c>
      <c r="C423" s="278" t="s">
        <v>123</v>
      </c>
      <c r="D423" s="275" t="s">
        <v>434</v>
      </c>
      <c r="E423" s="275" t="s">
        <v>435</v>
      </c>
      <c r="F423" s="275" t="s">
        <v>436</v>
      </c>
      <c r="G423" s="275" t="s">
        <v>437</v>
      </c>
      <c r="H423" s="275" t="s">
        <v>438</v>
      </c>
      <c r="I423" s="275" t="s">
        <v>439</v>
      </c>
      <c r="J423" s="275" t="s">
        <v>440</v>
      </c>
      <c r="K423" s="275" t="s">
        <v>441</v>
      </c>
      <c r="L423" s="275" t="s">
        <v>442</v>
      </c>
      <c r="M423" s="275" t="s">
        <v>443</v>
      </c>
      <c r="N423" s="275" t="s">
        <v>444</v>
      </c>
      <c r="O423" s="275" t="s">
        <v>445</v>
      </c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</row>
    <row r="424" spans="1:27">
      <c r="A424" s="273"/>
      <c r="B424" s="274"/>
      <c r="C424" s="278"/>
      <c r="D424" s="275">
        <v>2.1999999999999999E-2</v>
      </c>
      <c r="E424" s="275">
        <v>0.123</v>
      </c>
      <c r="F424" s="275">
        <v>9.6000000000000002E-2</v>
      </c>
      <c r="G424" s="275">
        <v>0.1</v>
      </c>
      <c r="H424" s="275">
        <v>0.36</v>
      </c>
      <c r="I424" s="275">
        <v>0.34799999999999998</v>
      </c>
      <c r="J424" s="275">
        <v>0.35699999999999998</v>
      </c>
      <c r="K424" s="275">
        <v>0.3</v>
      </c>
      <c r="L424" s="275">
        <v>0.30299999999999999</v>
      </c>
      <c r="M424" s="275">
        <v>0.89900000000000002</v>
      </c>
      <c r="N424" s="275">
        <v>0.94</v>
      </c>
      <c r="O424" s="275">
        <v>0.96099999999999997</v>
      </c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</row>
    <row r="425" spans="1:27">
      <c r="A425" s="273"/>
      <c r="B425" s="274"/>
      <c r="C425" s="278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</row>
    <row r="426" spans="1:27">
      <c r="A426" s="273">
        <v>146</v>
      </c>
      <c r="B426" s="274">
        <v>44</v>
      </c>
      <c r="C426" s="278" t="s">
        <v>124</v>
      </c>
      <c r="D426" s="275" t="s">
        <v>434</v>
      </c>
      <c r="E426" s="275" t="s">
        <v>435</v>
      </c>
      <c r="F426" s="275" t="s">
        <v>436</v>
      </c>
      <c r="G426" s="275" t="s">
        <v>437</v>
      </c>
      <c r="H426" s="275" t="s">
        <v>438</v>
      </c>
      <c r="I426" s="275" t="s">
        <v>439</v>
      </c>
      <c r="J426" s="275" t="s">
        <v>440</v>
      </c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</row>
    <row r="427" spans="1:27">
      <c r="A427" s="273"/>
      <c r="B427" s="274"/>
      <c r="C427" s="278"/>
      <c r="D427" s="275">
        <v>2.1999999999999999E-2</v>
      </c>
      <c r="E427" s="275">
        <v>0.123</v>
      </c>
      <c r="F427" s="275">
        <v>9.6000000000000002E-2</v>
      </c>
      <c r="G427" s="275">
        <v>0.1</v>
      </c>
      <c r="H427" s="275">
        <v>0.36</v>
      </c>
      <c r="I427" s="275">
        <v>0.34799999999999998</v>
      </c>
      <c r="J427" s="275">
        <v>0.35699999999999998</v>
      </c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</row>
    <row r="428" spans="1:27">
      <c r="A428" s="273"/>
      <c r="B428" s="274"/>
      <c r="C428" s="278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</row>
    <row r="429" spans="1:27">
      <c r="A429" s="273">
        <v>147</v>
      </c>
      <c r="B429" s="274">
        <v>45</v>
      </c>
      <c r="C429" s="278" t="s">
        <v>125</v>
      </c>
      <c r="D429" s="275" t="s">
        <v>434</v>
      </c>
      <c r="E429" s="275" t="s">
        <v>435</v>
      </c>
      <c r="F429" s="275" t="s">
        <v>436</v>
      </c>
      <c r="G429" s="275" t="s">
        <v>437</v>
      </c>
      <c r="H429" s="275" t="s">
        <v>438</v>
      </c>
      <c r="I429" s="275" t="s">
        <v>439</v>
      </c>
      <c r="J429" s="275" t="s">
        <v>440</v>
      </c>
      <c r="K429" s="275" t="s">
        <v>441</v>
      </c>
      <c r="L429" s="275" t="s">
        <v>442</v>
      </c>
      <c r="M429" s="275" t="s">
        <v>443</v>
      </c>
      <c r="N429" s="275" t="s">
        <v>444</v>
      </c>
      <c r="O429" s="275" t="s">
        <v>445</v>
      </c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</row>
    <row r="430" spans="1:27">
      <c r="A430" s="273"/>
      <c r="B430" s="274"/>
      <c r="C430" s="278"/>
      <c r="D430" s="275">
        <v>2.1000000000000001E-2</v>
      </c>
      <c r="E430" s="275">
        <v>0.12</v>
      </c>
      <c r="F430" s="275">
        <v>9.2999999999999999E-2</v>
      </c>
      <c r="G430" s="275">
        <v>9.7000000000000003E-2</v>
      </c>
      <c r="H430" s="275">
        <v>0.35</v>
      </c>
      <c r="I430" s="275">
        <v>0.33800000000000002</v>
      </c>
      <c r="J430" s="275">
        <v>0.34699999999999998</v>
      </c>
      <c r="K430" s="275">
        <v>0.29099999999999998</v>
      </c>
      <c r="L430" s="275">
        <v>0.29299999999999998</v>
      </c>
      <c r="M430" s="275">
        <v>0.88400000000000001</v>
      </c>
      <c r="N430" s="275">
        <v>0.93200000000000005</v>
      </c>
      <c r="O430" s="275">
        <v>0.95599999999999996</v>
      </c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</row>
    <row r="431" spans="1:27">
      <c r="A431" s="273"/>
      <c r="B431" s="274"/>
      <c r="C431" s="278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</row>
    <row r="432" spans="1:27">
      <c r="A432" s="273">
        <v>148</v>
      </c>
      <c r="B432" s="274">
        <v>45</v>
      </c>
      <c r="C432" s="278" t="s">
        <v>126</v>
      </c>
      <c r="D432" s="275" t="s">
        <v>434</v>
      </c>
      <c r="E432" s="275" t="s">
        <v>435</v>
      </c>
      <c r="F432" s="275" t="s">
        <v>436</v>
      </c>
      <c r="G432" s="275" t="s">
        <v>437</v>
      </c>
      <c r="H432" s="275" t="s">
        <v>438</v>
      </c>
      <c r="I432" s="275" t="s">
        <v>439</v>
      </c>
      <c r="J432" s="275" t="s">
        <v>440</v>
      </c>
      <c r="K432" s="275" t="s">
        <v>441</v>
      </c>
      <c r="L432" s="275" t="s">
        <v>442</v>
      </c>
      <c r="M432" s="275" t="s">
        <v>443</v>
      </c>
      <c r="N432" s="275" t="s">
        <v>444</v>
      </c>
      <c r="O432" s="275" t="s">
        <v>445</v>
      </c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</row>
    <row r="433" spans="1:27">
      <c r="A433" s="273"/>
      <c r="B433" s="274"/>
      <c r="C433" s="278"/>
      <c r="D433" s="275">
        <v>2.1000000000000001E-2</v>
      </c>
      <c r="E433" s="275">
        <v>0.12</v>
      </c>
      <c r="F433" s="275">
        <v>9.2999999999999999E-2</v>
      </c>
      <c r="G433" s="275">
        <v>9.7000000000000003E-2</v>
      </c>
      <c r="H433" s="275">
        <v>0.35</v>
      </c>
      <c r="I433" s="275">
        <v>0.33800000000000002</v>
      </c>
      <c r="J433" s="275">
        <v>0.34699999999999998</v>
      </c>
      <c r="K433" s="275">
        <v>0.29099999999999998</v>
      </c>
      <c r="L433" s="275">
        <v>0.29299999999999998</v>
      </c>
      <c r="M433" s="275">
        <v>0.88300000000000001</v>
      </c>
      <c r="N433" s="275">
        <v>0.93</v>
      </c>
      <c r="O433" s="275">
        <v>0.95299999999999996</v>
      </c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</row>
    <row r="434" spans="1:27">
      <c r="A434" s="273"/>
      <c r="B434" s="274"/>
      <c r="C434" s="278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</row>
    <row r="435" spans="1:27">
      <c r="A435" s="273">
        <v>149</v>
      </c>
      <c r="B435" s="274">
        <v>45</v>
      </c>
      <c r="C435" s="278" t="s">
        <v>127</v>
      </c>
      <c r="D435" s="275" t="s">
        <v>434</v>
      </c>
      <c r="E435" s="275" t="s">
        <v>435</v>
      </c>
      <c r="F435" s="275" t="s">
        <v>436</v>
      </c>
      <c r="G435" s="275" t="s">
        <v>437</v>
      </c>
      <c r="H435" s="275" t="s">
        <v>438</v>
      </c>
      <c r="I435" s="275" t="s">
        <v>439</v>
      </c>
      <c r="J435" s="275" t="s">
        <v>440</v>
      </c>
      <c r="K435" s="275" t="s">
        <v>441</v>
      </c>
      <c r="L435" s="275" t="s">
        <v>442</v>
      </c>
      <c r="M435" s="275" t="s">
        <v>443</v>
      </c>
      <c r="N435" s="275" t="s">
        <v>444</v>
      </c>
      <c r="O435" s="275" t="s">
        <v>445</v>
      </c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</row>
    <row r="436" spans="1:27">
      <c r="A436" s="273"/>
      <c r="B436" s="274"/>
      <c r="C436" s="278"/>
      <c r="D436" s="275">
        <v>2.1000000000000001E-2</v>
      </c>
      <c r="E436" s="275">
        <v>0.12</v>
      </c>
      <c r="F436" s="275">
        <v>9.2999999999999999E-2</v>
      </c>
      <c r="G436" s="275">
        <v>9.7000000000000003E-2</v>
      </c>
      <c r="H436" s="275">
        <v>0.35</v>
      </c>
      <c r="I436" s="275">
        <v>0.33800000000000002</v>
      </c>
      <c r="J436" s="275">
        <v>0.34699999999999998</v>
      </c>
      <c r="K436" s="275">
        <v>0.28999999999999998</v>
      </c>
      <c r="L436" s="275">
        <v>0.29299999999999998</v>
      </c>
      <c r="M436" s="275">
        <v>0.88100000000000001</v>
      </c>
      <c r="N436" s="275">
        <v>0.92600000000000005</v>
      </c>
      <c r="O436" s="275">
        <v>0.94899999999999995</v>
      </c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</row>
    <row r="437" spans="1:27">
      <c r="A437" s="273"/>
      <c r="B437" s="274"/>
      <c r="C437" s="278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</row>
    <row r="438" spans="1:27">
      <c r="A438" s="273">
        <v>150</v>
      </c>
      <c r="B438" s="274">
        <v>45</v>
      </c>
      <c r="C438" s="278" t="s">
        <v>128</v>
      </c>
      <c r="D438" s="275" t="s">
        <v>434</v>
      </c>
      <c r="E438" s="275" t="s">
        <v>435</v>
      </c>
      <c r="F438" s="275" t="s">
        <v>436</v>
      </c>
      <c r="G438" s="275" t="s">
        <v>437</v>
      </c>
      <c r="H438" s="275" t="s">
        <v>438</v>
      </c>
      <c r="I438" s="275" t="s">
        <v>439</v>
      </c>
      <c r="J438" s="275" t="s">
        <v>440</v>
      </c>
      <c r="K438" s="275" t="s">
        <v>441</v>
      </c>
      <c r="L438" s="275" t="s">
        <v>442</v>
      </c>
      <c r="M438" s="275" t="s">
        <v>443</v>
      </c>
      <c r="N438" s="275" t="s">
        <v>444</v>
      </c>
      <c r="O438" s="275" t="s">
        <v>445</v>
      </c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</row>
    <row r="439" spans="1:27">
      <c r="A439" s="273"/>
      <c r="B439" s="274"/>
      <c r="C439" s="278"/>
      <c r="D439" s="275">
        <v>2.1000000000000001E-2</v>
      </c>
      <c r="E439" s="275">
        <v>0.12</v>
      </c>
      <c r="F439" s="275">
        <v>9.2999999999999999E-2</v>
      </c>
      <c r="G439" s="275">
        <v>9.7000000000000003E-2</v>
      </c>
      <c r="H439" s="275">
        <v>0.35</v>
      </c>
      <c r="I439" s="275">
        <v>0.33800000000000002</v>
      </c>
      <c r="J439" s="275">
        <v>0.34699999999999998</v>
      </c>
      <c r="K439" s="275">
        <v>0.28999999999999998</v>
      </c>
      <c r="L439" s="275">
        <v>0.29299999999999998</v>
      </c>
      <c r="M439" s="275">
        <v>0.879</v>
      </c>
      <c r="N439" s="275">
        <v>0.92200000000000004</v>
      </c>
      <c r="O439" s="275">
        <v>0.94399999999999995</v>
      </c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</row>
    <row r="440" spans="1:27">
      <c r="A440" s="273"/>
      <c r="B440" s="274"/>
      <c r="C440" s="278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</row>
    <row r="441" spans="1:27">
      <c r="A441" s="273">
        <v>151</v>
      </c>
      <c r="B441" s="274">
        <v>45</v>
      </c>
      <c r="C441" s="278" t="s">
        <v>129</v>
      </c>
      <c r="D441" s="275" t="s">
        <v>434</v>
      </c>
      <c r="E441" s="275" t="s">
        <v>435</v>
      </c>
      <c r="F441" s="275" t="s">
        <v>436</v>
      </c>
      <c r="G441" s="275" t="s">
        <v>437</v>
      </c>
      <c r="H441" s="275" t="s">
        <v>438</v>
      </c>
      <c r="I441" s="275" t="s">
        <v>439</v>
      </c>
      <c r="J441" s="275" t="s">
        <v>440</v>
      </c>
      <c r="K441" s="275" t="s">
        <v>441</v>
      </c>
      <c r="L441" s="275" t="s">
        <v>442</v>
      </c>
      <c r="M441" s="275" t="s">
        <v>443</v>
      </c>
      <c r="N441" s="275" t="s">
        <v>444</v>
      </c>
      <c r="O441" s="275" t="s">
        <v>445</v>
      </c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</row>
    <row r="442" spans="1:27">
      <c r="A442" s="273"/>
      <c r="B442" s="274"/>
      <c r="C442" s="278"/>
      <c r="D442" s="275">
        <v>2.1000000000000001E-2</v>
      </c>
      <c r="E442" s="275">
        <v>0.12</v>
      </c>
      <c r="F442" s="275">
        <v>9.2999999999999999E-2</v>
      </c>
      <c r="G442" s="275">
        <v>9.7000000000000003E-2</v>
      </c>
      <c r="H442" s="275">
        <v>0.35</v>
      </c>
      <c r="I442" s="275">
        <v>0.33800000000000002</v>
      </c>
      <c r="J442" s="275">
        <v>0.34699999999999998</v>
      </c>
      <c r="K442" s="275">
        <v>0.28999999999999998</v>
      </c>
      <c r="L442" s="275">
        <v>0.29299999999999998</v>
      </c>
      <c r="M442" s="275">
        <v>0.875</v>
      </c>
      <c r="N442" s="275">
        <v>0.91700000000000004</v>
      </c>
      <c r="O442" s="275">
        <v>0.93899999999999995</v>
      </c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</row>
    <row r="443" spans="1:27">
      <c r="A443" s="273"/>
      <c r="B443" s="274"/>
      <c r="C443" s="278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</row>
    <row r="444" spans="1:27">
      <c r="A444" s="273">
        <v>152</v>
      </c>
      <c r="B444" s="274">
        <v>45</v>
      </c>
      <c r="C444" s="278" t="s">
        <v>130</v>
      </c>
      <c r="D444" s="275" t="s">
        <v>434</v>
      </c>
      <c r="E444" s="275" t="s">
        <v>435</v>
      </c>
      <c r="F444" s="275" t="s">
        <v>436</v>
      </c>
      <c r="G444" s="275" t="s">
        <v>437</v>
      </c>
      <c r="H444" s="275" t="s">
        <v>438</v>
      </c>
      <c r="I444" s="275" t="s">
        <v>439</v>
      </c>
      <c r="J444" s="275" t="s">
        <v>440</v>
      </c>
      <c r="K444" s="275" t="s">
        <v>441</v>
      </c>
      <c r="L444" s="275" t="s">
        <v>442</v>
      </c>
      <c r="M444" s="275" t="s">
        <v>443</v>
      </c>
      <c r="N444" s="275" t="s">
        <v>444</v>
      </c>
      <c r="O444" s="275" t="s">
        <v>445</v>
      </c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</row>
    <row r="445" spans="1:27">
      <c r="A445" s="273"/>
      <c r="B445" s="274"/>
      <c r="C445" s="278"/>
      <c r="D445" s="275">
        <v>2.1000000000000001E-2</v>
      </c>
      <c r="E445" s="275">
        <v>0.12</v>
      </c>
      <c r="F445" s="275">
        <v>9.2999999999999999E-2</v>
      </c>
      <c r="G445" s="275">
        <v>9.7000000000000003E-2</v>
      </c>
      <c r="H445" s="275">
        <v>0.35</v>
      </c>
      <c r="I445" s="275">
        <v>0.33800000000000002</v>
      </c>
      <c r="J445" s="275">
        <v>0.34699999999999998</v>
      </c>
      <c r="K445" s="275">
        <v>0.28999999999999998</v>
      </c>
      <c r="L445" s="275">
        <v>0.29299999999999998</v>
      </c>
      <c r="M445" s="275">
        <v>0.872</v>
      </c>
      <c r="N445" s="275">
        <v>0.91200000000000003</v>
      </c>
      <c r="O445" s="275">
        <v>0.93300000000000005</v>
      </c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</row>
    <row r="446" spans="1:27">
      <c r="A446" s="273"/>
      <c r="B446" s="274"/>
      <c r="C446" s="278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</row>
    <row r="447" spans="1:27">
      <c r="A447" s="273">
        <v>153</v>
      </c>
      <c r="B447" s="274">
        <v>46</v>
      </c>
      <c r="C447" s="278" t="s">
        <v>348</v>
      </c>
      <c r="D447" s="275" t="s">
        <v>434</v>
      </c>
      <c r="E447" s="275" t="s">
        <v>435</v>
      </c>
      <c r="F447" s="275" t="s">
        <v>436</v>
      </c>
      <c r="G447" s="275" t="s">
        <v>437</v>
      </c>
      <c r="H447" s="275" t="s">
        <v>438</v>
      </c>
      <c r="I447" s="275" t="s">
        <v>439</v>
      </c>
      <c r="J447" s="275" t="s">
        <v>440</v>
      </c>
      <c r="K447" s="275" t="s">
        <v>441</v>
      </c>
      <c r="L447" s="275" t="s">
        <v>442</v>
      </c>
      <c r="M447" s="275" t="s">
        <v>443</v>
      </c>
      <c r="N447" s="275" t="s">
        <v>444</v>
      </c>
      <c r="O447" s="275" t="s">
        <v>445</v>
      </c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</row>
    <row r="448" spans="1:27">
      <c r="A448" s="273"/>
      <c r="B448" s="274"/>
      <c r="C448" s="278"/>
      <c r="D448" s="275">
        <v>2.1000000000000001E-2</v>
      </c>
      <c r="E448" s="275">
        <v>0.11700000000000001</v>
      </c>
      <c r="F448" s="275">
        <v>9.0999999999999998E-2</v>
      </c>
      <c r="G448" s="275">
        <v>9.5000000000000001E-2</v>
      </c>
      <c r="H448" s="275">
        <v>0.34100000000000003</v>
      </c>
      <c r="I448" s="275">
        <v>0.32800000000000001</v>
      </c>
      <c r="J448" s="275">
        <v>0.33800000000000002</v>
      </c>
      <c r="K448" s="275">
        <v>0.28100000000000003</v>
      </c>
      <c r="L448" s="275">
        <v>0.28399999999999997</v>
      </c>
      <c r="M448" s="275">
        <v>0.85299999999999998</v>
      </c>
      <c r="N448" s="275">
        <v>0.89500000000000002</v>
      </c>
      <c r="O448" s="275">
        <v>0.91800000000000004</v>
      </c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</row>
    <row r="449" spans="1:27">
      <c r="A449" s="273"/>
      <c r="B449" s="274"/>
      <c r="C449" s="278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</row>
    <row r="450" spans="1:27">
      <c r="A450" s="273">
        <v>154</v>
      </c>
      <c r="B450" s="274">
        <v>46</v>
      </c>
      <c r="C450" s="278" t="s">
        <v>349</v>
      </c>
      <c r="D450" s="275" t="s">
        <v>434</v>
      </c>
      <c r="E450" s="275" t="s">
        <v>435</v>
      </c>
      <c r="F450" s="275" t="s">
        <v>436</v>
      </c>
      <c r="G450" s="275" t="s">
        <v>437</v>
      </c>
      <c r="H450" s="275" t="s">
        <v>438</v>
      </c>
      <c r="I450" s="275" t="s">
        <v>439</v>
      </c>
      <c r="J450" s="275" t="s">
        <v>440</v>
      </c>
      <c r="K450" s="275" t="s">
        <v>441</v>
      </c>
      <c r="L450" s="275" t="s">
        <v>442</v>
      </c>
      <c r="M450" s="275" t="s">
        <v>443</v>
      </c>
      <c r="N450" s="275" t="s">
        <v>444</v>
      </c>
      <c r="O450" s="275" t="s">
        <v>445</v>
      </c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</row>
    <row r="451" spans="1:27">
      <c r="A451" s="273"/>
      <c r="B451" s="274"/>
      <c r="C451" s="278"/>
      <c r="D451" s="275">
        <v>2.1000000000000001E-2</v>
      </c>
      <c r="E451" s="275">
        <v>0.11700000000000001</v>
      </c>
      <c r="F451" s="275">
        <v>9.0999999999999998E-2</v>
      </c>
      <c r="G451" s="275">
        <v>9.5000000000000001E-2</v>
      </c>
      <c r="H451" s="275">
        <v>0.34100000000000003</v>
      </c>
      <c r="I451" s="275">
        <v>0.32800000000000001</v>
      </c>
      <c r="J451" s="275">
        <v>0.33800000000000002</v>
      </c>
      <c r="K451" s="275">
        <v>0.28100000000000003</v>
      </c>
      <c r="L451" s="275">
        <v>0.28399999999999997</v>
      </c>
      <c r="M451" s="275">
        <v>0.84899999999999998</v>
      </c>
      <c r="N451" s="275">
        <v>0.88800000000000001</v>
      </c>
      <c r="O451" s="275">
        <v>0.91</v>
      </c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</row>
    <row r="452" spans="1:27">
      <c r="A452" s="273"/>
      <c r="B452" s="274"/>
      <c r="C452" s="278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</row>
    <row r="453" spans="1:27">
      <c r="A453" s="273">
        <v>155</v>
      </c>
      <c r="B453" s="274">
        <v>47</v>
      </c>
      <c r="C453" s="278" t="s">
        <v>131</v>
      </c>
      <c r="D453" s="275" t="s">
        <v>434</v>
      </c>
      <c r="E453" s="275" t="s">
        <v>435</v>
      </c>
      <c r="F453" s="275" t="s">
        <v>436</v>
      </c>
      <c r="G453" s="275" t="s">
        <v>437</v>
      </c>
      <c r="H453" s="275" t="s">
        <v>438</v>
      </c>
      <c r="I453" s="275" t="s">
        <v>439</v>
      </c>
      <c r="J453" s="275" t="s">
        <v>440</v>
      </c>
      <c r="K453" s="275" t="s">
        <v>441</v>
      </c>
      <c r="L453" s="275" t="s">
        <v>442</v>
      </c>
      <c r="M453" s="275" t="s">
        <v>443</v>
      </c>
      <c r="N453" s="275" t="s">
        <v>444</v>
      </c>
      <c r="O453" s="275" t="s">
        <v>445</v>
      </c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</row>
    <row r="454" spans="1:27">
      <c r="A454" s="273"/>
      <c r="B454" s="274"/>
      <c r="C454" s="278"/>
      <c r="D454" s="275">
        <v>0.02</v>
      </c>
      <c r="E454" s="275">
        <v>0.114</v>
      </c>
      <c r="F454" s="275">
        <v>8.8999999999999996E-2</v>
      </c>
      <c r="G454" s="275">
        <v>9.2999999999999999E-2</v>
      </c>
      <c r="H454" s="275">
        <v>0.33200000000000002</v>
      </c>
      <c r="I454" s="275">
        <v>0.31900000000000001</v>
      </c>
      <c r="J454" s="275">
        <v>0.32900000000000001</v>
      </c>
      <c r="K454" s="275">
        <v>0.27300000000000002</v>
      </c>
      <c r="L454" s="275">
        <v>0.27500000000000002</v>
      </c>
      <c r="M454" s="275">
        <v>0.82499999999999996</v>
      </c>
      <c r="N454" s="275">
        <v>0.86399999999999999</v>
      </c>
      <c r="O454" s="275">
        <v>0.88800000000000001</v>
      </c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</row>
    <row r="455" spans="1:27">
      <c r="A455" s="273"/>
      <c r="B455" s="274"/>
      <c r="C455" s="278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</row>
    <row r="456" spans="1:27">
      <c r="A456" s="273">
        <v>156</v>
      </c>
      <c r="B456" s="274">
        <v>47</v>
      </c>
      <c r="C456" s="278" t="s">
        <v>132</v>
      </c>
      <c r="D456" s="275" t="s">
        <v>434</v>
      </c>
      <c r="E456" s="275" t="s">
        <v>435</v>
      </c>
      <c r="F456" s="275" t="s">
        <v>436</v>
      </c>
      <c r="G456" s="275" t="s">
        <v>437</v>
      </c>
      <c r="H456" s="275" t="s">
        <v>438</v>
      </c>
      <c r="I456" s="275" t="s">
        <v>439</v>
      </c>
      <c r="J456" s="275" t="s">
        <v>440</v>
      </c>
      <c r="K456" s="275" t="s">
        <v>441</v>
      </c>
      <c r="L456" s="275" t="s">
        <v>442</v>
      </c>
      <c r="M456" s="275" t="s">
        <v>443</v>
      </c>
      <c r="N456" s="275" t="s">
        <v>444</v>
      </c>
      <c r="O456" s="275" t="s">
        <v>445</v>
      </c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</row>
    <row r="457" spans="1:27">
      <c r="A457" s="273"/>
      <c r="B457" s="274"/>
      <c r="C457" s="278"/>
      <c r="D457" s="275">
        <v>0.02</v>
      </c>
      <c r="E457" s="275">
        <v>0.114</v>
      </c>
      <c r="F457" s="275">
        <v>8.8999999999999996E-2</v>
      </c>
      <c r="G457" s="275">
        <v>9.2999999999999999E-2</v>
      </c>
      <c r="H457" s="275">
        <v>0.33200000000000002</v>
      </c>
      <c r="I457" s="275">
        <v>0.31900000000000001</v>
      </c>
      <c r="J457" s="275">
        <v>0.32900000000000001</v>
      </c>
      <c r="K457" s="275">
        <v>0.27300000000000002</v>
      </c>
      <c r="L457" s="275">
        <v>0.27500000000000002</v>
      </c>
      <c r="M457" s="275">
        <v>0.82399999999999995</v>
      </c>
      <c r="N457" s="275">
        <v>0.86299999999999999</v>
      </c>
      <c r="O457" s="275">
        <v>0.88600000000000001</v>
      </c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</row>
    <row r="458" spans="1:27">
      <c r="A458" s="273"/>
      <c r="B458" s="274"/>
      <c r="C458" s="278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</row>
    <row r="459" spans="1:27">
      <c r="A459" s="273">
        <v>157</v>
      </c>
      <c r="B459" s="274">
        <v>47</v>
      </c>
      <c r="C459" s="278" t="s">
        <v>133</v>
      </c>
      <c r="D459" s="275" t="s">
        <v>434</v>
      </c>
      <c r="E459" s="275" t="s">
        <v>435</v>
      </c>
      <c r="F459" s="275" t="s">
        <v>436</v>
      </c>
      <c r="G459" s="275" t="s">
        <v>437</v>
      </c>
      <c r="H459" s="275" t="s">
        <v>438</v>
      </c>
      <c r="I459" s="275" t="s">
        <v>439</v>
      </c>
      <c r="J459" s="275" t="s">
        <v>440</v>
      </c>
      <c r="K459" s="275" t="s">
        <v>441</v>
      </c>
      <c r="L459" s="275" t="s">
        <v>442</v>
      </c>
      <c r="M459" s="275" t="s">
        <v>443</v>
      </c>
      <c r="N459" s="275" t="s">
        <v>444</v>
      </c>
      <c r="O459" s="275" t="s">
        <v>445</v>
      </c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</row>
    <row r="460" spans="1:27">
      <c r="A460" s="273"/>
      <c r="B460" s="274"/>
      <c r="C460" s="278"/>
      <c r="D460" s="275">
        <v>0.02</v>
      </c>
      <c r="E460" s="275">
        <v>0.114</v>
      </c>
      <c r="F460" s="275">
        <v>8.8999999999999996E-2</v>
      </c>
      <c r="G460" s="275">
        <v>9.2999999999999999E-2</v>
      </c>
      <c r="H460" s="275">
        <v>0.33200000000000002</v>
      </c>
      <c r="I460" s="275">
        <v>0.31900000000000001</v>
      </c>
      <c r="J460" s="275">
        <v>0.32800000000000001</v>
      </c>
      <c r="K460" s="275">
        <v>0.27300000000000002</v>
      </c>
      <c r="L460" s="275">
        <v>0.27500000000000002</v>
      </c>
      <c r="M460" s="275">
        <v>0.82299999999999995</v>
      </c>
      <c r="N460" s="275">
        <v>0.86</v>
      </c>
      <c r="O460" s="275">
        <v>0.88300000000000001</v>
      </c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</row>
    <row r="461" spans="1:27">
      <c r="A461" s="273"/>
      <c r="B461" s="274"/>
      <c r="C461" s="278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</row>
    <row r="462" spans="1:27">
      <c r="A462" s="273">
        <v>158</v>
      </c>
      <c r="B462" s="274">
        <v>48</v>
      </c>
      <c r="C462" s="278" t="s">
        <v>350</v>
      </c>
      <c r="D462" s="275" t="s">
        <v>434</v>
      </c>
      <c r="E462" s="275" t="s">
        <v>435</v>
      </c>
      <c r="F462" s="275" t="s">
        <v>436</v>
      </c>
      <c r="G462" s="275" t="s">
        <v>437</v>
      </c>
      <c r="H462" s="275" t="s">
        <v>438</v>
      </c>
      <c r="I462" s="275" t="s">
        <v>439</v>
      </c>
      <c r="J462" s="275" t="s">
        <v>440</v>
      </c>
      <c r="K462" s="275" t="s">
        <v>441</v>
      </c>
      <c r="L462" s="275" t="s">
        <v>442</v>
      </c>
      <c r="M462" s="275" t="s">
        <v>443</v>
      </c>
      <c r="N462" s="275" t="s">
        <v>444</v>
      </c>
      <c r="O462" s="275" t="s">
        <v>445</v>
      </c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</row>
    <row r="463" spans="1:27">
      <c r="A463" s="273"/>
      <c r="B463" s="274"/>
      <c r="C463" s="278"/>
      <c r="D463" s="275">
        <v>0.02</v>
      </c>
      <c r="E463" s="275">
        <v>0.111</v>
      </c>
      <c r="F463" s="275">
        <v>8.5999999999999993E-2</v>
      </c>
      <c r="G463" s="275">
        <v>0.09</v>
      </c>
      <c r="H463" s="275">
        <v>0.32300000000000001</v>
      </c>
      <c r="I463" s="275">
        <v>0.31</v>
      </c>
      <c r="J463" s="275">
        <v>0.32</v>
      </c>
      <c r="K463" s="275">
        <v>0.26500000000000001</v>
      </c>
      <c r="L463" s="275">
        <v>0.26700000000000002</v>
      </c>
      <c r="M463" s="275">
        <v>0.79800000000000004</v>
      </c>
      <c r="N463" s="275">
        <v>0.83299999999999996</v>
      </c>
      <c r="O463" s="275">
        <v>0.85599999999999998</v>
      </c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</row>
    <row r="464" spans="1:27">
      <c r="A464" s="273"/>
      <c r="B464" s="274"/>
      <c r="C464" s="278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</row>
    <row r="465" spans="1:27">
      <c r="A465" s="273">
        <v>159</v>
      </c>
      <c r="B465" s="274">
        <v>49</v>
      </c>
      <c r="C465" s="278" t="s">
        <v>134</v>
      </c>
      <c r="D465" s="275" t="s">
        <v>434</v>
      </c>
      <c r="E465" s="275" t="s">
        <v>435</v>
      </c>
      <c r="F465" s="275" t="s">
        <v>436</v>
      </c>
      <c r="G465" s="275" t="s">
        <v>437</v>
      </c>
      <c r="H465" s="275" t="s">
        <v>438</v>
      </c>
      <c r="I465" s="275" t="s">
        <v>439</v>
      </c>
      <c r="J465" s="275" t="s">
        <v>440</v>
      </c>
      <c r="K465" s="275" t="s">
        <v>441</v>
      </c>
      <c r="L465" s="275" t="s">
        <v>442</v>
      </c>
      <c r="M465" s="275" t="s">
        <v>443</v>
      </c>
      <c r="N465" s="275" t="s">
        <v>444</v>
      </c>
      <c r="O465" s="275" t="s">
        <v>445</v>
      </c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</row>
    <row r="466" spans="1:27">
      <c r="A466" s="273"/>
      <c r="B466" s="274"/>
      <c r="C466" s="278"/>
      <c r="D466" s="275">
        <v>1.9E-2</v>
      </c>
      <c r="E466" s="275">
        <v>0.109</v>
      </c>
      <c r="F466" s="275">
        <v>8.4000000000000005E-2</v>
      </c>
      <c r="G466" s="275">
        <v>8.7999999999999995E-2</v>
      </c>
      <c r="H466" s="275">
        <v>0.315</v>
      </c>
      <c r="I466" s="275">
        <v>0.30199999999999999</v>
      </c>
      <c r="J466" s="275">
        <v>0.312</v>
      </c>
      <c r="K466" s="275">
        <v>0.25700000000000001</v>
      </c>
      <c r="L466" s="275">
        <v>0.26</v>
      </c>
      <c r="M466" s="275">
        <v>0.77100000000000002</v>
      </c>
      <c r="N466" s="275">
        <v>0.80300000000000005</v>
      </c>
      <c r="O466" s="275">
        <v>0.82599999999999996</v>
      </c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</row>
    <row r="467" spans="1:27">
      <c r="A467" s="273"/>
      <c r="B467" s="274"/>
      <c r="C467" s="278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</row>
    <row r="468" spans="1:27">
      <c r="A468" s="273">
        <v>160</v>
      </c>
      <c r="B468" s="274">
        <v>49</v>
      </c>
      <c r="C468" s="278" t="s">
        <v>135</v>
      </c>
      <c r="D468" s="275" t="s">
        <v>434</v>
      </c>
      <c r="E468" s="275" t="s">
        <v>435</v>
      </c>
      <c r="F468" s="275" t="s">
        <v>436</v>
      </c>
      <c r="G468" s="275" t="s">
        <v>437</v>
      </c>
      <c r="H468" s="275" t="s">
        <v>438</v>
      </c>
      <c r="I468" s="275" t="s">
        <v>439</v>
      </c>
      <c r="J468" s="275" t="s">
        <v>440</v>
      </c>
      <c r="K468" s="275" t="s">
        <v>441</v>
      </c>
      <c r="L468" s="275" t="s">
        <v>442</v>
      </c>
      <c r="M468" s="275" t="s">
        <v>443</v>
      </c>
      <c r="N468" s="275" t="s">
        <v>444</v>
      </c>
      <c r="O468" s="275" t="s">
        <v>445</v>
      </c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</row>
    <row r="469" spans="1:27">
      <c r="A469" s="273"/>
      <c r="B469" s="274"/>
      <c r="C469" s="278"/>
      <c r="D469" s="275">
        <v>1.9E-2</v>
      </c>
      <c r="E469" s="275">
        <v>0.109</v>
      </c>
      <c r="F469" s="275">
        <v>8.4000000000000005E-2</v>
      </c>
      <c r="G469" s="275">
        <v>8.7999999999999995E-2</v>
      </c>
      <c r="H469" s="275">
        <v>0.315</v>
      </c>
      <c r="I469" s="275">
        <v>0.30199999999999999</v>
      </c>
      <c r="J469" s="275">
        <v>0.312</v>
      </c>
      <c r="K469" s="275">
        <v>0.25700000000000001</v>
      </c>
      <c r="L469" s="275">
        <v>0.26</v>
      </c>
      <c r="M469" s="275">
        <v>0.77200000000000002</v>
      </c>
      <c r="N469" s="275">
        <v>0.80300000000000005</v>
      </c>
      <c r="O469" s="275">
        <v>0.82599999999999996</v>
      </c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</row>
    <row r="470" spans="1:27">
      <c r="A470" s="273"/>
      <c r="B470" s="274"/>
      <c r="C470" s="278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</row>
    <row r="471" spans="1:27">
      <c r="A471" s="273">
        <v>161</v>
      </c>
      <c r="B471" s="274">
        <v>49</v>
      </c>
      <c r="C471" s="278" t="s">
        <v>136</v>
      </c>
      <c r="D471" s="275" t="s">
        <v>434</v>
      </c>
      <c r="E471" s="275" t="s">
        <v>435</v>
      </c>
      <c r="F471" s="275" t="s">
        <v>436</v>
      </c>
      <c r="G471" s="275" t="s">
        <v>437</v>
      </c>
      <c r="H471" s="275" t="s">
        <v>438</v>
      </c>
      <c r="I471" s="275" t="s">
        <v>439</v>
      </c>
      <c r="J471" s="275" t="s">
        <v>440</v>
      </c>
      <c r="K471" s="275" t="s">
        <v>441</v>
      </c>
      <c r="L471" s="275" t="s">
        <v>442</v>
      </c>
      <c r="M471" s="275" t="s">
        <v>443</v>
      </c>
      <c r="N471" s="275" t="s">
        <v>444</v>
      </c>
      <c r="O471" s="275" t="s">
        <v>445</v>
      </c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</row>
    <row r="472" spans="1:27">
      <c r="A472" s="273"/>
      <c r="B472" s="274"/>
      <c r="C472" s="278"/>
      <c r="D472" s="275">
        <v>1.9E-2</v>
      </c>
      <c r="E472" s="275">
        <v>0.109</v>
      </c>
      <c r="F472" s="275">
        <v>8.4000000000000005E-2</v>
      </c>
      <c r="G472" s="275">
        <v>8.7999999999999995E-2</v>
      </c>
      <c r="H472" s="275">
        <v>0.315</v>
      </c>
      <c r="I472" s="275">
        <v>0.30199999999999999</v>
      </c>
      <c r="J472" s="275">
        <v>0.312</v>
      </c>
      <c r="K472" s="275">
        <v>0.25700000000000001</v>
      </c>
      <c r="L472" s="275">
        <v>0.26</v>
      </c>
      <c r="M472" s="275">
        <v>0.77200000000000002</v>
      </c>
      <c r="N472" s="275">
        <v>0.80300000000000005</v>
      </c>
      <c r="O472" s="275">
        <v>0.82599999999999996</v>
      </c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</row>
    <row r="473" spans="1:27">
      <c r="A473" s="273"/>
      <c r="B473" s="274"/>
      <c r="C473" s="278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</row>
    <row r="474" spans="1:27">
      <c r="A474" s="273">
        <v>162</v>
      </c>
      <c r="B474" s="274">
        <v>50</v>
      </c>
      <c r="C474" s="278" t="s">
        <v>351</v>
      </c>
      <c r="D474" s="275" t="s">
        <v>434</v>
      </c>
      <c r="E474" s="275" t="s">
        <v>435</v>
      </c>
      <c r="F474" s="275" t="s">
        <v>436</v>
      </c>
      <c r="G474" s="275" t="s">
        <v>437</v>
      </c>
      <c r="H474" s="275" t="s">
        <v>438</v>
      </c>
      <c r="I474" s="275" t="s">
        <v>439</v>
      </c>
      <c r="J474" s="275" t="s">
        <v>440</v>
      </c>
      <c r="K474" s="275" t="s">
        <v>441</v>
      </c>
      <c r="L474" s="275" t="s">
        <v>442</v>
      </c>
      <c r="M474" s="275" t="s">
        <v>443</v>
      </c>
      <c r="N474" s="275" t="s">
        <v>444</v>
      </c>
      <c r="O474" s="275" t="s">
        <v>445</v>
      </c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</row>
    <row r="475" spans="1:27">
      <c r="A475" s="273"/>
      <c r="B475" s="274"/>
      <c r="C475" s="278"/>
      <c r="D475" s="275">
        <v>1.9E-2</v>
      </c>
      <c r="E475" s="275">
        <v>0.106</v>
      </c>
      <c r="F475" s="275">
        <v>8.2000000000000003E-2</v>
      </c>
      <c r="G475" s="275">
        <v>8.5999999999999993E-2</v>
      </c>
      <c r="H475" s="275">
        <v>0.307</v>
      </c>
      <c r="I475" s="275">
        <v>0.29399999999999998</v>
      </c>
      <c r="J475" s="275">
        <v>0.30399999999999999</v>
      </c>
      <c r="K475" s="275">
        <v>0.25</v>
      </c>
      <c r="L475" s="275">
        <v>0.252</v>
      </c>
      <c r="M475" s="275">
        <v>0.747</v>
      </c>
      <c r="N475" s="275">
        <v>0.77400000000000002</v>
      </c>
      <c r="O475" s="275">
        <v>0.79800000000000004</v>
      </c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</row>
    <row r="476" spans="1:27">
      <c r="A476" s="273"/>
      <c r="B476" s="274"/>
      <c r="C476" s="278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</row>
    <row r="477" spans="1:27">
      <c r="A477" s="273">
        <v>163</v>
      </c>
      <c r="B477" s="274">
        <v>50</v>
      </c>
      <c r="C477" s="278" t="s">
        <v>352</v>
      </c>
      <c r="D477" s="275" t="s">
        <v>434</v>
      </c>
      <c r="E477" s="275" t="s">
        <v>435</v>
      </c>
      <c r="F477" s="275" t="s">
        <v>436</v>
      </c>
      <c r="G477" s="275" t="s">
        <v>437</v>
      </c>
      <c r="H477" s="275" t="s">
        <v>438</v>
      </c>
      <c r="I477" s="275" t="s">
        <v>439</v>
      </c>
      <c r="J477" s="275" t="s">
        <v>440</v>
      </c>
      <c r="K477" s="275" t="s">
        <v>441</v>
      </c>
      <c r="L477" s="275" t="s">
        <v>442</v>
      </c>
      <c r="M477" s="275" t="s">
        <v>443</v>
      </c>
      <c r="N477" s="275" t="s">
        <v>444</v>
      </c>
      <c r="O477" s="275" t="s">
        <v>445</v>
      </c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</row>
    <row r="478" spans="1:27">
      <c r="A478" s="273"/>
      <c r="B478" s="274"/>
      <c r="C478" s="278"/>
      <c r="D478" s="275">
        <v>1.9E-2</v>
      </c>
      <c r="E478" s="275">
        <v>0.106</v>
      </c>
      <c r="F478" s="275">
        <v>8.2000000000000003E-2</v>
      </c>
      <c r="G478" s="275">
        <v>8.5999999999999993E-2</v>
      </c>
      <c r="H478" s="275">
        <v>0.307</v>
      </c>
      <c r="I478" s="275">
        <v>0.29399999999999998</v>
      </c>
      <c r="J478" s="275">
        <v>0.30399999999999999</v>
      </c>
      <c r="K478" s="275">
        <v>0.25</v>
      </c>
      <c r="L478" s="275">
        <v>0.252</v>
      </c>
      <c r="M478" s="275">
        <v>0.747</v>
      </c>
      <c r="N478" s="275">
        <v>0.77400000000000002</v>
      </c>
      <c r="O478" s="275">
        <v>0.79700000000000004</v>
      </c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</row>
    <row r="479" spans="1:27">
      <c r="A479" s="273"/>
      <c r="B479" s="274"/>
      <c r="C479" s="278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</row>
    <row r="480" spans="1:27">
      <c r="A480" s="273">
        <v>164</v>
      </c>
      <c r="B480" s="274">
        <v>51</v>
      </c>
      <c r="C480" s="278" t="s">
        <v>353</v>
      </c>
      <c r="D480" s="275" t="s">
        <v>434</v>
      </c>
      <c r="E480" s="275" t="s">
        <v>435</v>
      </c>
      <c r="F480" s="275" t="s">
        <v>436</v>
      </c>
      <c r="G480" s="275" t="s">
        <v>437</v>
      </c>
      <c r="H480" s="275" t="s">
        <v>438</v>
      </c>
      <c r="I480" s="275" t="s">
        <v>439</v>
      </c>
      <c r="J480" s="275" t="s">
        <v>440</v>
      </c>
      <c r="K480" s="275" t="s">
        <v>441</v>
      </c>
      <c r="L480" s="275" t="s">
        <v>442</v>
      </c>
      <c r="M480" s="275" t="s">
        <v>443</v>
      </c>
      <c r="N480" s="275" t="s">
        <v>444</v>
      </c>
      <c r="O480" s="275" t="s">
        <v>445</v>
      </c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</row>
    <row r="481" spans="1:27">
      <c r="A481" s="273"/>
      <c r="B481" s="274"/>
      <c r="C481" s="278"/>
      <c r="D481" s="275">
        <v>1.7999999999999999E-2</v>
      </c>
      <c r="E481" s="275">
        <v>0.104</v>
      </c>
      <c r="F481" s="275">
        <v>0.08</v>
      </c>
      <c r="G481" s="275">
        <v>8.5000000000000006E-2</v>
      </c>
      <c r="H481" s="275">
        <v>0.29899999999999999</v>
      </c>
      <c r="I481" s="275">
        <v>0.28599999999999998</v>
      </c>
      <c r="J481" s="275">
        <v>0.29599999999999999</v>
      </c>
      <c r="K481" s="275">
        <v>0.24299999999999999</v>
      </c>
      <c r="L481" s="275">
        <v>0.246</v>
      </c>
      <c r="M481" s="275">
        <v>0.72299999999999998</v>
      </c>
      <c r="N481" s="275">
        <v>0.748</v>
      </c>
      <c r="O481" s="275">
        <v>0.77100000000000002</v>
      </c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</row>
    <row r="482" spans="1:27">
      <c r="A482" s="273"/>
      <c r="B482" s="274"/>
      <c r="C482" s="278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</row>
    <row r="483" spans="1:27">
      <c r="A483" s="273">
        <v>165</v>
      </c>
      <c r="B483" s="274">
        <v>51</v>
      </c>
      <c r="C483" s="278" t="s">
        <v>354</v>
      </c>
      <c r="D483" s="275" t="s">
        <v>434</v>
      </c>
      <c r="E483" s="275" t="s">
        <v>435</v>
      </c>
      <c r="F483" s="275" t="s">
        <v>436</v>
      </c>
      <c r="G483" s="275" t="s">
        <v>437</v>
      </c>
      <c r="H483" s="275" t="s">
        <v>438</v>
      </c>
      <c r="I483" s="275" t="s">
        <v>439</v>
      </c>
      <c r="J483" s="275" t="s">
        <v>440</v>
      </c>
      <c r="K483" s="275" t="s">
        <v>441</v>
      </c>
      <c r="L483" s="275" t="s">
        <v>442</v>
      </c>
      <c r="M483" s="275" t="s">
        <v>443</v>
      </c>
      <c r="N483" s="275" t="s">
        <v>444</v>
      </c>
      <c r="O483" s="275" t="s">
        <v>445</v>
      </c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</row>
    <row r="484" spans="1:27">
      <c r="A484" s="273"/>
      <c r="B484" s="274"/>
      <c r="C484" s="278"/>
      <c r="D484" s="275">
        <v>1.7999999999999999E-2</v>
      </c>
      <c r="E484" s="275">
        <v>0.104</v>
      </c>
      <c r="F484" s="275">
        <v>0.08</v>
      </c>
      <c r="G484" s="275">
        <v>8.5000000000000006E-2</v>
      </c>
      <c r="H484" s="275">
        <v>0.29899999999999999</v>
      </c>
      <c r="I484" s="275">
        <v>0.28599999999999998</v>
      </c>
      <c r="J484" s="275">
        <v>0.29599999999999999</v>
      </c>
      <c r="K484" s="275">
        <v>0.24299999999999999</v>
      </c>
      <c r="L484" s="275">
        <v>0.246</v>
      </c>
      <c r="M484" s="275">
        <v>0.72399999999999998</v>
      </c>
      <c r="N484" s="275">
        <v>0.748</v>
      </c>
      <c r="O484" s="275">
        <v>0.77100000000000002</v>
      </c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</row>
    <row r="485" spans="1:27">
      <c r="A485" s="273"/>
      <c r="B485" s="274"/>
      <c r="C485" s="278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</row>
    <row r="486" spans="1:27">
      <c r="A486" s="273">
        <v>166</v>
      </c>
      <c r="B486" s="274">
        <v>52</v>
      </c>
      <c r="C486" s="278" t="s">
        <v>355</v>
      </c>
      <c r="D486" s="275" t="s">
        <v>434</v>
      </c>
      <c r="E486" s="275" t="s">
        <v>435</v>
      </c>
      <c r="F486" s="275" t="s">
        <v>436</v>
      </c>
      <c r="G486" s="275" t="s">
        <v>437</v>
      </c>
      <c r="H486" s="275" t="s">
        <v>438</v>
      </c>
      <c r="I486" s="275" t="s">
        <v>439</v>
      </c>
      <c r="J486" s="275" t="s">
        <v>440</v>
      </c>
      <c r="K486" s="275" t="s">
        <v>441</v>
      </c>
      <c r="L486" s="275" t="s">
        <v>442</v>
      </c>
      <c r="M486" s="275" t="s">
        <v>443</v>
      </c>
      <c r="N486" s="275" t="s">
        <v>444</v>
      </c>
      <c r="O486" s="275" t="s">
        <v>445</v>
      </c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</row>
    <row r="487" spans="1:27">
      <c r="A487" s="273"/>
      <c r="B487" s="274"/>
      <c r="C487" s="278"/>
      <c r="D487" s="275">
        <v>1.7999999999999999E-2</v>
      </c>
      <c r="E487" s="275">
        <v>0.10100000000000001</v>
      </c>
      <c r="F487" s="275">
        <v>7.8E-2</v>
      </c>
      <c r="G487" s="275">
        <v>8.3000000000000004E-2</v>
      </c>
      <c r="H487" s="275">
        <v>0.29199999999999998</v>
      </c>
      <c r="I487" s="275">
        <v>0.27900000000000003</v>
      </c>
      <c r="J487" s="275">
        <v>0.28899999999999998</v>
      </c>
      <c r="K487" s="275">
        <v>0.23599999999999999</v>
      </c>
      <c r="L487" s="275">
        <v>0.23899999999999999</v>
      </c>
      <c r="M487" s="275">
        <v>0.70099999999999996</v>
      </c>
      <c r="N487" s="275">
        <v>0.72299999999999998</v>
      </c>
      <c r="O487" s="275">
        <v>0.746</v>
      </c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</row>
    <row r="488" spans="1:27">
      <c r="A488" s="273"/>
      <c r="B488" s="274"/>
      <c r="C488" s="278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</row>
    <row r="489" spans="1:27">
      <c r="A489" s="273">
        <v>167</v>
      </c>
      <c r="B489" s="274">
        <v>52</v>
      </c>
      <c r="C489" s="278" t="s">
        <v>356</v>
      </c>
      <c r="D489" s="275" t="s">
        <v>434</v>
      </c>
      <c r="E489" s="275" t="s">
        <v>435</v>
      </c>
      <c r="F489" s="275" t="s">
        <v>436</v>
      </c>
      <c r="G489" s="275" t="s">
        <v>437</v>
      </c>
      <c r="H489" s="275" t="s">
        <v>438</v>
      </c>
      <c r="I489" s="275" t="s">
        <v>439</v>
      </c>
      <c r="J489" s="275" t="s">
        <v>440</v>
      </c>
      <c r="K489" s="275" t="s">
        <v>441</v>
      </c>
      <c r="L489" s="275" t="s">
        <v>442</v>
      </c>
      <c r="M489" s="275" t="s">
        <v>443</v>
      </c>
      <c r="N489" s="275" t="s">
        <v>444</v>
      </c>
      <c r="O489" s="275" t="s">
        <v>445</v>
      </c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</row>
    <row r="490" spans="1:27">
      <c r="A490" s="273"/>
      <c r="B490" s="274"/>
      <c r="C490" s="278"/>
      <c r="D490" s="275">
        <v>1.7999999999999999E-2</v>
      </c>
      <c r="E490" s="275">
        <v>0.10100000000000001</v>
      </c>
      <c r="F490" s="275">
        <v>7.8E-2</v>
      </c>
      <c r="G490" s="275">
        <v>8.3000000000000004E-2</v>
      </c>
      <c r="H490" s="275">
        <v>0.29199999999999998</v>
      </c>
      <c r="I490" s="275">
        <v>0.27900000000000003</v>
      </c>
      <c r="J490" s="275">
        <v>0.28899999999999998</v>
      </c>
      <c r="K490" s="275">
        <v>0.23599999999999999</v>
      </c>
      <c r="L490" s="275">
        <v>0.23899999999999999</v>
      </c>
      <c r="M490" s="275">
        <v>0.70099999999999996</v>
      </c>
      <c r="N490" s="275">
        <v>0.72299999999999998</v>
      </c>
      <c r="O490" s="275">
        <v>0.746</v>
      </c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</row>
    <row r="491" spans="1:27">
      <c r="A491" s="273"/>
      <c r="B491" s="274"/>
      <c r="C491" s="278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</row>
    <row r="492" spans="1:27">
      <c r="A492" s="273">
        <v>168</v>
      </c>
      <c r="B492" s="274">
        <v>52</v>
      </c>
      <c r="C492" s="278" t="s">
        <v>137</v>
      </c>
      <c r="D492" s="275" t="s">
        <v>434</v>
      </c>
      <c r="E492" s="275" t="s">
        <v>435</v>
      </c>
      <c r="F492" s="275" t="s">
        <v>436</v>
      </c>
      <c r="G492" s="275" t="s">
        <v>437</v>
      </c>
      <c r="H492" s="275" t="s">
        <v>438</v>
      </c>
      <c r="I492" s="275" t="s">
        <v>439</v>
      </c>
      <c r="J492" s="275" t="s">
        <v>440</v>
      </c>
      <c r="K492" s="275" t="s">
        <v>441</v>
      </c>
      <c r="L492" s="275" t="s">
        <v>442</v>
      </c>
      <c r="M492" s="275" t="s">
        <v>443</v>
      </c>
      <c r="N492" s="275" t="s">
        <v>444</v>
      </c>
      <c r="O492" s="275" t="s">
        <v>445</v>
      </c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</row>
    <row r="493" spans="1:27">
      <c r="A493" s="273"/>
      <c r="B493" s="274"/>
      <c r="C493" s="278"/>
      <c r="D493" s="275">
        <v>1.7999999999999999E-2</v>
      </c>
      <c r="E493" s="275">
        <v>0.10100000000000001</v>
      </c>
      <c r="F493" s="275">
        <v>7.8E-2</v>
      </c>
      <c r="G493" s="275">
        <v>8.3000000000000004E-2</v>
      </c>
      <c r="H493" s="275">
        <v>0.29199999999999998</v>
      </c>
      <c r="I493" s="275">
        <v>0.27900000000000003</v>
      </c>
      <c r="J493" s="275">
        <v>0.28899999999999998</v>
      </c>
      <c r="K493" s="275">
        <v>0.23599999999999999</v>
      </c>
      <c r="L493" s="275">
        <v>0.23899999999999999</v>
      </c>
      <c r="M493" s="275">
        <v>0.70099999999999996</v>
      </c>
      <c r="N493" s="275">
        <v>0.72299999999999998</v>
      </c>
      <c r="O493" s="275">
        <v>0.746</v>
      </c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</row>
    <row r="494" spans="1:27">
      <c r="A494" s="273"/>
      <c r="B494" s="274"/>
      <c r="C494" s="278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</row>
    <row r="495" spans="1:27">
      <c r="A495" s="273">
        <v>169</v>
      </c>
      <c r="B495" s="274">
        <v>52</v>
      </c>
      <c r="C495" s="278" t="s">
        <v>138</v>
      </c>
      <c r="D495" s="275" t="s">
        <v>434</v>
      </c>
      <c r="E495" s="275" t="s">
        <v>435</v>
      </c>
      <c r="F495" s="275" t="s">
        <v>436</v>
      </c>
      <c r="G495" s="275" t="s">
        <v>437</v>
      </c>
      <c r="H495" s="275" t="s">
        <v>438</v>
      </c>
      <c r="I495" s="275" t="s">
        <v>439</v>
      </c>
      <c r="J495" s="275" t="s">
        <v>440</v>
      </c>
      <c r="K495" s="275" t="s">
        <v>441</v>
      </c>
      <c r="L495" s="275" t="s">
        <v>442</v>
      </c>
      <c r="M495" s="275" t="s">
        <v>443</v>
      </c>
      <c r="N495" s="275" t="s">
        <v>444</v>
      </c>
      <c r="O495" s="275" t="s">
        <v>445</v>
      </c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</row>
    <row r="496" spans="1:27">
      <c r="A496" s="273"/>
      <c r="B496" s="274"/>
      <c r="C496" s="278"/>
      <c r="D496" s="275">
        <v>1.7999999999999999E-2</v>
      </c>
      <c r="E496" s="275">
        <v>0.10100000000000001</v>
      </c>
      <c r="F496" s="275">
        <v>7.8E-2</v>
      </c>
      <c r="G496" s="275">
        <v>8.3000000000000004E-2</v>
      </c>
      <c r="H496" s="275">
        <v>0.29199999999999998</v>
      </c>
      <c r="I496" s="275">
        <v>0.27900000000000003</v>
      </c>
      <c r="J496" s="275">
        <v>0.28899999999999998</v>
      </c>
      <c r="K496" s="275">
        <v>0.23599999999999999</v>
      </c>
      <c r="L496" s="275">
        <v>0.23899999999999999</v>
      </c>
      <c r="M496" s="275">
        <v>0.70199999999999996</v>
      </c>
      <c r="N496" s="275">
        <v>0.72299999999999998</v>
      </c>
      <c r="O496" s="275">
        <v>0.745</v>
      </c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</row>
    <row r="497" spans="1:27">
      <c r="A497" s="273"/>
      <c r="B497" s="274"/>
      <c r="C497" s="278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</row>
    <row r="498" spans="1:27">
      <c r="A498" s="273">
        <v>170</v>
      </c>
      <c r="B498" s="274">
        <v>53</v>
      </c>
      <c r="C498" s="278" t="s">
        <v>139</v>
      </c>
      <c r="D498" s="275" t="s">
        <v>434</v>
      </c>
      <c r="E498" s="275" t="s">
        <v>435</v>
      </c>
      <c r="F498" s="275" t="s">
        <v>436</v>
      </c>
      <c r="G498" s="275" t="s">
        <v>437</v>
      </c>
      <c r="H498" s="275" t="s">
        <v>438</v>
      </c>
      <c r="I498" s="275" t="s">
        <v>439</v>
      </c>
      <c r="J498" s="275" t="s">
        <v>440</v>
      </c>
      <c r="K498" s="275" t="s">
        <v>441</v>
      </c>
      <c r="L498" s="275" t="s">
        <v>442</v>
      </c>
      <c r="M498" s="275" t="s">
        <v>443</v>
      </c>
      <c r="N498" s="275" t="s">
        <v>444</v>
      </c>
      <c r="O498" s="275" t="s">
        <v>445</v>
      </c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</row>
    <row r="499" spans="1:27">
      <c r="A499" s="273"/>
      <c r="B499" s="274"/>
      <c r="C499" s="278"/>
      <c r="D499" s="275">
        <v>1.7999999999999999E-2</v>
      </c>
      <c r="E499" s="275">
        <v>9.9000000000000005E-2</v>
      </c>
      <c r="F499" s="275">
        <v>7.6999999999999999E-2</v>
      </c>
      <c r="G499" s="275">
        <v>8.1000000000000003E-2</v>
      </c>
      <c r="H499" s="275">
        <v>0.28499999999999998</v>
      </c>
      <c r="I499" s="275">
        <v>0.27200000000000002</v>
      </c>
      <c r="J499" s="275">
        <v>0.28199999999999997</v>
      </c>
      <c r="K499" s="275">
        <v>0.23</v>
      </c>
      <c r="L499" s="275">
        <v>0.23300000000000001</v>
      </c>
      <c r="M499" s="275">
        <v>0.68100000000000005</v>
      </c>
      <c r="N499" s="275">
        <v>0.7</v>
      </c>
      <c r="O499" s="275">
        <v>0.72299999999999998</v>
      </c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</row>
    <row r="500" spans="1:27">
      <c r="A500" s="273"/>
      <c r="B500" s="274"/>
      <c r="C500" s="278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</row>
    <row r="501" spans="1:27">
      <c r="A501" s="273">
        <v>171</v>
      </c>
      <c r="B501" s="274">
        <v>53</v>
      </c>
      <c r="C501" s="278" t="s">
        <v>357</v>
      </c>
      <c r="D501" s="275" t="s">
        <v>434</v>
      </c>
      <c r="E501" s="275" t="s">
        <v>435</v>
      </c>
      <c r="F501" s="275" t="s">
        <v>436</v>
      </c>
      <c r="G501" s="275" t="s">
        <v>437</v>
      </c>
      <c r="H501" s="275" t="s">
        <v>438</v>
      </c>
      <c r="I501" s="275" t="s">
        <v>439</v>
      </c>
      <c r="J501" s="275" t="s">
        <v>440</v>
      </c>
      <c r="K501" s="275" t="s">
        <v>441</v>
      </c>
      <c r="L501" s="275" t="s">
        <v>442</v>
      </c>
      <c r="M501" s="275" t="s">
        <v>443</v>
      </c>
      <c r="N501" s="275" t="s">
        <v>444</v>
      </c>
      <c r="O501" s="275" t="s">
        <v>445</v>
      </c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</row>
    <row r="502" spans="1:27">
      <c r="A502" s="273"/>
      <c r="B502" s="274"/>
      <c r="C502" s="278"/>
      <c r="D502" s="275">
        <v>1.7999999999999999E-2</v>
      </c>
      <c r="E502" s="275">
        <v>9.9000000000000005E-2</v>
      </c>
      <c r="F502" s="275">
        <v>7.6999999999999999E-2</v>
      </c>
      <c r="G502" s="275">
        <v>8.1000000000000003E-2</v>
      </c>
      <c r="H502" s="275">
        <v>0.28499999999999998</v>
      </c>
      <c r="I502" s="275">
        <v>0.27200000000000002</v>
      </c>
      <c r="J502" s="275">
        <v>0.28199999999999997</v>
      </c>
      <c r="K502" s="275">
        <v>0.23</v>
      </c>
      <c r="L502" s="275">
        <v>0.23300000000000001</v>
      </c>
      <c r="M502" s="275">
        <v>0.68</v>
      </c>
      <c r="N502" s="275">
        <v>0.7</v>
      </c>
      <c r="O502" s="275">
        <v>0.72299999999999998</v>
      </c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</row>
    <row r="503" spans="1:27">
      <c r="A503" s="273"/>
      <c r="B503" s="274"/>
      <c r="C503" s="278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</row>
    <row r="504" spans="1:27">
      <c r="A504" s="273">
        <v>172</v>
      </c>
      <c r="B504" s="274">
        <v>53</v>
      </c>
      <c r="C504" s="278" t="s">
        <v>358</v>
      </c>
      <c r="D504" s="275" t="s">
        <v>434</v>
      </c>
      <c r="E504" s="275" t="s">
        <v>435</v>
      </c>
      <c r="F504" s="275" t="s">
        <v>436</v>
      </c>
      <c r="G504" s="275" t="s">
        <v>437</v>
      </c>
      <c r="H504" s="275" t="s">
        <v>438</v>
      </c>
      <c r="I504" s="275" t="s">
        <v>439</v>
      </c>
      <c r="J504" s="275" t="s">
        <v>440</v>
      </c>
      <c r="K504" s="275" t="s">
        <v>441</v>
      </c>
      <c r="L504" s="275" t="s">
        <v>442</v>
      </c>
      <c r="M504" s="275" t="s">
        <v>443</v>
      </c>
      <c r="N504" s="275" t="s">
        <v>444</v>
      </c>
      <c r="O504" s="275" t="s">
        <v>445</v>
      </c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</row>
    <row r="505" spans="1:27">
      <c r="A505" s="273"/>
      <c r="B505" s="274"/>
      <c r="C505" s="278"/>
      <c r="D505" s="275">
        <v>1.7999999999999999E-2</v>
      </c>
      <c r="E505" s="275">
        <v>9.9000000000000005E-2</v>
      </c>
      <c r="F505" s="275">
        <v>7.6999999999999999E-2</v>
      </c>
      <c r="G505" s="275">
        <v>8.1000000000000003E-2</v>
      </c>
      <c r="H505" s="275">
        <v>0.28499999999999998</v>
      </c>
      <c r="I505" s="275">
        <v>0.27200000000000002</v>
      </c>
      <c r="J505" s="275">
        <v>0.28199999999999997</v>
      </c>
      <c r="K505" s="275">
        <v>0.23</v>
      </c>
      <c r="L505" s="275">
        <v>0.23300000000000001</v>
      </c>
      <c r="M505" s="275">
        <v>0.68</v>
      </c>
      <c r="N505" s="275">
        <v>0.7</v>
      </c>
      <c r="O505" s="275">
        <v>0.72299999999999998</v>
      </c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</row>
    <row r="506" spans="1:27">
      <c r="A506" s="273"/>
      <c r="B506" s="274"/>
      <c r="C506" s="278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</row>
    <row r="507" spans="1:27">
      <c r="A507" s="273">
        <v>173</v>
      </c>
      <c r="B507" s="274">
        <v>53</v>
      </c>
      <c r="C507" s="278" t="s">
        <v>359</v>
      </c>
      <c r="D507" s="275" t="s">
        <v>434</v>
      </c>
      <c r="E507" s="275" t="s">
        <v>435</v>
      </c>
      <c r="F507" s="275" t="s">
        <v>436</v>
      </c>
      <c r="G507" s="275" t="s">
        <v>437</v>
      </c>
      <c r="H507" s="275" t="s">
        <v>438</v>
      </c>
      <c r="I507" s="275" t="s">
        <v>439</v>
      </c>
      <c r="J507" s="275" t="s">
        <v>440</v>
      </c>
      <c r="K507" s="275" t="s">
        <v>441</v>
      </c>
      <c r="L507" s="275" t="s">
        <v>442</v>
      </c>
      <c r="M507" s="275" t="s">
        <v>443</v>
      </c>
      <c r="N507" s="275" t="s">
        <v>444</v>
      </c>
      <c r="O507" s="275" t="s">
        <v>445</v>
      </c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</row>
    <row r="508" spans="1:27">
      <c r="A508" s="273"/>
      <c r="B508" s="274"/>
      <c r="C508" s="278"/>
      <c r="D508" s="275">
        <v>1.7999999999999999E-2</v>
      </c>
      <c r="E508" s="275">
        <v>9.9000000000000005E-2</v>
      </c>
      <c r="F508" s="275">
        <v>7.6999999999999999E-2</v>
      </c>
      <c r="G508" s="275">
        <v>8.1000000000000003E-2</v>
      </c>
      <c r="H508" s="275">
        <v>0.28499999999999998</v>
      </c>
      <c r="I508" s="275">
        <v>0.27200000000000002</v>
      </c>
      <c r="J508" s="275">
        <v>0.28199999999999997</v>
      </c>
      <c r="K508" s="275">
        <v>0.23</v>
      </c>
      <c r="L508" s="275">
        <v>0.23300000000000001</v>
      </c>
      <c r="M508" s="275">
        <v>0.68100000000000005</v>
      </c>
      <c r="N508" s="275">
        <v>0.69899999999999995</v>
      </c>
      <c r="O508" s="275">
        <v>0.72199999999999998</v>
      </c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</row>
    <row r="509" spans="1:27">
      <c r="A509" s="273"/>
      <c r="B509" s="274"/>
      <c r="C509" s="278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</row>
    <row r="510" spans="1:27">
      <c r="A510" s="273">
        <v>174</v>
      </c>
      <c r="B510" s="274">
        <v>53</v>
      </c>
      <c r="C510" s="278" t="s">
        <v>360</v>
      </c>
      <c r="D510" s="275" t="s">
        <v>434</v>
      </c>
      <c r="E510" s="275" t="s">
        <v>435</v>
      </c>
      <c r="F510" s="275" t="s">
        <v>436</v>
      </c>
      <c r="G510" s="275" t="s">
        <v>437</v>
      </c>
      <c r="H510" s="275" t="s">
        <v>438</v>
      </c>
      <c r="I510" s="275" t="s">
        <v>439</v>
      </c>
      <c r="J510" s="275" t="s">
        <v>440</v>
      </c>
      <c r="K510" s="275" t="s">
        <v>441</v>
      </c>
      <c r="L510" s="275" t="s">
        <v>442</v>
      </c>
      <c r="M510" s="275" t="s">
        <v>443</v>
      </c>
      <c r="N510" s="275" t="s">
        <v>444</v>
      </c>
      <c r="O510" s="275" t="s">
        <v>445</v>
      </c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</row>
    <row r="511" spans="1:27">
      <c r="A511" s="273"/>
      <c r="B511" s="274"/>
      <c r="C511" s="278"/>
      <c r="D511" s="275">
        <v>1.7999999999999999E-2</v>
      </c>
      <c r="E511" s="275">
        <v>9.9000000000000005E-2</v>
      </c>
      <c r="F511" s="275">
        <v>7.6999999999999999E-2</v>
      </c>
      <c r="G511" s="275">
        <v>8.1000000000000003E-2</v>
      </c>
      <c r="H511" s="275">
        <v>0.28499999999999998</v>
      </c>
      <c r="I511" s="275">
        <v>0.27200000000000002</v>
      </c>
      <c r="J511" s="275">
        <v>0.28199999999999997</v>
      </c>
      <c r="K511" s="275">
        <v>0.23</v>
      </c>
      <c r="L511" s="275">
        <v>0.23300000000000001</v>
      </c>
      <c r="M511" s="275">
        <v>0.68100000000000005</v>
      </c>
      <c r="N511" s="275">
        <v>0.7</v>
      </c>
      <c r="O511" s="275">
        <v>0.72299999999999998</v>
      </c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</row>
    <row r="512" spans="1:27">
      <c r="A512" s="273"/>
      <c r="B512" s="274"/>
      <c r="C512" s="278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</row>
    <row r="513" spans="1:27">
      <c r="A513" s="273">
        <v>175</v>
      </c>
      <c r="B513" s="274">
        <v>54</v>
      </c>
      <c r="C513" s="278" t="s">
        <v>361</v>
      </c>
      <c r="D513" s="275" t="s">
        <v>434</v>
      </c>
      <c r="E513" s="275" t="s">
        <v>435</v>
      </c>
      <c r="F513" s="275" t="s">
        <v>436</v>
      </c>
      <c r="G513" s="275" t="s">
        <v>437</v>
      </c>
      <c r="H513" s="275" t="s">
        <v>438</v>
      </c>
      <c r="I513" s="275" t="s">
        <v>439</v>
      </c>
      <c r="J513" s="275" t="s">
        <v>440</v>
      </c>
      <c r="K513" s="275" t="s">
        <v>441</v>
      </c>
      <c r="L513" s="275" t="s">
        <v>442</v>
      </c>
      <c r="M513" s="275" t="s">
        <v>443</v>
      </c>
      <c r="N513" s="275" t="s">
        <v>444</v>
      </c>
      <c r="O513" s="275" t="s">
        <v>445</v>
      </c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</row>
    <row r="514" spans="1:27">
      <c r="A514" s="273"/>
      <c r="B514" s="274"/>
      <c r="C514" s="278"/>
      <c r="D514" s="275">
        <v>1.7000000000000001E-2</v>
      </c>
      <c r="E514" s="275">
        <v>9.7000000000000003E-2</v>
      </c>
      <c r="F514" s="275">
        <v>7.4999999999999997E-2</v>
      </c>
      <c r="G514" s="275">
        <v>7.9000000000000001E-2</v>
      </c>
      <c r="H514" s="275">
        <v>0.27800000000000002</v>
      </c>
      <c r="I514" s="275">
        <v>0.26500000000000001</v>
      </c>
      <c r="J514" s="275">
        <v>0.27600000000000002</v>
      </c>
      <c r="K514" s="275">
        <v>0.224</v>
      </c>
      <c r="L514" s="275">
        <v>0.22700000000000001</v>
      </c>
      <c r="M514" s="275">
        <v>0.66100000000000003</v>
      </c>
      <c r="N514" s="275">
        <v>0.67800000000000005</v>
      </c>
      <c r="O514" s="275">
        <v>0.70099999999999996</v>
      </c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</row>
    <row r="515" spans="1:27">
      <c r="A515" s="273"/>
      <c r="B515" s="274"/>
      <c r="C515" s="278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</row>
    <row r="516" spans="1:27">
      <c r="A516" s="273">
        <v>176</v>
      </c>
      <c r="B516" s="274">
        <v>54</v>
      </c>
      <c r="C516" s="278" t="s">
        <v>362</v>
      </c>
      <c r="D516" s="275" t="s">
        <v>434</v>
      </c>
      <c r="E516" s="275" t="s">
        <v>435</v>
      </c>
      <c r="F516" s="275" t="s">
        <v>436</v>
      </c>
      <c r="G516" s="275" t="s">
        <v>437</v>
      </c>
      <c r="H516" s="275" t="s">
        <v>438</v>
      </c>
      <c r="I516" s="275" t="s">
        <v>439</v>
      </c>
      <c r="J516" s="275" t="s">
        <v>440</v>
      </c>
      <c r="K516" s="275" t="s">
        <v>441</v>
      </c>
      <c r="L516" s="275" t="s">
        <v>442</v>
      </c>
      <c r="M516" s="275" t="s">
        <v>443</v>
      </c>
      <c r="N516" s="275" t="s">
        <v>444</v>
      </c>
      <c r="O516" s="275" t="s">
        <v>445</v>
      </c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</row>
    <row r="517" spans="1:27">
      <c r="A517" s="273"/>
      <c r="B517" s="274"/>
      <c r="C517" s="278"/>
      <c r="D517" s="275">
        <v>1.7000000000000001E-2</v>
      </c>
      <c r="E517" s="275">
        <v>9.7000000000000003E-2</v>
      </c>
      <c r="F517" s="275">
        <v>7.4999999999999997E-2</v>
      </c>
      <c r="G517" s="275">
        <v>7.9000000000000001E-2</v>
      </c>
      <c r="H517" s="275">
        <v>0.27800000000000002</v>
      </c>
      <c r="I517" s="275">
        <v>0.26500000000000001</v>
      </c>
      <c r="J517" s="275">
        <v>0.27600000000000002</v>
      </c>
      <c r="K517" s="275">
        <v>0.224</v>
      </c>
      <c r="L517" s="275">
        <v>0.22700000000000001</v>
      </c>
      <c r="M517" s="275">
        <v>0.66100000000000003</v>
      </c>
      <c r="N517" s="275">
        <v>0.67800000000000005</v>
      </c>
      <c r="O517" s="275">
        <v>0.70099999999999996</v>
      </c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</row>
    <row r="518" spans="1:27">
      <c r="A518" s="273"/>
      <c r="B518" s="274"/>
      <c r="C518" s="278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</row>
    <row r="519" spans="1:27">
      <c r="A519" s="273">
        <v>177</v>
      </c>
      <c r="B519" s="274">
        <v>54</v>
      </c>
      <c r="C519" s="278" t="s">
        <v>363</v>
      </c>
      <c r="D519" s="275" t="s">
        <v>434</v>
      </c>
      <c r="E519" s="275" t="s">
        <v>435</v>
      </c>
      <c r="F519" s="275" t="s">
        <v>436</v>
      </c>
      <c r="G519" s="275" t="s">
        <v>437</v>
      </c>
      <c r="H519" s="275" t="s">
        <v>438</v>
      </c>
      <c r="I519" s="275" t="s">
        <v>439</v>
      </c>
      <c r="J519" s="275" t="s">
        <v>440</v>
      </c>
      <c r="K519" s="275" t="s">
        <v>441</v>
      </c>
      <c r="L519" s="275" t="s">
        <v>442</v>
      </c>
      <c r="M519" s="275" t="s">
        <v>443</v>
      </c>
      <c r="N519" s="275" t="s">
        <v>444</v>
      </c>
      <c r="O519" s="275" t="s">
        <v>445</v>
      </c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</row>
    <row r="520" spans="1:27">
      <c r="A520" s="273"/>
      <c r="B520" s="274"/>
      <c r="C520" s="278"/>
      <c r="D520" s="275">
        <v>1.7000000000000001E-2</v>
      </c>
      <c r="E520" s="275">
        <v>9.7000000000000003E-2</v>
      </c>
      <c r="F520" s="275">
        <v>7.4999999999999997E-2</v>
      </c>
      <c r="G520" s="275">
        <v>7.9000000000000001E-2</v>
      </c>
      <c r="H520" s="275">
        <v>0.27800000000000002</v>
      </c>
      <c r="I520" s="275">
        <v>0.26500000000000001</v>
      </c>
      <c r="J520" s="275">
        <v>0.27600000000000002</v>
      </c>
      <c r="K520" s="275">
        <v>0.224</v>
      </c>
      <c r="L520" s="275">
        <v>0.22700000000000001</v>
      </c>
      <c r="M520" s="275">
        <v>0.66</v>
      </c>
      <c r="N520" s="275">
        <v>0.67800000000000005</v>
      </c>
      <c r="O520" s="275">
        <v>0.7</v>
      </c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</row>
    <row r="521" spans="1:27">
      <c r="A521" s="273"/>
      <c r="B521" s="274"/>
      <c r="C521" s="278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</row>
    <row r="522" spans="1:27">
      <c r="A522" s="273">
        <v>178</v>
      </c>
      <c r="B522" s="274">
        <v>54</v>
      </c>
      <c r="C522" s="278" t="s">
        <v>364</v>
      </c>
      <c r="D522" s="275" t="s">
        <v>434</v>
      </c>
      <c r="E522" s="275" t="s">
        <v>435</v>
      </c>
      <c r="F522" s="275" t="s">
        <v>436</v>
      </c>
      <c r="G522" s="275" t="s">
        <v>437</v>
      </c>
      <c r="H522" s="275" t="s">
        <v>438</v>
      </c>
      <c r="I522" s="275" t="s">
        <v>439</v>
      </c>
      <c r="J522" s="275" t="s">
        <v>440</v>
      </c>
      <c r="K522" s="275" t="s">
        <v>441</v>
      </c>
      <c r="L522" s="275" t="s">
        <v>442</v>
      </c>
      <c r="M522" s="275" t="s">
        <v>443</v>
      </c>
      <c r="N522" s="275" t="s">
        <v>444</v>
      </c>
      <c r="O522" s="275" t="s">
        <v>445</v>
      </c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</row>
    <row r="523" spans="1:27">
      <c r="A523" s="273"/>
      <c r="B523" s="274"/>
      <c r="C523" s="278"/>
      <c r="D523" s="275">
        <v>1.7000000000000001E-2</v>
      </c>
      <c r="E523" s="275">
        <v>9.7000000000000003E-2</v>
      </c>
      <c r="F523" s="275">
        <v>7.4999999999999997E-2</v>
      </c>
      <c r="G523" s="275">
        <v>7.9000000000000001E-2</v>
      </c>
      <c r="H523" s="275">
        <v>0.27800000000000002</v>
      </c>
      <c r="I523" s="275">
        <v>0.26500000000000001</v>
      </c>
      <c r="J523" s="275">
        <v>0.27600000000000002</v>
      </c>
      <c r="K523" s="275">
        <v>0.224</v>
      </c>
      <c r="L523" s="275">
        <v>0.22700000000000001</v>
      </c>
      <c r="M523" s="275">
        <v>0.66100000000000003</v>
      </c>
      <c r="N523" s="275">
        <v>0.67700000000000005</v>
      </c>
      <c r="O523" s="275">
        <v>0.69899999999999995</v>
      </c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</row>
    <row r="524" spans="1:27">
      <c r="A524" s="273"/>
      <c r="B524" s="274"/>
      <c r="C524" s="278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</row>
    <row r="525" spans="1:27">
      <c r="A525" s="273">
        <v>179</v>
      </c>
      <c r="B525" s="274">
        <v>55</v>
      </c>
      <c r="C525" s="278" t="s">
        <v>140</v>
      </c>
      <c r="D525" s="275" t="s">
        <v>434</v>
      </c>
      <c r="E525" s="275" t="s">
        <v>435</v>
      </c>
      <c r="F525" s="275" t="s">
        <v>436</v>
      </c>
      <c r="G525" s="275" t="s">
        <v>437</v>
      </c>
      <c r="H525" s="275" t="s">
        <v>438</v>
      </c>
      <c r="I525" s="275" t="s">
        <v>439</v>
      </c>
      <c r="J525" s="275" t="s">
        <v>440</v>
      </c>
      <c r="K525" s="275" t="s">
        <v>441</v>
      </c>
      <c r="L525" s="275" t="s">
        <v>442</v>
      </c>
      <c r="M525" s="275" t="s">
        <v>443</v>
      </c>
      <c r="N525" s="275" t="s">
        <v>444</v>
      </c>
      <c r="O525" s="275" t="s">
        <v>445</v>
      </c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</row>
    <row r="526" spans="1:27">
      <c r="A526" s="273"/>
      <c r="B526" s="274"/>
      <c r="C526" s="278"/>
      <c r="D526" s="275">
        <v>1.7000000000000001E-2</v>
      </c>
      <c r="E526" s="275">
        <v>9.5000000000000001E-2</v>
      </c>
      <c r="F526" s="275">
        <v>7.2999999999999995E-2</v>
      </c>
      <c r="G526" s="275">
        <v>7.8E-2</v>
      </c>
      <c r="H526" s="275">
        <v>0.27200000000000002</v>
      </c>
      <c r="I526" s="275">
        <v>0.25900000000000001</v>
      </c>
      <c r="J526" s="275">
        <v>0.27</v>
      </c>
      <c r="K526" s="275">
        <v>0.219</v>
      </c>
      <c r="L526" s="275">
        <v>0.222</v>
      </c>
      <c r="M526" s="275">
        <v>0.64200000000000002</v>
      </c>
      <c r="N526" s="275">
        <v>0.65700000000000003</v>
      </c>
      <c r="O526" s="275">
        <v>0.68</v>
      </c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</row>
    <row r="527" spans="1:27">
      <c r="A527" s="273"/>
      <c r="B527" s="274"/>
      <c r="C527" s="278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</row>
    <row r="528" spans="1:27">
      <c r="A528" s="273">
        <v>180</v>
      </c>
      <c r="B528" s="274">
        <v>56</v>
      </c>
      <c r="C528" s="278" t="s">
        <v>365</v>
      </c>
      <c r="D528" s="275" t="s">
        <v>434</v>
      </c>
      <c r="E528" s="275" t="s">
        <v>435</v>
      </c>
      <c r="F528" s="275" t="s">
        <v>436</v>
      </c>
      <c r="G528" s="275" t="s">
        <v>437</v>
      </c>
      <c r="H528" s="275" t="s">
        <v>438</v>
      </c>
      <c r="I528" s="275" t="s">
        <v>439</v>
      </c>
      <c r="J528" s="275" t="s">
        <v>440</v>
      </c>
      <c r="K528" s="275" t="s">
        <v>441</v>
      </c>
      <c r="L528" s="275" t="s">
        <v>442</v>
      </c>
      <c r="M528" s="275" t="s">
        <v>443</v>
      </c>
      <c r="N528" s="275" t="s">
        <v>444</v>
      </c>
      <c r="O528" s="275" t="s">
        <v>445</v>
      </c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</row>
    <row r="529" spans="1:27">
      <c r="A529" s="273"/>
      <c r="B529" s="274"/>
      <c r="C529" s="278"/>
      <c r="D529" s="275">
        <v>1.6E-2</v>
      </c>
      <c r="E529" s="275">
        <v>9.2999999999999999E-2</v>
      </c>
      <c r="F529" s="275">
        <v>7.0999999999999994E-2</v>
      </c>
      <c r="G529" s="275">
        <v>7.5999999999999998E-2</v>
      </c>
      <c r="H529" s="275">
        <v>0.26600000000000001</v>
      </c>
      <c r="I529" s="275">
        <v>0.253</v>
      </c>
      <c r="J529" s="275">
        <v>0.26400000000000001</v>
      </c>
      <c r="K529" s="275">
        <v>0.214</v>
      </c>
      <c r="L529" s="275">
        <v>0.216</v>
      </c>
      <c r="M529" s="275">
        <v>0.625</v>
      </c>
      <c r="N529" s="275">
        <v>0.63800000000000001</v>
      </c>
      <c r="O529" s="275">
        <v>0.66</v>
      </c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</row>
    <row r="530" spans="1:27">
      <c r="A530" s="273"/>
      <c r="B530" s="274"/>
      <c r="C530" s="278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</row>
    <row r="531" spans="1:27">
      <c r="A531" s="273">
        <v>181</v>
      </c>
      <c r="B531" s="274">
        <v>57</v>
      </c>
      <c r="C531" s="278" t="s">
        <v>366</v>
      </c>
      <c r="D531" s="275" t="s">
        <v>434</v>
      </c>
      <c r="E531" s="275" t="s">
        <v>435</v>
      </c>
      <c r="F531" s="275" t="s">
        <v>436</v>
      </c>
      <c r="G531" s="275" t="s">
        <v>437</v>
      </c>
      <c r="H531" s="275" t="s">
        <v>438</v>
      </c>
      <c r="I531" s="275" t="s">
        <v>439</v>
      </c>
      <c r="J531" s="275" t="s">
        <v>440</v>
      </c>
      <c r="K531" s="275" t="s">
        <v>441</v>
      </c>
      <c r="L531" s="275" t="s">
        <v>442</v>
      </c>
      <c r="M531" s="275" t="s">
        <v>443</v>
      </c>
      <c r="N531" s="275" t="s">
        <v>444</v>
      </c>
      <c r="O531" s="275" t="s">
        <v>445</v>
      </c>
      <c r="P531" s="275" t="s">
        <v>446</v>
      </c>
      <c r="Q531" s="275" t="s">
        <v>447</v>
      </c>
      <c r="R531" s="275" t="s">
        <v>448</v>
      </c>
      <c r="S531" s="275" t="s">
        <v>449</v>
      </c>
      <c r="T531" s="275" t="s">
        <v>450</v>
      </c>
      <c r="U531" s="275"/>
      <c r="V531" s="275"/>
      <c r="W531" s="275"/>
      <c r="X531" s="275"/>
      <c r="Y531" s="275"/>
      <c r="Z531" s="275"/>
      <c r="AA531" s="275"/>
    </row>
    <row r="532" spans="1:27">
      <c r="A532" s="273"/>
      <c r="B532" s="274"/>
      <c r="C532" s="278"/>
      <c r="D532" s="275">
        <v>1.6E-2</v>
      </c>
      <c r="E532" s="275">
        <v>9.0999999999999998E-2</v>
      </c>
      <c r="F532" s="275">
        <v>7.0000000000000007E-2</v>
      </c>
      <c r="G532" s="275">
        <v>7.4999999999999997E-2</v>
      </c>
      <c r="H532" s="275">
        <v>0.26</v>
      </c>
      <c r="I532" s="275">
        <v>0.247</v>
      </c>
      <c r="J532" s="275">
        <v>0.25800000000000001</v>
      </c>
      <c r="K532" s="275">
        <v>0.20799999999999999</v>
      </c>
      <c r="L532" s="275">
        <v>0.21099999999999999</v>
      </c>
      <c r="M532" s="275">
        <v>0.60799999999999998</v>
      </c>
      <c r="N532" s="275">
        <v>0.61899999999999999</v>
      </c>
      <c r="O532" s="275">
        <v>0.64200000000000002</v>
      </c>
      <c r="P532" s="275">
        <v>0.66800000000000004</v>
      </c>
      <c r="Q532" s="275">
        <v>0.67600000000000005</v>
      </c>
      <c r="R532" s="275">
        <v>1.419</v>
      </c>
      <c r="S532" s="275">
        <v>1.5449999999999999</v>
      </c>
      <c r="T532" s="275">
        <v>1.6060000000000001</v>
      </c>
      <c r="U532" s="275"/>
      <c r="V532" s="275"/>
      <c r="W532" s="275"/>
      <c r="X532" s="275"/>
      <c r="Y532" s="275"/>
      <c r="Z532" s="275"/>
      <c r="AA532" s="275"/>
    </row>
    <row r="533" spans="1:27">
      <c r="A533" s="273"/>
      <c r="B533" s="274"/>
      <c r="C533" s="278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</row>
    <row r="534" spans="1:27">
      <c r="A534" s="273">
        <v>182</v>
      </c>
      <c r="B534" s="274">
        <v>57</v>
      </c>
      <c r="C534" s="278" t="s">
        <v>141</v>
      </c>
      <c r="D534" s="275" t="s">
        <v>434</v>
      </c>
      <c r="E534" s="275" t="s">
        <v>435</v>
      </c>
      <c r="F534" s="275" t="s">
        <v>436</v>
      </c>
      <c r="G534" s="275" t="s">
        <v>437</v>
      </c>
      <c r="H534" s="275" t="s">
        <v>438</v>
      </c>
      <c r="I534" s="275" t="s">
        <v>439</v>
      </c>
      <c r="J534" s="275" t="s">
        <v>440</v>
      </c>
      <c r="K534" s="275" t="s">
        <v>441</v>
      </c>
      <c r="L534" s="275" t="s">
        <v>442</v>
      </c>
      <c r="M534" s="275" t="s">
        <v>443</v>
      </c>
      <c r="N534" s="275" t="s">
        <v>444</v>
      </c>
      <c r="O534" s="275" t="s">
        <v>445</v>
      </c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</row>
    <row r="535" spans="1:27">
      <c r="A535" s="273"/>
      <c r="B535" s="274"/>
      <c r="C535" s="278"/>
      <c r="D535" s="275">
        <v>1.6E-2</v>
      </c>
      <c r="E535" s="275">
        <v>9.0999999999999998E-2</v>
      </c>
      <c r="F535" s="275">
        <v>7.0000000000000007E-2</v>
      </c>
      <c r="G535" s="275">
        <v>7.4999999999999997E-2</v>
      </c>
      <c r="H535" s="275">
        <v>0.26</v>
      </c>
      <c r="I535" s="275">
        <v>0.247</v>
      </c>
      <c r="J535" s="275">
        <v>0.25800000000000001</v>
      </c>
      <c r="K535" s="275">
        <v>0.20799999999999999</v>
      </c>
      <c r="L535" s="275">
        <v>0.21099999999999999</v>
      </c>
      <c r="M535" s="275">
        <v>0.60799999999999998</v>
      </c>
      <c r="N535" s="275">
        <v>0.61899999999999999</v>
      </c>
      <c r="O535" s="275">
        <v>0.64200000000000002</v>
      </c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</row>
    <row r="536" spans="1:27">
      <c r="A536" s="273"/>
      <c r="B536" s="274"/>
      <c r="C536" s="278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</row>
    <row r="537" spans="1:27">
      <c r="A537" s="273">
        <v>183</v>
      </c>
      <c r="B537" s="274">
        <v>58</v>
      </c>
      <c r="C537" s="278" t="s">
        <v>367</v>
      </c>
      <c r="D537" s="275" t="s">
        <v>434</v>
      </c>
      <c r="E537" s="275" t="s">
        <v>435</v>
      </c>
      <c r="F537" s="275" t="s">
        <v>436</v>
      </c>
      <c r="G537" s="275" t="s">
        <v>437</v>
      </c>
      <c r="H537" s="275" t="s">
        <v>438</v>
      </c>
      <c r="I537" s="275" t="s">
        <v>439</v>
      </c>
      <c r="J537" s="275" t="s">
        <v>440</v>
      </c>
      <c r="K537" s="275" t="s">
        <v>441</v>
      </c>
      <c r="L537" s="275" t="s">
        <v>442</v>
      </c>
      <c r="M537" s="275" t="s">
        <v>443</v>
      </c>
      <c r="N537" s="275" t="s">
        <v>444</v>
      </c>
      <c r="O537" s="275" t="s">
        <v>445</v>
      </c>
      <c r="P537" s="275" t="s">
        <v>446</v>
      </c>
      <c r="Q537" s="275" t="s">
        <v>447</v>
      </c>
      <c r="R537" s="275" t="s">
        <v>448</v>
      </c>
      <c r="S537" s="275" t="s">
        <v>449</v>
      </c>
      <c r="T537" s="275" t="s">
        <v>450</v>
      </c>
      <c r="U537" s="275"/>
      <c r="V537" s="275"/>
      <c r="W537" s="275"/>
      <c r="X537" s="275"/>
      <c r="Y537" s="275"/>
      <c r="Z537" s="275"/>
      <c r="AA537" s="275"/>
    </row>
    <row r="538" spans="1:27">
      <c r="A538" s="273"/>
      <c r="B538" s="274"/>
      <c r="C538" s="278"/>
      <c r="D538" s="275">
        <v>1.6E-2</v>
      </c>
      <c r="E538" s="275">
        <v>8.8999999999999996E-2</v>
      </c>
      <c r="F538" s="275">
        <v>6.8000000000000005E-2</v>
      </c>
      <c r="G538" s="275">
        <v>7.2999999999999995E-2</v>
      </c>
      <c r="H538" s="275">
        <v>0.254</v>
      </c>
      <c r="I538" s="275">
        <v>0.24099999999999999</v>
      </c>
      <c r="J538" s="275">
        <v>0.252</v>
      </c>
      <c r="K538" s="275">
        <v>0.20399999999999999</v>
      </c>
      <c r="L538" s="275">
        <v>0.20699999999999999</v>
      </c>
      <c r="M538" s="275">
        <v>0.59299999999999997</v>
      </c>
      <c r="N538" s="275">
        <v>0.60399999999999998</v>
      </c>
      <c r="O538" s="275">
        <v>0.627</v>
      </c>
      <c r="P538" s="275">
        <v>0.65100000000000002</v>
      </c>
      <c r="Q538" s="275">
        <v>0.65900000000000003</v>
      </c>
      <c r="R538" s="275">
        <v>1.403</v>
      </c>
      <c r="S538" s="275">
        <v>1.5349999999999999</v>
      </c>
      <c r="T538" s="275">
        <v>1.601</v>
      </c>
      <c r="U538" s="275"/>
      <c r="V538" s="275"/>
      <c r="W538" s="275"/>
      <c r="X538" s="275"/>
      <c r="Y538" s="275"/>
      <c r="Z538" s="275"/>
      <c r="AA538" s="275"/>
    </row>
    <row r="539" spans="1:27">
      <c r="A539" s="273"/>
      <c r="B539" s="274"/>
      <c r="C539" s="278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</row>
    <row r="540" spans="1:27">
      <c r="A540" s="273">
        <v>184</v>
      </c>
      <c r="B540" s="274">
        <v>58</v>
      </c>
      <c r="C540" s="278" t="s">
        <v>142</v>
      </c>
      <c r="D540" s="275" t="s">
        <v>434</v>
      </c>
      <c r="E540" s="275" t="s">
        <v>435</v>
      </c>
      <c r="F540" s="275" t="s">
        <v>436</v>
      </c>
      <c r="G540" s="275" t="s">
        <v>437</v>
      </c>
      <c r="H540" s="275" t="s">
        <v>438</v>
      </c>
      <c r="I540" s="275" t="s">
        <v>439</v>
      </c>
      <c r="J540" s="275" t="s">
        <v>440</v>
      </c>
      <c r="K540" s="275" t="s">
        <v>441</v>
      </c>
      <c r="L540" s="275" t="s">
        <v>442</v>
      </c>
      <c r="M540" s="275" t="s">
        <v>443</v>
      </c>
      <c r="N540" s="275" t="s">
        <v>444</v>
      </c>
      <c r="O540" s="275" t="s">
        <v>445</v>
      </c>
      <c r="P540" s="275" t="s">
        <v>446</v>
      </c>
      <c r="Q540" s="275" t="s">
        <v>447</v>
      </c>
      <c r="R540" s="275" t="s">
        <v>448</v>
      </c>
      <c r="S540" s="275" t="s">
        <v>449</v>
      </c>
      <c r="T540" s="275" t="s">
        <v>450</v>
      </c>
      <c r="U540" s="275"/>
      <c r="V540" s="275"/>
      <c r="W540" s="275"/>
      <c r="X540" s="275"/>
      <c r="Y540" s="275"/>
      <c r="Z540" s="275"/>
      <c r="AA540" s="275"/>
    </row>
    <row r="541" spans="1:27">
      <c r="A541" s="273"/>
      <c r="B541" s="274"/>
      <c r="C541" s="278"/>
      <c r="D541" s="275">
        <v>1.6E-2</v>
      </c>
      <c r="E541" s="275">
        <v>8.8999999999999996E-2</v>
      </c>
      <c r="F541" s="275">
        <v>6.8000000000000005E-2</v>
      </c>
      <c r="G541" s="275">
        <v>7.2999999999999995E-2</v>
      </c>
      <c r="H541" s="275">
        <v>0.254</v>
      </c>
      <c r="I541" s="275">
        <v>0.24099999999999999</v>
      </c>
      <c r="J541" s="275">
        <v>0.252</v>
      </c>
      <c r="K541" s="275">
        <v>0.20399999999999999</v>
      </c>
      <c r="L541" s="275">
        <v>0.20699999999999999</v>
      </c>
      <c r="M541" s="275">
        <v>0.59299999999999997</v>
      </c>
      <c r="N541" s="275">
        <v>0.60299999999999998</v>
      </c>
      <c r="O541" s="275">
        <v>0.626</v>
      </c>
      <c r="P541" s="275">
        <v>0.64900000000000002</v>
      </c>
      <c r="Q541" s="275">
        <v>0.65700000000000003</v>
      </c>
      <c r="R541" s="275">
        <v>1.379</v>
      </c>
      <c r="S541" s="275">
        <v>1.4970000000000001</v>
      </c>
      <c r="T541" s="275">
        <v>1.5569999999999999</v>
      </c>
      <c r="U541" s="275"/>
      <c r="V541" s="275"/>
      <c r="W541" s="275"/>
      <c r="X541" s="275"/>
      <c r="Y541" s="275"/>
      <c r="Z541" s="275"/>
      <c r="AA541" s="275"/>
    </row>
    <row r="542" spans="1:27">
      <c r="A542" s="273"/>
      <c r="B542" s="274"/>
      <c r="C542" s="278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</row>
    <row r="543" spans="1:27">
      <c r="A543" s="273">
        <v>185</v>
      </c>
      <c r="B543" s="274">
        <v>58</v>
      </c>
      <c r="C543" s="278" t="s">
        <v>143</v>
      </c>
      <c r="D543" s="275" t="s">
        <v>434</v>
      </c>
      <c r="E543" s="275" t="s">
        <v>435</v>
      </c>
      <c r="F543" s="275" t="s">
        <v>436</v>
      </c>
      <c r="G543" s="275" t="s">
        <v>437</v>
      </c>
      <c r="H543" s="275" t="s">
        <v>438</v>
      </c>
      <c r="I543" s="275" t="s">
        <v>439</v>
      </c>
      <c r="J543" s="275" t="s">
        <v>440</v>
      </c>
      <c r="K543" s="275" t="s">
        <v>441</v>
      </c>
      <c r="L543" s="275" t="s">
        <v>442</v>
      </c>
      <c r="M543" s="275" t="s">
        <v>443</v>
      </c>
      <c r="N543" s="275" t="s">
        <v>444</v>
      </c>
      <c r="O543" s="275" t="s">
        <v>445</v>
      </c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</row>
    <row r="544" spans="1:27">
      <c r="A544" s="273"/>
      <c r="B544" s="274"/>
      <c r="C544" s="278"/>
      <c r="D544" s="275">
        <v>1.6E-2</v>
      </c>
      <c r="E544" s="275">
        <v>8.8999999999999996E-2</v>
      </c>
      <c r="F544" s="275">
        <v>6.8000000000000005E-2</v>
      </c>
      <c r="G544" s="275">
        <v>7.2999999999999995E-2</v>
      </c>
      <c r="H544" s="275">
        <v>0.254</v>
      </c>
      <c r="I544" s="275">
        <v>0.24099999999999999</v>
      </c>
      <c r="J544" s="275">
        <v>0.252</v>
      </c>
      <c r="K544" s="275">
        <v>0.20399999999999999</v>
      </c>
      <c r="L544" s="275">
        <v>0.20699999999999999</v>
      </c>
      <c r="M544" s="275">
        <v>0.59199999999999997</v>
      </c>
      <c r="N544" s="275">
        <v>0.60199999999999998</v>
      </c>
      <c r="O544" s="275">
        <v>0.624</v>
      </c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</row>
    <row r="545" spans="1:27">
      <c r="A545" s="273"/>
      <c r="B545" s="274"/>
      <c r="C545" s="278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</row>
    <row r="546" spans="1:27">
      <c r="A546" s="273">
        <v>186</v>
      </c>
      <c r="B546" s="274">
        <v>59</v>
      </c>
      <c r="C546" s="278" t="s">
        <v>368</v>
      </c>
      <c r="D546" s="275" t="s">
        <v>434</v>
      </c>
      <c r="E546" s="275" t="s">
        <v>435</v>
      </c>
      <c r="F546" s="275" t="s">
        <v>436</v>
      </c>
      <c r="G546" s="275" t="s">
        <v>437</v>
      </c>
      <c r="H546" s="275" t="s">
        <v>438</v>
      </c>
      <c r="I546" s="275" t="s">
        <v>439</v>
      </c>
      <c r="J546" s="275" t="s">
        <v>440</v>
      </c>
      <c r="K546" s="275" t="s">
        <v>441</v>
      </c>
      <c r="L546" s="275" t="s">
        <v>442</v>
      </c>
      <c r="M546" s="275" t="s">
        <v>443</v>
      </c>
      <c r="N546" s="275" t="s">
        <v>444</v>
      </c>
      <c r="O546" s="275" t="s">
        <v>445</v>
      </c>
      <c r="P546" s="275" t="s">
        <v>446</v>
      </c>
      <c r="Q546" s="275" t="s">
        <v>447</v>
      </c>
      <c r="R546" s="275" t="s">
        <v>448</v>
      </c>
      <c r="S546" s="275" t="s">
        <v>449</v>
      </c>
      <c r="T546" s="275" t="s">
        <v>450</v>
      </c>
      <c r="U546" s="275"/>
      <c r="V546" s="275"/>
      <c r="W546" s="275"/>
      <c r="X546" s="275"/>
      <c r="Y546" s="275"/>
      <c r="Z546" s="275"/>
      <c r="AA546" s="275"/>
    </row>
    <row r="547" spans="1:27">
      <c r="A547" s="273"/>
      <c r="B547" s="274"/>
      <c r="C547" s="278"/>
      <c r="D547" s="275">
        <v>1.4999999999999999E-2</v>
      </c>
      <c r="E547" s="275">
        <v>8.6999999999999994E-2</v>
      </c>
      <c r="F547" s="275">
        <v>6.7000000000000004E-2</v>
      </c>
      <c r="G547" s="275">
        <v>7.1999999999999995E-2</v>
      </c>
      <c r="H547" s="275">
        <v>0.249</v>
      </c>
      <c r="I547" s="275">
        <v>0.23599999999999999</v>
      </c>
      <c r="J547" s="275">
        <v>0.247</v>
      </c>
      <c r="K547" s="275">
        <v>0.19900000000000001</v>
      </c>
      <c r="L547" s="275">
        <v>0.20200000000000001</v>
      </c>
      <c r="M547" s="275">
        <v>0.57899999999999996</v>
      </c>
      <c r="N547" s="275">
        <v>0.58799999999999997</v>
      </c>
      <c r="O547" s="275">
        <v>0.61199999999999999</v>
      </c>
      <c r="P547" s="275">
        <v>0.63200000000000001</v>
      </c>
      <c r="Q547" s="275">
        <v>0.64100000000000001</v>
      </c>
      <c r="R547" s="275">
        <v>1.3680000000000001</v>
      </c>
      <c r="S547" s="275">
        <v>1.496</v>
      </c>
      <c r="T547" s="275">
        <v>1.5629999999999999</v>
      </c>
      <c r="U547" s="275"/>
      <c r="V547" s="275"/>
      <c r="W547" s="275"/>
      <c r="X547" s="275"/>
      <c r="Y547" s="275"/>
      <c r="Z547" s="275"/>
      <c r="AA547" s="275"/>
    </row>
    <row r="548" spans="1:27">
      <c r="A548" s="273"/>
      <c r="B548" s="274"/>
      <c r="C548" s="278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</row>
    <row r="549" spans="1:27">
      <c r="A549" s="273">
        <v>187</v>
      </c>
      <c r="B549" s="274">
        <v>59</v>
      </c>
      <c r="C549" s="278" t="s">
        <v>144</v>
      </c>
      <c r="D549" s="275" t="s">
        <v>434</v>
      </c>
      <c r="E549" s="275" t="s">
        <v>435</v>
      </c>
      <c r="F549" s="275" t="s">
        <v>436</v>
      </c>
      <c r="G549" s="275" t="s">
        <v>437</v>
      </c>
      <c r="H549" s="275" t="s">
        <v>438</v>
      </c>
      <c r="I549" s="275" t="s">
        <v>439</v>
      </c>
      <c r="J549" s="275" t="s">
        <v>440</v>
      </c>
      <c r="K549" s="275" t="s">
        <v>441</v>
      </c>
      <c r="L549" s="275" t="s">
        <v>442</v>
      </c>
      <c r="M549" s="275" t="s">
        <v>443</v>
      </c>
      <c r="N549" s="275" t="s">
        <v>444</v>
      </c>
      <c r="O549" s="275" t="s">
        <v>445</v>
      </c>
      <c r="P549" s="275" t="s">
        <v>446</v>
      </c>
      <c r="Q549" s="275" t="s">
        <v>447</v>
      </c>
      <c r="R549" s="275" t="s">
        <v>448</v>
      </c>
      <c r="S549" s="275" t="s">
        <v>449</v>
      </c>
      <c r="T549" s="275" t="s">
        <v>450</v>
      </c>
      <c r="U549" s="275"/>
      <c r="V549" s="275"/>
      <c r="W549" s="275"/>
      <c r="X549" s="275"/>
      <c r="Y549" s="275"/>
      <c r="Z549" s="275"/>
      <c r="AA549" s="275"/>
    </row>
    <row r="550" spans="1:27">
      <c r="A550" s="273"/>
      <c r="B550" s="274"/>
      <c r="C550" s="278"/>
      <c r="D550" s="275">
        <v>1.4999999999999999E-2</v>
      </c>
      <c r="E550" s="275">
        <v>8.6999999999999994E-2</v>
      </c>
      <c r="F550" s="275">
        <v>6.7000000000000004E-2</v>
      </c>
      <c r="G550" s="275">
        <v>7.1999999999999995E-2</v>
      </c>
      <c r="H550" s="275">
        <v>0.249</v>
      </c>
      <c r="I550" s="275">
        <v>0.23599999999999999</v>
      </c>
      <c r="J550" s="275">
        <v>0.247</v>
      </c>
      <c r="K550" s="275">
        <v>0.19900000000000001</v>
      </c>
      <c r="L550" s="275">
        <v>0.20200000000000001</v>
      </c>
      <c r="M550" s="275">
        <v>0.57799999999999996</v>
      </c>
      <c r="N550" s="275">
        <v>0.58699999999999997</v>
      </c>
      <c r="O550" s="275">
        <v>0.61099999999999999</v>
      </c>
      <c r="P550" s="275">
        <v>0.63100000000000001</v>
      </c>
      <c r="Q550" s="275">
        <v>0.63900000000000001</v>
      </c>
      <c r="R550" s="275">
        <v>1.3460000000000001</v>
      </c>
      <c r="S550" s="275">
        <v>1.46</v>
      </c>
      <c r="T550" s="275">
        <v>1.522</v>
      </c>
      <c r="U550" s="275"/>
      <c r="V550" s="275"/>
      <c r="W550" s="275"/>
      <c r="X550" s="275"/>
      <c r="Y550" s="275"/>
      <c r="Z550" s="275"/>
      <c r="AA550" s="275"/>
    </row>
    <row r="551" spans="1:27">
      <c r="A551" s="273"/>
      <c r="B551" s="274"/>
      <c r="C551" s="278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</row>
    <row r="552" spans="1:27">
      <c r="A552" s="273">
        <v>188</v>
      </c>
      <c r="B552" s="274">
        <v>59</v>
      </c>
      <c r="C552" s="278" t="s">
        <v>145</v>
      </c>
      <c r="D552" s="275" t="s">
        <v>434</v>
      </c>
      <c r="E552" s="275" t="s">
        <v>435</v>
      </c>
      <c r="F552" s="275" t="s">
        <v>436</v>
      </c>
      <c r="G552" s="275" t="s">
        <v>437</v>
      </c>
      <c r="H552" s="275" t="s">
        <v>438</v>
      </c>
      <c r="I552" s="275" t="s">
        <v>439</v>
      </c>
      <c r="J552" s="275" t="s">
        <v>440</v>
      </c>
      <c r="K552" s="275" t="s">
        <v>441</v>
      </c>
      <c r="L552" s="275" t="s">
        <v>442</v>
      </c>
      <c r="M552" s="275" t="s">
        <v>443</v>
      </c>
      <c r="N552" s="275" t="s">
        <v>444</v>
      </c>
      <c r="O552" s="275" t="s">
        <v>445</v>
      </c>
      <c r="P552" s="275" t="s">
        <v>446</v>
      </c>
      <c r="Q552" s="275" t="s">
        <v>447</v>
      </c>
      <c r="R552" s="275" t="s">
        <v>448</v>
      </c>
      <c r="S552" s="275" t="s">
        <v>449</v>
      </c>
      <c r="T552" s="275" t="s">
        <v>450</v>
      </c>
      <c r="U552" s="275"/>
      <c r="V552" s="275"/>
      <c r="W552" s="275"/>
      <c r="X552" s="275"/>
      <c r="Y552" s="275"/>
      <c r="Z552" s="275"/>
      <c r="AA552" s="275"/>
    </row>
    <row r="553" spans="1:27">
      <c r="A553" s="273"/>
      <c r="B553" s="274"/>
      <c r="C553" s="278"/>
      <c r="D553" s="275">
        <v>1.4999999999999999E-2</v>
      </c>
      <c r="E553" s="275">
        <v>8.6999999999999994E-2</v>
      </c>
      <c r="F553" s="275">
        <v>6.7000000000000004E-2</v>
      </c>
      <c r="G553" s="275">
        <v>7.1999999999999995E-2</v>
      </c>
      <c r="H553" s="275">
        <v>0.249</v>
      </c>
      <c r="I553" s="275">
        <v>0.23599999999999999</v>
      </c>
      <c r="J553" s="275">
        <v>0.247</v>
      </c>
      <c r="K553" s="275">
        <v>0.19900000000000001</v>
      </c>
      <c r="L553" s="275">
        <v>0.20200000000000001</v>
      </c>
      <c r="M553" s="275">
        <v>0.57699999999999996</v>
      </c>
      <c r="N553" s="275">
        <v>0.58599999999999997</v>
      </c>
      <c r="O553" s="275">
        <v>0.60899999999999999</v>
      </c>
      <c r="P553" s="275">
        <v>0.628</v>
      </c>
      <c r="Q553" s="275">
        <v>0.63600000000000001</v>
      </c>
      <c r="R553" s="275">
        <v>1.321</v>
      </c>
      <c r="S553" s="275">
        <v>1.423</v>
      </c>
      <c r="T553" s="275">
        <v>1.48</v>
      </c>
      <c r="U553" s="275"/>
      <c r="V553" s="275"/>
      <c r="W553" s="275"/>
      <c r="X553" s="275"/>
      <c r="Y553" s="275"/>
      <c r="Z553" s="275"/>
      <c r="AA553" s="275"/>
    </row>
    <row r="554" spans="1:27">
      <c r="A554" s="273"/>
      <c r="B554" s="274"/>
      <c r="C554" s="278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</row>
    <row r="555" spans="1:27">
      <c r="A555" s="273">
        <v>189</v>
      </c>
      <c r="B555" s="274">
        <v>60</v>
      </c>
      <c r="C555" s="278" t="s">
        <v>369</v>
      </c>
      <c r="D555" s="275" t="s">
        <v>434</v>
      </c>
      <c r="E555" s="275" t="s">
        <v>435</v>
      </c>
      <c r="F555" s="275" t="s">
        <v>436</v>
      </c>
      <c r="G555" s="275" t="s">
        <v>437</v>
      </c>
      <c r="H555" s="275" t="s">
        <v>438</v>
      </c>
      <c r="I555" s="275" t="s">
        <v>439</v>
      </c>
      <c r="J555" s="275" t="s">
        <v>440</v>
      </c>
      <c r="K555" s="275" t="s">
        <v>441</v>
      </c>
      <c r="L555" s="275" t="s">
        <v>442</v>
      </c>
      <c r="M555" s="275" t="s">
        <v>443</v>
      </c>
      <c r="N555" s="275" t="s">
        <v>444</v>
      </c>
      <c r="O555" s="275" t="s">
        <v>445</v>
      </c>
      <c r="P555" s="275" t="s">
        <v>446</v>
      </c>
      <c r="Q555" s="275" t="s">
        <v>447</v>
      </c>
      <c r="R555" s="275" t="s">
        <v>448</v>
      </c>
      <c r="S555" s="275" t="s">
        <v>449</v>
      </c>
      <c r="T555" s="275" t="s">
        <v>450</v>
      </c>
      <c r="U555" s="275"/>
      <c r="V555" s="275"/>
      <c r="W555" s="275"/>
      <c r="X555" s="275"/>
      <c r="Y555" s="275"/>
      <c r="Z555" s="275"/>
      <c r="AA555" s="275"/>
    </row>
    <row r="556" spans="1:27">
      <c r="A556" s="273"/>
      <c r="B556" s="274"/>
      <c r="C556" s="278"/>
      <c r="D556" s="275">
        <v>1.4999999999999999E-2</v>
      </c>
      <c r="E556" s="275">
        <v>8.5000000000000006E-2</v>
      </c>
      <c r="F556" s="275">
        <v>6.5000000000000002E-2</v>
      </c>
      <c r="G556" s="275">
        <v>7.0999999999999994E-2</v>
      </c>
      <c r="H556" s="275">
        <v>0.24299999999999999</v>
      </c>
      <c r="I556" s="275">
        <v>0.23100000000000001</v>
      </c>
      <c r="J556" s="275">
        <v>0.24199999999999999</v>
      </c>
      <c r="K556" s="275">
        <v>0.19400000000000001</v>
      </c>
      <c r="L556" s="275">
        <v>0.19700000000000001</v>
      </c>
      <c r="M556" s="275">
        <v>0.56499999999999995</v>
      </c>
      <c r="N556" s="275">
        <v>0.57299999999999995</v>
      </c>
      <c r="O556" s="275">
        <v>0.59699999999999998</v>
      </c>
      <c r="P556" s="275">
        <v>0.61499999999999999</v>
      </c>
      <c r="Q556" s="275">
        <v>0.624</v>
      </c>
      <c r="R556" s="275">
        <v>1.3360000000000001</v>
      </c>
      <c r="S556" s="275">
        <v>1.46</v>
      </c>
      <c r="T556" s="275">
        <v>1.5289999999999999</v>
      </c>
      <c r="U556" s="275"/>
      <c r="V556" s="275"/>
      <c r="W556" s="275"/>
      <c r="X556" s="275"/>
      <c r="Y556" s="275"/>
      <c r="Z556" s="275"/>
      <c r="AA556" s="275"/>
    </row>
    <row r="557" spans="1:27">
      <c r="A557" s="273"/>
      <c r="B557" s="274"/>
      <c r="C557" s="278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</row>
    <row r="558" spans="1:27">
      <c r="A558" s="273">
        <v>190</v>
      </c>
      <c r="B558" s="274">
        <v>60</v>
      </c>
      <c r="C558" s="278" t="s">
        <v>146</v>
      </c>
      <c r="D558" s="275" t="s">
        <v>434</v>
      </c>
      <c r="E558" s="275" t="s">
        <v>435</v>
      </c>
      <c r="F558" s="275" t="s">
        <v>436</v>
      </c>
      <c r="G558" s="275" t="s">
        <v>437</v>
      </c>
      <c r="H558" s="275" t="s">
        <v>438</v>
      </c>
      <c r="I558" s="275" t="s">
        <v>439</v>
      </c>
      <c r="J558" s="275" t="s">
        <v>440</v>
      </c>
      <c r="K558" s="275" t="s">
        <v>441</v>
      </c>
      <c r="L558" s="275" t="s">
        <v>442</v>
      </c>
      <c r="M558" s="275" t="s">
        <v>443</v>
      </c>
      <c r="N558" s="275" t="s">
        <v>444</v>
      </c>
      <c r="O558" s="275" t="s">
        <v>445</v>
      </c>
      <c r="P558" s="275" t="s">
        <v>446</v>
      </c>
      <c r="Q558" s="275" t="s">
        <v>447</v>
      </c>
      <c r="R558" s="275" t="s">
        <v>448</v>
      </c>
      <c r="S558" s="275" t="s">
        <v>449</v>
      </c>
      <c r="T558" s="275" t="s">
        <v>450</v>
      </c>
      <c r="U558" s="275"/>
      <c r="V558" s="275"/>
      <c r="W558" s="275"/>
      <c r="X558" s="275"/>
      <c r="Y558" s="275"/>
      <c r="Z558" s="275"/>
      <c r="AA558" s="275"/>
    </row>
    <row r="559" spans="1:27">
      <c r="A559" s="273"/>
      <c r="B559" s="274"/>
      <c r="C559" s="278"/>
      <c r="D559" s="275">
        <v>1.4999999999999999E-2</v>
      </c>
      <c r="E559" s="275">
        <v>8.5000000000000006E-2</v>
      </c>
      <c r="F559" s="275">
        <v>6.5000000000000002E-2</v>
      </c>
      <c r="G559" s="275">
        <v>7.0999999999999994E-2</v>
      </c>
      <c r="H559" s="275">
        <v>0.24299999999999999</v>
      </c>
      <c r="I559" s="275">
        <v>0.23100000000000001</v>
      </c>
      <c r="J559" s="275">
        <v>0.24199999999999999</v>
      </c>
      <c r="K559" s="275">
        <v>0.19400000000000001</v>
      </c>
      <c r="L559" s="275">
        <v>0.19700000000000001</v>
      </c>
      <c r="M559" s="275">
        <v>0.56499999999999995</v>
      </c>
      <c r="N559" s="275">
        <v>0.57299999999999995</v>
      </c>
      <c r="O559" s="275">
        <v>0.59599999999999997</v>
      </c>
      <c r="P559" s="275">
        <v>0.61399999999999999</v>
      </c>
      <c r="Q559" s="275">
        <v>0.622</v>
      </c>
      <c r="R559" s="275">
        <v>1.3149999999999999</v>
      </c>
      <c r="S559" s="275">
        <v>1.427</v>
      </c>
      <c r="T559" s="275">
        <v>1.49</v>
      </c>
      <c r="U559" s="275"/>
      <c r="V559" s="275"/>
      <c r="W559" s="275"/>
      <c r="X559" s="275"/>
      <c r="Y559" s="275"/>
      <c r="Z559" s="275"/>
      <c r="AA559" s="275"/>
    </row>
    <row r="560" spans="1:27">
      <c r="A560" s="273"/>
      <c r="B560" s="274"/>
      <c r="C560" s="278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</row>
    <row r="561" spans="1:27">
      <c r="A561" s="273">
        <v>191</v>
      </c>
      <c r="B561" s="274">
        <v>61</v>
      </c>
      <c r="C561" s="278" t="s">
        <v>370</v>
      </c>
      <c r="D561" s="275" t="s">
        <v>434</v>
      </c>
      <c r="E561" s="275" t="s">
        <v>435</v>
      </c>
      <c r="F561" s="275" t="s">
        <v>436</v>
      </c>
      <c r="G561" s="275" t="s">
        <v>437</v>
      </c>
      <c r="H561" s="275" t="s">
        <v>438</v>
      </c>
      <c r="I561" s="275" t="s">
        <v>439</v>
      </c>
      <c r="J561" s="275" t="s">
        <v>440</v>
      </c>
      <c r="K561" s="275" t="s">
        <v>441</v>
      </c>
      <c r="L561" s="275" t="s">
        <v>442</v>
      </c>
      <c r="M561" s="275" t="s">
        <v>443</v>
      </c>
      <c r="N561" s="275" t="s">
        <v>444</v>
      </c>
      <c r="O561" s="275" t="s">
        <v>445</v>
      </c>
      <c r="P561" s="275" t="s">
        <v>446</v>
      </c>
      <c r="Q561" s="275" t="s">
        <v>447</v>
      </c>
      <c r="R561" s="275" t="s">
        <v>448</v>
      </c>
      <c r="S561" s="275" t="s">
        <v>449</v>
      </c>
      <c r="T561" s="275" t="s">
        <v>450</v>
      </c>
      <c r="U561" s="275"/>
      <c r="V561" s="275"/>
      <c r="W561" s="275"/>
      <c r="X561" s="275"/>
      <c r="Y561" s="275"/>
      <c r="Z561" s="275"/>
      <c r="AA561" s="275"/>
    </row>
    <row r="562" spans="1:27">
      <c r="A562" s="273"/>
      <c r="B562" s="274"/>
      <c r="C562" s="278"/>
      <c r="D562" s="275">
        <v>1.4999999999999999E-2</v>
      </c>
      <c r="E562" s="275">
        <v>8.4000000000000005E-2</v>
      </c>
      <c r="F562" s="275">
        <v>6.4000000000000001E-2</v>
      </c>
      <c r="G562" s="275">
        <v>6.9000000000000006E-2</v>
      </c>
      <c r="H562" s="275">
        <v>0.23799999999999999</v>
      </c>
      <c r="I562" s="275">
        <v>0.22600000000000001</v>
      </c>
      <c r="J562" s="275">
        <v>0.23699999999999999</v>
      </c>
      <c r="K562" s="275">
        <v>0.19</v>
      </c>
      <c r="L562" s="275">
        <v>0.193</v>
      </c>
      <c r="M562" s="275">
        <v>0.55200000000000005</v>
      </c>
      <c r="N562" s="275">
        <v>0.55900000000000005</v>
      </c>
      <c r="O562" s="275">
        <v>0.58299999999999996</v>
      </c>
      <c r="P562" s="275">
        <v>0.59799999999999998</v>
      </c>
      <c r="Q562" s="275">
        <v>0.60599999999999998</v>
      </c>
      <c r="R562" s="275">
        <v>1.286</v>
      </c>
      <c r="S562" s="275">
        <v>1.395</v>
      </c>
      <c r="T562" s="275">
        <v>1.4590000000000001</v>
      </c>
      <c r="U562" s="275"/>
      <c r="V562" s="275"/>
      <c r="W562" s="275"/>
      <c r="X562" s="275"/>
      <c r="Y562" s="275"/>
      <c r="Z562" s="275"/>
      <c r="AA562" s="275"/>
    </row>
    <row r="563" spans="1:27">
      <c r="A563" s="273"/>
      <c r="B563" s="274"/>
      <c r="C563" s="278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</row>
    <row r="564" spans="1:27">
      <c r="A564" s="273">
        <v>192</v>
      </c>
      <c r="B564" s="274">
        <v>62</v>
      </c>
      <c r="C564" s="278" t="s">
        <v>371</v>
      </c>
      <c r="D564" s="275" t="s">
        <v>434</v>
      </c>
      <c r="E564" s="275" t="s">
        <v>435</v>
      </c>
      <c r="F564" s="275" t="s">
        <v>436</v>
      </c>
      <c r="G564" s="275" t="s">
        <v>437</v>
      </c>
      <c r="H564" s="275" t="s">
        <v>438</v>
      </c>
      <c r="I564" s="275" t="s">
        <v>439</v>
      </c>
      <c r="J564" s="275" t="s">
        <v>440</v>
      </c>
      <c r="K564" s="275" t="s">
        <v>441</v>
      </c>
      <c r="L564" s="275" t="s">
        <v>442</v>
      </c>
      <c r="M564" s="275" t="s">
        <v>443</v>
      </c>
      <c r="N564" s="275" t="s">
        <v>444</v>
      </c>
      <c r="O564" s="275" t="s">
        <v>445</v>
      </c>
      <c r="P564" s="275" t="s">
        <v>446</v>
      </c>
      <c r="Q564" s="275" t="s">
        <v>447</v>
      </c>
      <c r="R564" s="275" t="s">
        <v>448</v>
      </c>
      <c r="S564" s="275" t="s">
        <v>449</v>
      </c>
      <c r="T564" s="275" t="s">
        <v>450</v>
      </c>
      <c r="U564" s="275"/>
      <c r="V564" s="275"/>
      <c r="W564" s="275"/>
      <c r="X564" s="275"/>
      <c r="Y564" s="275"/>
      <c r="Z564" s="275"/>
      <c r="AA564" s="275"/>
    </row>
    <row r="565" spans="1:27">
      <c r="A565" s="273"/>
      <c r="B565" s="274"/>
      <c r="C565" s="278"/>
      <c r="D565" s="275">
        <v>1.4999999999999999E-2</v>
      </c>
      <c r="E565" s="275">
        <v>8.2000000000000003E-2</v>
      </c>
      <c r="F565" s="275">
        <v>6.3E-2</v>
      </c>
      <c r="G565" s="275">
        <v>6.8000000000000005E-2</v>
      </c>
      <c r="H565" s="275">
        <v>0.23300000000000001</v>
      </c>
      <c r="I565" s="275">
        <v>0.221</v>
      </c>
      <c r="J565" s="275">
        <v>0.23200000000000001</v>
      </c>
      <c r="K565" s="275">
        <v>0.186</v>
      </c>
      <c r="L565" s="275">
        <v>0.189</v>
      </c>
      <c r="M565" s="275">
        <v>0.53900000000000003</v>
      </c>
      <c r="N565" s="275">
        <v>0.54600000000000004</v>
      </c>
      <c r="O565" s="275">
        <v>0.57099999999999995</v>
      </c>
      <c r="P565" s="275">
        <v>0.58399999999999996</v>
      </c>
      <c r="Q565" s="275">
        <v>0.59299999999999997</v>
      </c>
      <c r="R565" s="275">
        <v>1.2769999999999999</v>
      </c>
      <c r="S565" s="275">
        <v>1.395</v>
      </c>
      <c r="T565" s="275">
        <v>1.4670000000000001</v>
      </c>
      <c r="U565" s="275"/>
      <c r="V565" s="275"/>
      <c r="W565" s="275"/>
      <c r="X565" s="275"/>
      <c r="Y565" s="275"/>
      <c r="Z565" s="275"/>
      <c r="AA565" s="275"/>
    </row>
    <row r="566" spans="1:27">
      <c r="A566" s="273"/>
      <c r="B566" s="274"/>
      <c r="C566" s="278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</row>
    <row r="567" spans="1:27">
      <c r="A567" s="273">
        <v>193</v>
      </c>
      <c r="B567" s="274">
        <v>62</v>
      </c>
      <c r="C567" s="278" t="s">
        <v>147</v>
      </c>
      <c r="D567" s="275" t="s">
        <v>434</v>
      </c>
      <c r="E567" s="275" t="s">
        <v>435</v>
      </c>
      <c r="F567" s="275" t="s">
        <v>436</v>
      </c>
      <c r="G567" s="275" t="s">
        <v>437</v>
      </c>
      <c r="H567" s="275" t="s">
        <v>438</v>
      </c>
      <c r="I567" s="275" t="s">
        <v>439</v>
      </c>
      <c r="J567" s="275" t="s">
        <v>440</v>
      </c>
      <c r="K567" s="275" t="s">
        <v>441</v>
      </c>
      <c r="L567" s="275" t="s">
        <v>442</v>
      </c>
      <c r="M567" s="275" t="s">
        <v>443</v>
      </c>
      <c r="N567" s="275" t="s">
        <v>444</v>
      </c>
      <c r="O567" s="275" t="s">
        <v>445</v>
      </c>
      <c r="P567" s="275" t="s">
        <v>446</v>
      </c>
      <c r="Q567" s="275" t="s">
        <v>447</v>
      </c>
      <c r="R567" s="275" t="s">
        <v>448</v>
      </c>
      <c r="S567" s="275" t="s">
        <v>449</v>
      </c>
      <c r="T567" s="275" t="s">
        <v>450</v>
      </c>
      <c r="U567" s="275"/>
      <c r="V567" s="275"/>
      <c r="W567" s="275"/>
      <c r="X567" s="275"/>
      <c r="Y567" s="275"/>
      <c r="Z567" s="275"/>
      <c r="AA567" s="275"/>
    </row>
    <row r="568" spans="1:27">
      <c r="A568" s="273"/>
      <c r="B568" s="274"/>
      <c r="C568" s="278"/>
      <c r="D568" s="275">
        <v>1.4999999999999999E-2</v>
      </c>
      <c r="E568" s="275">
        <v>8.2000000000000003E-2</v>
      </c>
      <c r="F568" s="275">
        <v>6.3E-2</v>
      </c>
      <c r="G568" s="275">
        <v>6.8000000000000005E-2</v>
      </c>
      <c r="H568" s="275">
        <v>0.23300000000000001</v>
      </c>
      <c r="I568" s="275">
        <v>0.221</v>
      </c>
      <c r="J568" s="275">
        <v>0.23200000000000001</v>
      </c>
      <c r="K568" s="275">
        <v>0.186</v>
      </c>
      <c r="L568" s="275">
        <v>0.189</v>
      </c>
      <c r="M568" s="275">
        <v>0.53900000000000003</v>
      </c>
      <c r="N568" s="275">
        <v>0.54600000000000004</v>
      </c>
      <c r="O568" s="275">
        <v>0.56999999999999995</v>
      </c>
      <c r="P568" s="275">
        <v>0.58299999999999996</v>
      </c>
      <c r="Q568" s="275">
        <v>0.59099999999999997</v>
      </c>
      <c r="R568" s="275">
        <v>1.2589999999999999</v>
      </c>
      <c r="S568" s="275">
        <v>1.365</v>
      </c>
      <c r="T568" s="275">
        <v>1.431</v>
      </c>
      <c r="U568" s="275"/>
      <c r="V568" s="275"/>
      <c r="W568" s="275"/>
      <c r="X568" s="275"/>
      <c r="Y568" s="275"/>
      <c r="Z568" s="275"/>
      <c r="AA568" s="275"/>
    </row>
    <row r="569" spans="1:27">
      <c r="A569" s="273"/>
      <c r="B569" s="274"/>
      <c r="C569" s="278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</row>
    <row r="570" spans="1:27">
      <c r="A570" s="273">
        <v>194</v>
      </c>
      <c r="B570" s="274">
        <v>63</v>
      </c>
      <c r="C570" s="278" t="s">
        <v>372</v>
      </c>
      <c r="D570" s="275" t="s">
        <v>434</v>
      </c>
      <c r="E570" s="275" t="s">
        <v>435</v>
      </c>
      <c r="F570" s="275" t="s">
        <v>436</v>
      </c>
      <c r="G570" s="275" t="s">
        <v>437</v>
      </c>
      <c r="H570" s="275" t="s">
        <v>438</v>
      </c>
      <c r="I570" s="275" t="s">
        <v>439</v>
      </c>
      <c r="J570" s="275" t="s">
        <v>440</v>
      </c>
      <c r="K570" s="275" t="s">
        <v>441</v>
      </c>
      <c r="L570" s="275" t="s">
        <v>442</v>
      </c>
      <c r="M570" s="275" t="s">
        <v>443</v>
      </c>
      <c r="N570" s="275" t="s">
        <v>444</v>
      </c>
      <c r="O570" s="275" t="s">
        <v>445</v>
      </c>
      <c r="P570" s="275" t="s">
        <v>446</v>
      </c>
      <c r="Q570" s="275" t="s">
        <v>447</v>
      </c>
      <c r="R570" s="275" t="s">
        <v>448</v>
      </c>
      <c r="S570" s="275" t="s">
        <v>449</v>
      </c>
      <c r="T570" s="275" t="s">
        <v>450</v>
      </c>
      <c r="U570" s="275"/>
      <c r="V570" s="275"/>
      <c r="W570" s="275"/>
      <c r="X570" s="275"/>
      <c r="Y570" s="275"/>
      <c r="Z570" s="275"/>
      <c r="AA570" s="275"/>
    </row>
    <row r="571" spans="1:27">
      <c r="A571" s="273"/>
      <c r="B571" s="274"/>
      <c r="C571" s="278"/>
      <c r="D571" s="275">
        <v>1.4E-2</v>
      </c>
      <c r="E571" s="275">
        <v>8.1000000000000003E-2</v>
      </c>
      <c r="F571" s="275">
        <v>6.0999999999999999E-2</v>
      </c>
      <c r="G571" s="275">
        <v>6.7000000000000004E-2</v>
      </c>
      <c r="H571" s="275">
        <v>0.22800000000000001</v>
      </c>
      <c r="I571" s="275">
        <v>0.216</v>
      </c>
      <c r="J571" s="275">
        <v>0.22800000000000001</v>
      </c>
      <c r="K571" s="275">
        <v>0.182</v>
      </c>
      <c r="L571" s="275">
        <v>0.185</v>
      </c>
      <c r="M571" s="275">
        <v>0.52800000000000002</v>
      </c>
      <c r="N571" s="275">
        <v>0.53400000000000003</v>
      </c>
      <c r="O571" s="275">
        <v>0.55800000000000005</v>
      </c>
      <c r="P571" s="275">
        <v>0.56999999999999995</v>
      </c>
      <c r="Q571" s="275">
        <v>0.57799999999999996</v>
      </c>
      <c r="R571" s="275">
        <v>1.25</v>
      </c>
      <c r="S571" s="275">
        <v>1.3640000000000001</v>
      </c>
      <c r="T571" s="275">
        <v>1.4379999999999999</v>
      </c>
      <c r="U571" s="275"/>
      <c r="V571" s="275"/>
      <c r="W571" s="275"/>
      <c r="X571" s="275"/>
      <c r="Y571" s="275"/>
      <c r="Z571" s="275"/>
      <c r="AA571" s="275"/>
    </row>
    <row r="572" spans="1:27">
      <c r="A572" s="273"/>
      <c r="B572" s="274"/>
      <c r="C572" s="278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</row>
    <row r="573" spans="1:27">
      <c r="A573" s="273">
        <v>195</v>
      </c>
      <c r="B573" s="274">
        <v>63</v>
      </c>
      <c r="C573" s="278" t="s">
        <v>148</v>
      </c>
      <c r="D573" s="275" t="s">
        <v>434</v>
      </c>
      <c r="E573" s="275" t="s">
        <v>435</v>
      </c>
      <c r="F573" s="275" t="s">
        <v>436</v>
      </c>
      <c r="G573" s="275" t="s">
        <v>437</v>
      </c>
      <c r="H573" s="275" t="s">
        <v>438</v>
      </c>
      <c r="I573" s="275" t="s">
        <v>439</v>
      </c>
      <c r="J573" s="275" t="s">
        <v>440</v>
      </c>
      <c r="K573" s="275" t="s">
        <v>441</v>
      </c>
      <c r="L573" s="275" t="s">
        <v>442</v>
      </c>
      <c r="M573" s="275" t="s">
        <v>443</v>
      </c>
      <c r="N573" s="275" t="s">
        <v>444</v>
      </c>
      <c r="O573" s="275" t="s">
        <v>445</v>
      </c>
      <c r="P573" s="275" t="s">
        <v>446</v>
      </c>
      <c r="Q573" s="275" t="s">
        <v>447</v>
      </c>
      <c r="R573" s="275" t="s">
        <v>448</v>
      </c>
      <c r="S573" s="275" t="s">
        <v>449</v>
      </c>
      <c r="T573" s="275" t="s">
        <v>450</v>
      </c>
      <c r="U573" s="275"/>
      <c r="V573" s="275"/>
      <c r="W573" s="275"/>
      <c r="X573" s="275"/>
      <c r="Y573" s="275"/>
      <c r="Z573" s="275"/>
      <c r="AA573" s="275"/>
    </row>
    <row r="574" spans="1:27">
      <c r="A574" s="273"/>
      <c r="B574" s="274"/>
      <c r="C574" s="278"/>
      <c r="D574" s="275">
        <v>1.4E-2</v>
      </c>
      <c r="E574" s="275">
        <v>8.1000000000000003E-2</v>
      </c>
      <c r="F574" s="275">
        <v>6.0999999999999999E-2</v>
      </c>
      <c r="G574" s="275">
        <v>6.7000000000000004E-2</v>
      </c>
      <c r="H574" s="275">
        <v>0.22800000000000001</v>
      </c>
      <c r="I574" s="275">
        <v>0.216</v>
      </c>
      <c r="J574" s="275">
        <v>0.22800000000000001</v>
      </c>
      <c r="K574" s="275">
        <v>0.182</v>
      </c>
      <c r="L574" s="275">
        <v>0.185</v>
      </c>
      <c r="M574" s="275">
        <v>0.52700000000000002</v>
      </c>
      <c r="N574" s="275">
        <v>0.53300000000000003</v>
      </c>
      <c r="O574" s="275">
        <v>0.55800000000000005</v>
      </c>
      <c r="P574" s="275">
        <v>0.56899999999999995</v>
      </c>
      <c r="Q574" s="275">
        <v>0.57699999999999996</v>
      </c>
      <c r="R574" s="275">
        <v>1.2330000000000001</v>
      </c>
      <c r="S574" s="275">
        <v>1.3360000000000001</v>
      </c>
      <c r="T574" s="275">
        <v>1.4039999999999999</v>
      </c>
      <c r="U574" s="275"/>
      <c r="V574" s="275"/>
      <c r="W574" s="275"/>
      <c r="X574" s="275"/>
      <c r="Y574" s="275"/>
      <c r="Z574" s="275"/>
      <c r="AA574" s="275"/>
    </row>
    <row r="575" spans="1:27">
      <c r="A575" s="273"/>
      <c r="B575" s="274"/>
      <c r="C575" s="278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</row>
    <row r="576" spans="1:27">
      <c r="A576" s="273">
        <v>196</v>
      </c>
      <c r="B576" s="274">
        <v>64</v>
      </c>
      <c r="C576" s="278" t="s">
        <v>149</v>
      </c>
      <c r="D576" s="275" t="s">
        <v>434</v>
      </c>
      <c r="E576" s="275" t="s">
        <v>435</v>
      </c>
      <c r="F576" s="275" t="s">
        <v>436</v>
      </c>
      <c r="G576" s="275" t="s">
        <v>437</v>
      </c>
      <c r="H576" s="275" t="s">
        <v>438</v>
      </c>
      <c r="I576" s="275" t="s">
        <v>439</v>
      </c>
      <c r="J576" s="275" t="s">
        <v>440</v>
      </c>
      <c r="K576" s="275" t="s">
        <v>441</v>
      </c>
      <c r="L576" s="275" t="s">
        <v>442</v>
      </c>
      <c r="M576" s="275" t="s">
        <v>443</v>
      </c>
      <c r="N576" s="275" t="s">
        <v>444</v>
      </c>
      <c r="O576" s="275" t="s">
        <v>445</v>
      </c>
      <c r="P576" s="275" t="s">
        <v>446</v>
      </c>
      <c r="Q576" s="275" t="s">
        <v>447</v>
      </c>
      <c r="R576" s="275" t="s">
        <v>448</v>
      </c>
      <c r="S576" s="275" t="s">
        <v>449</v>
      </c>
      <c r="T576" s="275" t="s">
        <v>450</v>
      </c>
      <c r="U576" s="275"/>
      <c r="V576" s="275"/>
      <c r="W576" s="275"/>
      <c r="X576" s="275"/>
      <c r="Y576" s="275"/>
      <c r="Z576" s="275"/>
      <c r="AA576" s="275"/>
    </row>
    <row r="577" spans="1:27">
      <c r="A577" s="273"/>
      <c r="B577" s="274"/>
      <c r="C577" s="278"/>
      <c r="D577" s="275">
        <v>1.4E-2</v>
      </c>
      <c r="E577" s="275">
        <v>7.9000000000000001E-2</v>
      </c>
      <c r="F577" s="275">
        <v>0.06</v>
      </c>
      <c r="G577" s="275">
        <v>6.6000000000000003E-2</v>
      </c>
      <c r="H577" s="275">
        <v>0.224</v>
      </c>
      <c r="I577" s="275">
        <v>0.21199999999999999</v>
      </c>
      <c r="J577" s="275">
        <v>0.224</v>
      </c>
      <c r="K577" s="275">
        <v>0.17799999999999999</v>
      </c>
      <c r="L577" s="275">
        <v>0.182</v>
      </c>
      <c r="M577" s="275">
        <v>0.51600000000000001</v>
      </c>
      <c r="N577" s="275">
        <v>0.52100000000000002</v>
      </c>
      <c r="O577" s="275">
        <v>0.54600000000000004</v>
      </c>
      <c r="P577" s="275">
        <v>0.55500000000000005</v>
      </c>
      <c r="Q577" s="275">
        <v>0.56399999999999995</v>
      </c>
      <c r="R577" s="275">
        <v>1.2090000000000001</v>
      </c>
      <c r="S577" s="275">
        <v>1.3140000000000001</v>
      </c>
      <c r="T577" s="275">
        <v>1.387</v>
      </c>
      <c r="U577" s="275"/>
      <c r="V577" s="275"/>
      <c r="W577" s="275"/>
      <c r="X577" s="275"/>
      <c r="Y577" s="275"/>
      <c r="Z577" s="275"/>
      <c r="AA577" s="275"/>
    </row>
    <row r="578" spans="1:27">
      <c r="A578" s="273"/>
      <c r="B578" s="274"/>
      <c r="C578" s="278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</row>
    <row r="579" spans="1:27">
      <c r="A579" s="273">
        <v>197</v>
      </c>
      <c r="B579" s="274">
        <v>64</v>
      </c>
      <c r="C579" s="278" t="s">
        <v>150</v>
      </c>
      <c r="D579" s="275" t="s">
        <v>434</v>
      </c>
      <c r="E579" s="275" t="s">
        <v>435</v>
      </c>
      <c r="F579" s="275" t="s">
        <v>436</v>
      </c>
      <c r="G579" s="275" t="s">
        <v>437</v>
      </c>
      <c r="H579" s="275" t="s">
        <v>438</v>
      </c>
      <c r="I579" s="275" t="s">
        <v>439</v>
      </c>
      <c r="J579" s="275" t="s">
        <v>440</v>
      </c>
      <c r="K579" s="275" t="s">
        <v>441</v>
      </c>
      <c r="L579" s="275" t="s">
        <v>442</v>
      </c>
      <c r="M579" s="275" t="s">
        <v>443</v>
      </c>
      <c r="N579" s="275" t="s">
        <v>444</v>
      </c>
      <c r="O579" s="275" t="s">
        <v>445</v>
      </c>
      <c r="P579" s="275" t="s">
        <v>446</v>
      </c>
      <c r="Q579" s="275" t="s">
        <v>447</v>
      </c>
      <c r="R579" s="275" t="s">
        <v>448</v>
      </c>
      <c r="S579" s="275" t="s">
        <v>449</v>
      </c>
      <c r="T579" s="275" t="s">
        <v>450</v>
      </c>
      <c r="U579" s="275"/>
      <c r="V579" s="275"/>
      <c r="W579" s="275"/>
      <c r="X579" s="275"/>
      <c r="Y579" s="275"/>
      <c r="Z579" s="275"/>
      <c r="AA579" s="275"/>
    </row>
    <row r="580" spans="1:27">
      <c r="A580" s="273"/>
      <c r="B580" s="274"/>
      <c r="C580" s="278"/>
      <c r="D580" s="275">
        <v>1.4E-2</v>
      </c>
      <c r="E580" s="275">
        <v>7.9000000000000001E-2</v>
      </c>
      <c r="F580" s="275">
        <v>0.06</v>
      </c>
      <c r="G580" s="275">
        <v>6.6000000000000003E-2</v>
      </c>
      <c r="H580" s="275">
        <v>0.224</v>
      </c>
      <c r="I580" s="275">
        <v>0.21199999999999999</v>
      </c>
      <c r="J580" s="275">
        <v>0.224</v>
      </c>
      <c r="K580" s="275">
        <v>0.17799999999999999</v>
      </c>
      <c r="L580" s="275">
        <v>0.182</v>
      </c>
      <c r="M580" s="275">
        <v>0.51600000000000001</v>
      </c>
      <c r="N580" s="275">
        <v>0.52100000000000002</v>
      </c>
      <c r="O580" s="275">
        <v>0.54600000000000004</v>
      </c>
      <c r="P580" s="275">
        <v>0.55500000000000005</v>
      </c>
      <c r="Q580" s="275">
        <v>0.56399999999999995</v>
      </c>
      <c r="R580" s="275">
        <v>1.21</v>
      </c>
      <c r="S580" s="275">
        <v>1.3140000000000001</v>
      </c>
      <c r="T580" s="275">
        <v>1.3859999999999999</v>
      </c>
      <c r="U580" s="275"/>
      <c r="V580" s="275"/>
      <c r="W580" s="275"/>
      <c r="X580" s="275"/>
      <c r="Y580" s="275"/>
      <c r="Z580" s="275"/>
      <c r="AA580" s="275"/>
    </row>
    <row r="581" spans="1:27">
      <c r="A581" s="273"/>
      <c r="B581" s="274"/>
      <c r="C581" s="278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</row>
    <row r="582" spans="1:27">
      <c r="A582" s="273">
        <v>198</v>
      </c>
      <c r="B582" s="274">
        <v>64</v>
      </c>
      <c r="C582" s="278" t="s">
        <v>151</v>
      </c>
      <c r="D582" s="275" t="s">
        <v>434</v>
      </c>
      <c r="E582" s="275" t="s">
        <v>435</v>
      </c>
      <c r="F582" s="275" t="s">
        <v>436</v>
      </c>
      <c r="G582" s="275" t="s">
        <v>437</v>
      </c>
      <c r="H582" s="275" t="s">
        <v>438</v>
      </c>
      <c r="I582" s="275" t="s">
        <v>439</v>
      </c>
      <c r="J582" s="275" t="s">
        <v>440</v>
      </c>
      <c r="K582" s="275" t="s">
        <v>441</v>
      </c>
      <c r="L582" s="275" t="s">
        <v>442</v>
      </c>
      <c r="M582" s="275" t="s">
        <v>443</v>
      </c>
      <c r="N582" s="275" t="s">
        <v>444</v>
      </c>
      <c r="O582" s="275" t="s">
        <v>445</v>
      </c>
      <c r="P582" s="275" t="s">
        <v>446</v>
      </c>
      <c r="Q582" s="275" t="s">
        <v>447</v>
      </c>
      <c r="R582" s="275" t="s">
        <v>448</v>
      </c>
      <c r="S582" s="275" t="s">
        <v>449</v>
      </c>
      <c r="T582" s="275" t="s">
        <v>450</v>
      </c>
      <c r="U582" s="275"/>
      <c r="V582" s="275"/>
      <c r="W582" s="275"/>
      <c r="X582" s="275"/>
      <c r="Y582" s="275"/>
      <c r="Z582" s="275"/>
      <c r="AA582" s="275"/>
    </row>
    <row r="583" spans="1:27">
      <c r="A583" s="273"/>
      <c r="B583" s="274"/>
      <c r="C583" s="278"/>
      <c r="D583" s="275">
        <v>1.4E-2</v>
      </c>
      <c r="E583" s="275">
        <v>7.9000000000000001E-2</v>
      </c>
      <c r="F583" s="275">
        <v>0.06</v>
      </c>
      <c r="G583" s="275">
        <v>6.6000000000000003E-2</v>
      </c>
      <c r="H583" s="275">
        <v>0.224</v>
      </c>
      <c r="I583" s="275">
        <v>0.21199999999999999</v>
      </c>
      <c r="J583" s="275">
        <v>0.224</v>
      </c>
      <c r="K583" s="275">
        <v>0.17799999999999999</v>
      </c>
      <c r="L583" s="275">
        <v>0.182</v>
      </c>
      <c r="M583" s="275">
        <v>0.51600000000000001</v>
      </c>
      <c r="N583" s="275">
        <v>0.52100000000000002</v>
      </c>
      <c r="O583" s="275">
        <v>0.54600000000000004</v>
      </c>
      <c r="P583" s="275">
        <v>0.55500000000000005</v>
      </c>
      <c r="Q583" s="275">
        <v>0.56399999999999995</v>
      </c>
      <c r="R583" s="275">
        <v>1.208</v>
      </c>
      <c r="S583" s="275">
        <v>1.3080000000000001</v>
      </c>
      <c r="T583" s="275">
        <v>1.3779999999999999</v>
      </c>
      <c r="U583" s="275"/>
      <c r="V583" s="275"/>
      <c r="W583" s="275"/>
      <c r="X583" s="275"/>
      <c r="Y583" s="275"/>
      <c r="Z583" s="275"/>
      <c r="AA583" s="275"/>
    </row>
    <row r="584" spans="1:27">
      <c r="A584" s="273"/>
      <c r="B584" s="274"/>
      <c r="C584" s="278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</row>
    <row r="585" spans="1:27">
      <c r="A585" s="273">
        <v>199</v>
      </c>
      <c r="B585" s="274">
        <v>65</v>
      </c>
      <c r="C585" s="278" t="s">
        <v>152</v>
      </c>
      <c r="D585" s="275" t="s">
        <v>434</v>
      </c>
      <c r="E585" s="275" t="s">
        <v>435</v>
      </c>
      <c r="F585" s="275" t="s">
        <v>436</v>
      </c>
      <c r="G585" s="275" t="s">
        <v>437</v>
      </c>
      <c r="H585" s="275" t="s">
        <v>438</v>
      </c>
      <c r="I585" s="275" t="s">
        <v>439</v>
      </c>
      <c r="J585" s="275" t="s">
        <v>440</v>
      </c>
      <c r="K585" s="275" t="s">
        <v>441</v>
      </c>
      <c r="L585" s="275" t="s">
        <v>442</v>
      </c>
      <c r="M585" s="275" t="s">
        <v>443</v>
      </c>
      <c r="N585" s="275" t="s">
        <v>444</v>
      </c>
      <c r="O585" s="275" t="s">
        <v>445</v>
      </c>
      <c r="P585" s="275" t="s">
        <v>446</v>
      </c>
      <c r="Q585" s="275" t="s">
        <v>447</v>
      </c>
      <c r="R585" s="275" t="s">
        <v>448</v>
      </c>
      <c r="S585" s="275" t="s">
        <v>449</v>
      </c>
      <c r="T585" s="275" t="s">
        <v>450</v>
      </c>
      <c r="U585" s="275"/>
      <c r="V585" s="275"/>
      <c r="W585" s="275"/>
      <c r="X585" s="275"/>
      <c r="Y585" s="275"/>
      <c r="Z585" s="275"/>
      <c r="AA585" s="275"/>
    </row>
    <row r="586" spans="1:27">
      <c r="A586" s="273"/>
      <c r="B586" s="274"/>
      <c r="C586" s="278"/>
      <c r="D586" s="275">
        <v>1.4E-2</v>
      </c>
      <c r="E586" s="275">
        <v>7.6999999999999999E-2</v>
      </c>
      <c r="F586" s="275">
        <v>5.8999999999999997E-2</v>
      </c>
      <c r="G586" s="275">
        <v>6.5000000000000002E-2</v>
      </c>
      <c r="H586" s="275">
        <v>0.219</v>
      </c>
      <c r="I586" s="275">
        <v>0.20699999999999999</v>
      </c>
      <c r="J586" s="275">
        <v>0.219</v>
      </c>
      <c r="K586" s="275">
        <v>0.17499999999999999</v>
      </c>
      <c r="L586" s="275">
        <v>0.17799999999999999</v>
      </c>
      <c r="M586" s="275">
        <v>0.505</v>
      </c>
      <c r="N586" s="275">
        <v>0.51</v>
      </c>
      <c r="O586" s="275">
        <v>0.53500000000000003</v>
      </c>
      <c r="P586" s="275">
        <v>0.54400000000000004</v>
      </c>
      <c r="Q586" s="275">
        <v>0.55200000000000005</v>
      </c>
      <c r="R586" s="275">
        <v>1.198</v>
      </c>
      <c r="S586" s="275">
        <v>1.3089999999999999</v>
      </c>
      <c r="T586" s="275">
        <v>1.387</v>
      </c>
      <c r="U586" s="275"/>
      <c r="V586" s="275"/>
      <c r="W586" s="275"/>
      <c r="X586" s="275"/>
      <c r="Y586" s="275"/>
      <c r="Z586" s="275"/>
      <c r="AA586" s="275"/>
    </row>
    <row r="587" spans="1:27">
      <c r="A587" s="273"/>
      <c r="B587" s="274"/>
      <c r="C587" s="278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</row>
    <row r="588" spans="1:27">
      <c r="A588" s="273">
        <v>200</v>
      </c>
      <c r="B588" s="274">
        <v>65</v>
      </c>
      <c r="C588" s="278" t="s">
        <v>373</v>
      </c>
      <c r="D588" s="275" t="s">
        <v>434</v>
      </c>
      <c r="E588" s="275" t="s">
        <v>435</v>
      </c>
      <c r="F588" s="275" t="s">
        <v>436</v>
      </c>
      <c r="G588" s="275" t="s">
        <v>437</v>
      </c>
      <c r="H588" s="275" t="s">
        <v>438</v>
      </c>
      <c r="I588" s="275" t="s">
        <v>439</v>
      </c>
      <c r="J588" s="275" t="s">
        <v>440</v>
      </c>
      <c r="K588" s="275" t="s">
        <v>441</v>
      </c>
      <c r="L588" s="275" t="s">
        <v>442</v>
      </c>
      <c r="M588" s="275" t="s">
        <v>443</v>
      </c>
      <c r="N588" s="275" t="s">
        <v>444</v>
      </c>
      <c r="O588" s="275" t="s">
        <v>445</v>
      </c>
      <c r="P588" s="275" t="s">
        <v>446</v>
      </c>
      <c r="Q588" s="275" t="s">
        <v>447</v>
      </c>
      <c r="R588" s="275" t="s">
        <v>448</v>
      </c>
      <c r="S588" s="275" t="s">
        <v>449</v>
      </c>
      <c r="T588" s="275" t="s">
        <v>450</v>
      </c>
      <c r="U588" s="275"/>
      <c r="V588" s="275"/>
      <c r="W588" s="275"/>
      <c r="X588" s="275"/>
      <c r="Y588" s="275"/>
      <c r="Z588" s="275"/>
      <c r="AA588" s="275"/>
    </row>
    <row r="589" spans="1:27">
      <c r="A589" s="273"/>
      <c r="B589" s="274"/>
      <c r="C589" s="278"/>
      <c r="D589" s="275">
        <v>1.4E-2</v>
      </c>
      <c r="E589" s="275">
        <v>7.6999999999999999E-2</v>
      </c>
      <c r="F589" s="275">
        <v>5.8999999999999997E-2</v>
      </c>
      <c r="G589" s="275">
        <v>6.5000000000000002E-2</v>
      </c>
      <c r="H589" s="275">
        <v>0.219</v>
      </c>
      <c r="I589" s="275">
        <v>0.20699999999999999</v>
      </c>
      <c r="J589" s="275">
        <v>0.219</v>
      </c>
      <c r="K589" s="275">
        <v>0.17499999999999999</v>
      </c>
      <c r="L589" s="275">
        <v>0.17799999999999999</v>
      </c>
      <c r="M589" s="275">
        <v>0.505</v>
      </c>
      <c r="N589" s="275">
        <v>0.50900000000000001</v>
      </c>
      <c r="O589" s="275">
        <v>0.53500000000000003</v>
      </c>
      <c r="P589" s="275">
        <v>0.54300000000000004</v>
      </c>
      <c r="Q589" s="275">
        <v>0.55100000000000005</v>
      </c>
      <c r="R589" s="275">
        <v>1.1839999999999999</v>
      </c>
      <c r="S589" s="275">
        <v>1.282</v>
      </c>
      <c r="T589" s="275">
        <v>1.3540000000000001</v>
      </c>
      <c r="U589" s="275"/>
      <c r="V589" s="275"/>
      <c r="W589" s="275"/>
      <c r="X589" s="275"/>
      <c r="Y589" s="275"/>
      <c r="Z589" s="275"/>
      <c r="AA589" s="275"/>
    </row>
    <row r="590" spans="1:27">
      <c r="A590" s="273"/>
      <c r="B590" s="274"/>
      <c r="C590" s="278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</row>
    <row r="591" spans="1:27">
      <c r="A591" s="273">
        <v>201</v>
      </c>
      <c r="B591" s="274">
        <v>65</v>
      </c>
      <c r="C591" s="278" t="s">
        <v>153</v>
      </c>
      <c r="D591" s="275" t="s">
        <v>434</v>
      </c>
      <c r="E591" s="275" t="s">
        <v>435</v>
      </c>
      <c r="F591" s="275" t="s">
        <v>436</v>
      </c>
      <c r="G591" s="275" t="s">
        <v>437</v>
      </c>
      <c r="H591" s="275" t="s">
        <v>438</v>
      </c>
      <c r="I591" s="275" t="s">
        <v>439</v>
      </c>
      <c r="J591" s="275" t="s">
        <v>440</v>
      </c>
      <c r="K591" s="275" t="s">
        <v>441</v>
      </c>
      <c r="L591" s="275" t="s">
        <v>442</v>
      </c>
      <c r="M591" s="275" t="s">
        <v>443</v>
      </c>
      <c r="N591" s="275" t="s">
        <v>444</v>
      </c>
      <c r="O591" s="275" t="s">
        <v>445</v>
      </c>
      <c r="P591" s="275" t="s">
        <v>446</v>
      </c>
      <c r="Q591" s="275" t="s">
        <v>447</v>
      </c>
      <c r="R591" s="275" t="s">
        <v>448</v>
      </c>
      <c r="S591" s="275" t="s">
        <v>449</v>
      </c>
      <c r="T591" s="275" t="s">
        <v>450</v>
      </c>
      <c r="U591" s="275"/>
      <c r="V591" s="275"/>
      <c r="W591" s="275"/>
      <c r="X591" s="275"/>
      <c r="Y591" s="275"/>
      <c r="Z591" s="275"/>
      <c r="AA591" s="275"/>
    </row>
    <row r="592" spans="1:27">
      <c r="A592" s="273"/>
      <c r="B592" s="274"/>
      <c r="C592" s="278"/>
      <c r="D592" s="275">
        <v>1.4E-2</v>
      </c>
      <c r="E592" s="275">
        <v>7.6999999999999999E-2</v>
      </c>
      <c r="F592" s="275">
        <v>5.8999999999999997E-2</v>
      </c>
      <c r="G592" s="275">
        <v>6.5000000000000002E-2</v>
      </c>
      <c r="H592" s="275">
        <v>0.219</v>
      </c>
      <c r="I592" s="275">
        <v>0.20699999999999999</v>
      </c>
      <c r="J592" s="275">
        <v>0.219</v>
      </c>
      <c r="K592" s="275">
        <v>0.17499999999999999</v>
      </c>
      <c r="L592" s="275">
        <v>0.17799999999999999</v>
      </c>
      <c r="M592" s="275">
        <v>0.504</v>
      </c>
      <c r="N592" s="275">
        <v>0.50900000000000001</v>
      </c>
      <c r="O592" s="275">
        <v>0.53400000000000003</v>
      </c>
      <c r="P592" s="275">
        <v>0.54100000000000004</v>
      </c>
      <c r="Q592" s="275">
        <v>0.55000000000000004</v>
      </c>
      <c r="R592" s="275">
        <v>1.1659999999999999</v>
      </c>
      <c r="S592" s="275">
        <v>1.2549999999999999</v>
      </c>
      <c r="T592" s="275">
        <v>1.321</v>
      </c>
      <c r="U592" s="275"/>
      <c r="V592" s="275"/>
      <c r="W592" s="275"/>
      <c r="X592" s="275"/>
      <c r="Y592" s="275"/>
      <c r="Z592" s="275"/>
      <c r="AA592" s="275"/>
    </row>
    <row r="593" spans="1:27">
      <c r="A593" s="273"/>
      <c r="B593" s="274"/>
      <c r="C593" s="278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</row>
    <row r="594" spans="1:27">
      <c r="A594" s="273">
        <v>202</v>
      </c>
      <c r="B594" s="274">
        <v>66</v>
      </c>
      <c r="C594" s="278" t="s">
        <v>374</v>
      </c>
      <c r="D594" s="275" t="s">
        <v>434</v>
      </c>
      <c r="E594" s="275" t="s">
        <v>435</v>
      </c>
      <c r="F594" s="275" t="s">
        <v>436</v>
      </c>
      <c r="G594" s="275" t="s">
        <v>437</v>
      </c>
      <c r="H594" s="275" t="s">
        <v>438</v>
      </c>
      <c r="I594" s="275" t="s">
        <v>439</v>
      </c>
      <c r="J594" s="275" t="s">
        <v>440</v>
      </c>
      <c r="K594" s="275" t="s">
        <v>441</v>
      </c>
      <c r="L594" s="275" t="s">
        <v>442</v>
      </c>
      <c r="M594" s="275" t="s">
        <v>443</v>
      </c>
      <c r="N594" s="275" t="s">
        <v>444</v>
      </c>
      <c r="O594" s="275" t="s">
        <v>445</v>
      </c>
      <c r="P594" s="275" t="s">
        <v>446</v>
      </c>
      <c r="Q594" s="275" t="s">
        <v>447</v>
      </c>
      <c r="R594" s="275" t="s">
        <v>448</v>
      </c>
      <c r="S594" s="275" t="s">
        <v>449</v>
      </c>
      <c r="T594" s="275" t="s">
        <v>450</v>
      </c>
      <c r="U594" s="275"/>
      <c r="V594" s="275"/>
      <c r="W594" s="275"/>
      <c r="X594" s="275"/>
      <c r="Y594" s="275"/>
      <c r="Z594" s="275"/>
      <c r="AA594" s="275"/>
    </row>
    <row r="595" spans="1:27">
      <c r="A595" s="273"/>
      <c r="B595" s="274"/>
      <c r="C595" s="278"/>
      <c r="D595" s="275">
        <v>1.2999999999999999E-2</v>
      </c>
      <c r="E595" s="275">
        <v>7.5999999999999998E-2</v>
      </c>
      <c r="F595" s="275">
        <v>5.8000000000000003E-2</v>
      </c>
      <c r="G595" s="275">
        <v>6.4000000000000001E-2</v>
      </c>
      <c r="H595" s="275">
        <v>0.215</v>
      </c>
      <c r="I595" s="275">
        <v>0.20300000000000001</v>
      </c>
      <c r="J595" s="275">
        <v>0.215</v>
      </c>
      <c r="K595" s="275">
        <v>0.17100000000000001</v>
      </c>
      <c r="L595" s="275">
        <v>0.17399999999999999</v>
      </c>
      <c r="M595" s="275">
        <v>0.49399999999999999</v>
      </c>
      <c r="N595" s="275">
        <v>0.499</v>
      </c>
      <c r="O595" s="275">
        <v>0.52400000000000002</v>
      </c>
      <c r="P595" s="275">
        <v>0.53100000000000003</v>
      </c>
      <c r="Q595" s="275">
        <v>0.54</v>
      </c>
      <c r="R595" s="275">
        <v>1.175</v>
      </c>
      <c r="S595" s="275">
        <v>1.282</v>
      </c>
      <c r="T595" s="275">
        <v>1.361</v>
      </c>
      <c r="U595" s="275"/>
      <c r="V595" s="275"/>
      <c r="W595" s="275"/>
      <c r="X595" s="275"/>
      <c r="Y595" s="275"/>
      <c r="Z595" s="275"/>
      <c r="AA595" s="275"/>
    </row>
    <row r="596" spans="1:27">
      <c r="A596" s="273"/>
      <c r="B596" s="274"/>
      <c r="C596" s="278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</row>
    <row r="597" spans="1:27">
      <c r="A597" s="273">
        <v>203</v>
      </c>
      <c r="B597" s="274">
        <v>66</v>
      </c>
      <c r="C597" s="278" t="s">
        <v>154</v>
      </c>
      <c r="D597" s="275" t="s">
        <v>434</v>
      </c>
      <c r="E597" s="275" t="s">
        <v>435</v>
      </c>
      <c r="F597" s="275" t="s">
        <v>436</v>
      </c>
      <c r="G597" s="275" t="s">
        <v>437</v>
      </c>
      <c r="H597" s="275" t="s">
        <v>438</v>
      </c>
      <c r="I597" s="275" t="s">
        <v>439</v>
      </c>
      <c r="J597" s="275" t="s">
        <v>440</v>
      </c>
      <c r="K597" s="275" t="s">
        <v>441</v>
      </c>
      <c r="L597" s="275" t="s">
        <v>442</v>
      </c>
      <c r="M597" s="275" t="s">
        <v>443</v>
      </c>
      <c r="N597" s="275" t="s">
        <v>444</v>
      </c>
      <c r="O597" s="275" t="s">
        <v>445</v>
      </c>
      <c r="P597" s="275" t="s">
        <v>446</v>
      </c>
      <c r="Q597" s="275" t="s">
        <v>447</v>
      </c>
      <c r="R597" s="275" t="s">
        <v>448</v>
      </c>
      <c r="S597" s="275" t="s">
        <v>449</v>
      </c>
      <c r="T597" s="275" t="s">
        <v>450</v>
      </c>
      <c r="U597" s="275"/>
      <c r="V597" s="275"/>
      <c r="W597" s="275"/>
      <c r="X597" s="275"/>
      <c r="Y597" s="275"/>
      <c r="Z597" s="275"/>
      <c r="AA597" s="275"/>
    </row>
    <row r="598" spans="1:27">
      <c r="A598" s="273"/>
      <c r="B598" s="274"/>
      <c r="C598" s="278"/>
      <c r="D598" s="275">
        <v>1.2999999999999999E-2</v>
      </c>
      <c r="E598" s="275">
        <v>7.5999999999999998E-2</v>
      </c>
      <c r="F598" s="275">
        <v>5.8000000000000003E-2</v>
      </c>
      <c r="G598" s="275">
        <v>6.4000000000000001E-2</v>
      </c>
      <c r="H598" s="275">
        <v>0.215</v>
      </c>
      <c r="I598" s="275">
        <v>0.20300000000000001</v>
      </c>
      <c r="J598" s="275">
        <v>0.215</v>
      </c>
      <c r="K598" s="275">
        <v>0.17100000000000001</v>
      </c>
      <c r="L598" s="275">
        <v>0.17399999999999999</v>
      </c>
      <c r="M598" s="275">
        <v>0.49399999999999999</v>
      </c>
      <c r="N598" s="275">
        <v>0.498</v>
      </c>
      <c r="O598" s="275">
        <v>0.52400000000000002</v>
      </c>
      <c r="P598" s="275">
        <v>0.53100000000000003</v>
      </c>
      <c r="Q598" s="275">
        <v>0.53900000000000003</v>
      </c>
      <c r="R598" s="275">
        <v>1.1599999999999999</v>
      </c>
      <c r="S598" s="275">
        <v>1.2569999999999999</v>
      </c>
      <c r="T598" s="275">
        <v>1.33</v>
      </c>
      <c r="U598" s="275"/>
      <c r="V598" s="275"/>
      <c r="W598" s="275"/>
      <c r="X598" s="275"/>
      <c r="Y598" s="275"/>
      <c r="Z598" s="275"/>
      <c r="AA598" s="275"/>
    </row>
    <row r="599" spans="1:27">
      <c r="A599" s="273"/>
      <c r="B599" s="274"/>
      <c r="C599" s="278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</row>
    <row r="600" spans="1:27">
      <c r="A600" s="273">
        <v>204</v>
      </c>
      <c r="B600" s="274">
        <v>67</v>
      </c>
      <c r="C600" s="278" t="s">
        <v>375</v>
      </c>
      <c r="D600" s="275" t="s">
        <v>434</v>
      </c>
      <c r="E600" s="275" t="s">
        <v>435</v>
      </c>
      <c r="F600" s="275" t="s">
        <v>436</v>
      </c>
      <c r="G600" s="275" t="s">
        <v>437</v>
      </c>
      <c r="H600" s="275" t="s">
        <v>438</v>
      </c>
      <c r="I600" s="275" t="s">
        <v>439</v>
      </c>
      <c r="J600" s="275" t="s">
        <v>440</v>
      </c>
      <c r="K600" s="275" t="s">
        <v>441</v>
      </c>
      <c r="L600" s="275" t="s">
        <v>442</v>
      </c>
      <c r="M600" s="275" t="s">
        <v>443</v>
      </c>
      <c r="N600" s="275" t="s">
        <v>444</v>
      </c>
      <c r="O600" s="275" t="s">
        <v>445</v>
      </c>
      <c r="P600" s="275" t="s">
        <v>446</v>
      </c>
      <c r="Q600" s="275" t="s">
        <v>447</v>
      </c>
      <c r="R600" s="275" t="s">
        <v>448</v>
      </c>
      <c r="S600" s="275" t="s">
        <v>449</v>
      </c>
      <c r="T600" s="275" t="s">
        <v>450</v>
      </c>
      <c r="U600" s="275"/>
      <c r="V600" s="275"/>
      <c r="W600" s="275"/>
      <c r="X600" s="275"/>
      <c r="Y600" s="275"/>
      <c r="Z600" s="275"/>
      <c r="AA600" s="275"/>
    </row>
    <row r="601" spans="1:27">
      <c r="A601" s="273"/>
      <c r="B601" s="274"/>
      <c r="C601" s="278"/>
      <c r="D601" s="275">
        <v>1.2999999999999999E-2</v>
      </c>
      <c r="E601" s="275">
        <v>7.4999999999999997E-2</v>
      </c>
      <c r="F601" s="275">
        <v>5.7000000000000002E-2</v>
      </c>
      <c r="G601" s="275">
        <v>6.2E-2</v>
      </c>
      <c r="H601" s="275">
        <v>0.21099999999999999</v>
      </c>
      <c r="I601" s="275">
        <v>0.19900000000000001</v>
      </c>
      <c r="J601" s="275">
        <v>0.21099999999999999</v>
      </c>
      <c r="K601" s="275">
        <v>0.16800000000000001</v>
      </c>
      <c r="L601" s="275">
        <v>0.17100000000000001</v>
      </c>
      <c r="M601" s="275">
        <v>0.48399999999999999</v>
      </c>
      <c r="N601" s="275">
        <v>0.48799999999999999</v>
      </c>
      <c r="O601" s="275">
        <v>0.51400000000000001</v>
      </c>
      <c r="P601" s="275">
        <v>0.51900000000000002</v>
      </c>
      <c r="Q601" s="275">
        <v>0.52800000000000002</v>
      </c>
      <c r="R601" s="275">
        <v>1.1379999999999999</v>
      </c>
      <c r="S601" s="275">
        <v>1.2330000000000001</v>
      </c>
      <c r="T601" s="275">
        <v>1.3080000000000001</v>
      </c>
      <c r="U601" s="275"/>
      <c r="V601" s="275"/>
      <c r="W601" s="275"/>
      <c r="X601" s="275"/>
      <c r="Y601" s="275"/>
      <c r="Z601" s="275"/>
      <c r="AA601" s="275"/>
    </row>
    <row r="602" spans="1:27">
      <c r="A602" s="273"/>
      <c r="B602" s="274"/>
      <c r="C602" s="278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</row>
    <row r="603" spans="1:27">
      <c r="A603" s="273">
        <v>205</v>
      </c>
      <c r="B603" s="274">
        <v>68</v>
      </c>
      <c r="C603" s="278" t="s">
        <v>376</v>
      </c>
      <c r="D603" s="275" t="s">
        <v>434</v>
      </c>
      <c r="E603" s="275" t="s">
        <v>435</v>
      </c>
      <c r="F603" s="275" t="s">
        <v>436</v>
      </c>
      <c r="G603" s="275" t="s">
        <v>437</v>
      </c>
      <c r="H603" s="275" t="s">
        <v>438</v>
      </c>
      <c r="I603" s="275" t="s">
        <v>439</v>
      </c>
      <c r="J603" s="275" t="s">
        <v>440</v>
      </c>
      <c r="K603" s="275" t="s">
        <v>441</v>
      </c>
      <c r="L603" s="275" t="s">
        <v>442</v>
      </c>
      <c r="M603" s="275" t="s">
        <v>443</v>
      </c>
      <c r="N603" s="275" t="s">
        <v>444</v>
      </c>
      <c r="O603" s="275" t="s">
        <v>445</v>
      </c>
      <c r="P603" s="275" t="s">
        <v>446</v>
      </c>
      <c r="Q603" s="275" t="s">
        <v>447</v>
      </c>
      <c r="R603" s="275" t="s">
        <v>448</v>
      </c>
      <c r="S603" s="275" t="s">
        <v>449</v>
      </c>
      <c r="T603" s="275" t="s">
        <v>450</v>
      </c>
      <c r="U603" s="275"/>
      <c r="V603" s="275"/>
      <c r="W603" s="275"/>
      <c r="X603" s="275"/>
      <c r="Y603" s="275"/>
      <c r="Z603" s="275"/>
      <c r="AA603" s="275"/>
    </row>
    <row r="604" spans="1:27">
      <c r="A604" s="273"/>
      <c r="B604" s="274"/>
      <c r="C604" s="278"/>
      <c r="D604" s="275">
        <v>1.2999999999999999E-2</v>
      </c>
      <c r="E604" s="275">
        <v>7.2999999999999995E-2</v>
      </c>
      <c r="F604" s="275">
        <v>5.6000000000000001E-2</v>
      </c>
      <c r="G604" s="275">
        <v>6.0999999999999999E-2</v>
      </c>
      <c r="H604" s="275">
        <v>0.20699999999999999</v>
      </c>
      <c r="I604" s="275">
        <v>0.19500000000000001</v>
      </c>
      <c r="J604" s="275">
        <v>0.20799999999999999</v>
      </c>
      <c r="K604" s="275">
        <v>0.16500000000000001</v>
      </c>
      <c r="L604" s="275">
        <v>0.16800000000000001</v>
      </c>
      <c r="M604" s="275">
        <v>0.47399999999999998</v>
      </c>
      <c r="N604" s="275">
        <v>0.47699999999999998</v>
      </c>
      <c r="O604" s="275">
        <v>0.504</v>
      </c>
      <c r="P604" s="275">
        <v>0.50800000000000001</v>
      </c>
      <c r="Q604" s="275">
        <v>0.51700000000000002</v>
      </c>
      <c r="R604" s="275">
        <v>1.117</v>
      </c>
      <c r="S604" s="275">
        <v>1.2090000000000001</v>
      </c>
      <c r="T604" s="275">
        <v>1.286</v>
      </c>
      <c r="U604" s="275"/>
      <c r="V604" s="275"/>
      <c r="W604" s="275"/>
      <c r="X604" s="275"/>
      <c r="Y604" s="275"/>
      <c r="Z604" s="275"/>
      <c r="AA604" s="275"/>
    </row>
    <row r="605" spans="1:27">
      <c r="A605" s="273"/>
      <c r="B605" s="274"/>
      <c r="C605" s="278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</row>
    <row r="606" spans="1:27">
      <c r="A606" s="273">
        <v>206</v>
      </c>
      <c r="B606" s="274">
        <v>69</v>
      </c>
      <c r="C606" s="278" t="s">
        <v>377</v>
      </c>
      <c r="D606" s="275" t="s">
        <v>434</v>
      </c>
      <c r="E606" s="275" t="s">
        <v>435</v>
      </c>
      <c r="F606" s="275" t="s">
        <v>436</v>
      </c>
      <c r="G606" s="275" t="s">
        <v>437</v>
      </c>
      <c r="H606" s="275" t="s">
        <v>438</v>
      </c>
      <c r="I606" s="275" t="s">
        <v>439</v>
      </c>
      <c r="J606" s="275" t="s">
        <v>440</v>
      </c>
      <c r="K606" s="275" t="s">
        <v>441</v>
      </c>
      <c r="L606" s="275" t="s">
        <v>442</v>
      </c>
      <c r="M606" s="275" t="s">
        <v>443</v>
      </c>
      <c r="N606" s="275" t="s">
        <v>444</v>
      </c>
      <c r="O606" s="275" t="s">
        <v>445</v>
      </c>
      <c r="P606" s="275" t="s">
        <v>446</v>
      </c>
      <c r="Q606" s="275" t="s">
        <v>447</v>
      </c>
      <c r="R606" s="275" t="s">
        <v>448</v>
      </c>
      <c r="S606" s="275" t="s">
        <v>449</v>
      </c>
      <c r="T606" s="275" t="s">
        <v>450</v>
      </c>
      <c r="U606" s="275"/>
      <c r="V606" s="275"/>
      <c r="W606" s="275"/>
      <c r="X606" s="275"/>
      <c r="Y606" s="275"/>
      <c r="Z606" s="275"/>
      <c r="AA606" s="275"/>
    </row>
    <row r="607" spans="1:27">
      <c r="A607" s="273"/>
      <c r="B607" s="274"/>
      <c r="C607" s="278"/>
      <c r="D607" s="275">
        <v>1.2999999999999999E-2</v>
      </c>
      <c r="E607" s="275">
        <v>7.1999999999999995E-2</v>
      </c>
      <c r="F607" s="275">
        <v>5.3999999999999999E-2</v>
      </c>
      <c r="G607" s="275">
        <v>0.06</v>
      </c>
      <c r="H607" s="275">
        <v>0.20300000000000001</v>
      </c>
      <c r="I607" s="275">
        <v>0.191</v>
      </c>
      <c r="J607" s="275">
        <v>0.20399999999999999</v>
      </c>
      <c r="K607" s="275">
        <v>0.161</v>
      </c>
      <c r="L607" s="275">
        <v>0.16500000000000001</v>
      </c>
      <c r="M607" s="275">
        <v>0.46500000000000002</v>
      </c>
      <c r="N607" s="275">
        <v>0.46800000000000003</v>
      </c>
      <c r="O607" s="275">
        <v>0.49399999999999999</v>
      </c>
      <c r="P607" s="275">
        <v>0.498</v>
      </c>
      <c r="Q607" s="275">
        <v>0.50700000000000001</v>
      </c>
      <c r="R607" s="275">
        <v>1.109</v>
      </c>
      <c r="S607" s="275">
        <v>1.208</v>
      </c>
      <c r="T607" s="275">
        <v>1.294</v>
      </c>
      <c r="U607" s="275"/>
      <c r="V607" s="275"/>
      <c r="W607" s="275"/>
      <c r="X607" s="275"/>
      <c r="Y607" s="275"/>
      <c r="Z607" s="275"/>
      <c r="AA607" s="275"/>
    </row>
    <row r="608" spans="1:27">
      <c r="A608" s="273"/>
      <c r="B608" s="274"/>
      <c r="C608" s="278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</row>
    <row r="609" spans="1:27">
      <c r="A609" s="273">
        <v>207</v>
      </c>
      <c r="B609" s="274">
        <v>69</v>
      </c>
      <c r="C609" s="278" t="s">
        <v>155</v>
      </c>
      <c r="D609" s="275" t="s">
        <v>434</v>
      </c>
      <c r="E609" s="275" t="s">
        <v>435</v>
      </c>
      <c r="F609" s="275" t="s">
        <v>436</v>
      </c>
      <c r="G609" s="275" t="s">
        <v>437</v>
      </c>
      <c r="H609" s="275" t="s">
        <v>438</v>
      </c>
      <c r="I609" s="275" t="s">
        <v>439</v>
      </c>
      <c r="J609" s="275" t="s">
        <v>440</v>
      </c>
      <c r="K609" s="275" t="s">
        <v>441</v>
      </c>
      <c r="L609" s="275" t="s">
        <v>442</v>
      </c>
      <c r="M609" s="275" t="s">
        <v>443</v>
      </c>
      <c r="N609" s="275" t="s">
        <v>444</v>
      </c>
      <c r="O609" s="275" t="s">
        <v>445</v>
      </c>
      <c r="P609" s="275" t="s">
        <v>446</v>
      </c>
      <c r="Q609" s="275" t="s">
        <v>447</v>
      </c>
      <c r="R609" s="275" t="s">
        <v>448</v>
      </c>
      <c r="S609" s="275" t="s">
        <v>449</v>
      </c>
      <c r="T609" s="275" t="s">
        <v>450</v>
      </c>
      <c r="U609" s="275"/>
      <c r="V609" s="275"/>
      <c r="W609" s="275"/>
      <c r="X609" s="275"/>
      <c r="Y609" s="275"/>
      <c r="Z609" s="275"/>
      <c r="AA609" s="275"/>
    </row>
    <row r="610" spans="1:27">
      <c r="A610" s="273"/>
      <c r="B610" s="274"/>
      <c r="C610" s="278"/>
      <c r="D610" s="275">
        <v>1.2999999999999999E-2</v>
      </c>
      <c r="E610" s="275">
        <v>7.1999999999999995E-2</v>
      </c>
      <c r="F610" s="275">
        <v>5.3999999999999999E-2</v>
      </c>
      <c r="G610" s="275">
        <v>0.06</v>
      </c>
      <c r="H610" s="275">
        <v>0.20300000000000001</v>
      </c>
      <c r="I610" s="275">
        <v>0.191</v>
      </c>
      <c r="J610" s="275">
        <v>0.20399999999999999</v>
      </c>
      <c r="K610" s="275">
        <v>0.161</v>
      </c>
      <c r="L610" s="275">
        <v>0.16500000000000001</v>
      </c>
      <c r="M610" s="275">
        <v>0.46500000000000002</v>
      </c>
      <c r="N610" s="275">
        <v>0.46700000000000003</v>
      </c>
      <c r="O610" s="275">
        <v>0.49399999999999999</v>
      </c>
      <c r="P610" s="275">
        <v>0.497</v>
      </c>
      <c r="Q610" s="275">
        <v>0.50600000000000001</v>
      </c>
      <c r="R610" s="275">
        <v>1.0960000000000001</v>
      </c>
      <c r="S610" s="275">
        <v>1.1870000000000001</v>
      </c>
      <c r="T610" s="275">
        <v>1.266</v>
      </c>
      <c r="U610" s="275"/>
      <c r="V610" s="275"/>
      <c r="W610" s="275"/>
      <c r="X610" s="275"/>
      <c r="Y610" s="275"/>
      <c r="Z610" s="275"/>
      <c r="AA610" s="275"/>
    </row>
    <row r="611" spans="1:27">
      <c r="A611" s="273"/>
      <c r="B611" s="274"/>
      <c r="C611" s="278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</row>
    <row r="612" spans="1:27">
      <c r="A612" s="273">
        <v>208</v>
      </c>
      <c r="B612" s="274">
        <v>70</v>
      </c>
      <c r="C612" s="278" t="s">
        <v>378</v>
      </c>
      <c r="D612" s="275" t="s">
        <v>434</v>
      </c>
      <c r="E612" s="275" t="s">
        <v>435</v>
      </c>
      <c r="F612" s="275" t="s">
        <v>436</v>
      </c>
      <c r="G612" s="275" t="s">
        <v>437</v>
      </c>
      <c r="H612" s="275" t="s">
        <v>438</v>
      </c>
      <c r="I612" s="275" t="s">
        <v>439</v>
      </c>
      <c r="J612" s="275" t="s">
        <v>440</v>
      </c>
      <c r="K612" s="275" t="s">
        <v>441</v>
      </c>
      <c r="L612" s="275" t="s">
        <v>442</v>
      </c>
      <c r="M612" s="275" t="s">
        <v>443</v>
      </c>
      <c r="N612" s="275" t="s">
        <v>444</v>
      </c>
      <c r="O612" s="275" t="s">
        <v>445</v>
      </c>
      <c r="P612" s="275" t="s">
        <v>446</v>
      </c>
      <c r="Q612" s="275" t="s">
        <v>447</v>
      </c>
      <c r="R612" s="275" t="s">
        <v>448</v>
      </c>
      <c r="S612" s="275" t="s">
        <v>449</v>
      </c>
      <c r="T612" s="275" t="s">
        <v>450</v>
      </c>
      <c r="U612" s="275"/>
      <c r="V612" s="275"/>
      <c r="W612" s="275"/>
      <c r="X612" s="275"/>
      <c r="Y612" s="275"/>
      <c r="Z612" s="275"/>
      <c r="AA612" s="275"/>
    </row>
    <row r="613" spans="1:27">
      <c r="A613" s="273"/>
      <c r="B613" s="274"/>
      <c r="C613" s="278"/>
      <c r="D613" s="275">
        <v>1.2E-2</v>
      </c>
      <c r="E613" s="275">
        <v>7.0999999999999994E-2</v>
      </c>
      <c r="F613" s="275">
        <v>5.2999999999999999E-2</v>
      </c>
      <c r="G613" s="275">
        <v>5.8999999999999997E-2</v>
      </c>
      <c r="H613" s="275">
        <v>0.19900000000000001</v>
      </c>
      <c r="I613" s="275">
        <v>0.187</v>
      </c>
      <c r="J613" s="275">
        <v>0.2</v>
      </c>
      <c r="K613" s="275">
        <v>0.158</v>
      </c>
      <c r="L613" s="275">
        <v>0.16200000000000001</v>
      </c>
      <c r="M613" s="275">
        <v>0.45600000000000002</v>
      </c>
      <c r="N613" s="275">
        <v>0.45800000000000002</v>
      </c>
      <c r="O613" s="275">
        <v>0.48499999999999999</v>
      </c>
      <c r="P613" s="275">
        <v>0.48799999999999999</v>
      </c>
      <c r="Q613" s="275">
        <v>0.497</v>
      </c>
      <c r="R613" s="275">
        <v>1.0880000000000001</v>
      </c>
      <c r="S613" s="275">
        <v>1.1850000000000001</v>
      </c>
      <c r="T613" s="275">
        <v>1.2729999999999999</v>
      </c>
      <c r="U613" s="275"/>
      <c r="V613" s="275"/>
      <c r="W613" s="275"/>
      <c r="X613" s="275"/>
      <c r="Y613" s="275"/>
      <c r="Z613" s="275"/>
      <c r="AA613" s="275"/>
    </row>
    <row r="614" spans="1:27">
      <c r="A614" s="273"/>
      <c r="B614" s="274"/>
      <c r="C614" s="278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</row>
    <row r="615" spans="1:27">
      <c r="A615" s="273">
        <v>209</v>
      </c>
      <c r="B615" s="274">
        <v>70</v>
      </c>
      <c r="C615" s="278" t="s">
        <v>156</v>
      </c>
      <c r="D615" s="275" t="s">
        <v>434</v>
      </c>
      <c r="E615" s="275" t="s">
        <v>435</v>
      </c>
      <c r="F615" s="275" t="s">
        <v>436</v>
      </c>
      <c r="G615" s="275" t="s">
        <v>437</v>
      </c>
      <c r="H615" s="275" t="s">
        <v>438</v>
      </c>
      <c r="I615" s="275" t="s">
        <v>439</v>
      </c>
      <c r="J615" s="275" t="s">
        <v>440</v>
      </c>
      <c r="K615" s="275" t="s">
        <v>441</v>
      </c>
      <c r="L615" s="275" t="s">
        <v>442</v>
      </c>
      <c r="M615" s="275" t="s">
        <v>443</v>
      </c>
      <c r="N615" s="275" t="s">
        <v>444</v>
      </c>
      <c r="O615" s="275" t="s">
        <v>445</v>
      </c>
      <c r="P615" s="275" t="s">
        <v>446</v>
      </c>
      <c r="Q615" s="275" t="s">
        <v>447</v>
      </c>
      <c r="R615" s="275" t="s">
        <v>448</v>
      </c>
      <c r="S615" s="275" t="s">
        <v>449</v>
      </c>
      <c r="T615" s="275" t="s">
        <v>450</v>
      </c>
      <c r="U615" s="275"/>
      <c r="V615" s="275"/>
      <c r="W615" s="275"/>
      <c r="X615" s="275"/>
      <c r="Y615" s="275"/>
      <c r="Z615" s="275"/>
      <c r="AA615" s="275"/>
    </row>
    <row r="616" spans="1:27">
      <c r="A616" s="273"/>
      <c r="B616" s="274"/>
      <c r="C616" s="278"/>
      <c r="D616" s="275">
        <v>1.2E-2</v>
      </c>
      <c r="E616" s="275">
        <v>7.0999999999999994E-2</v>
      </c>
      <c r="F616" s="275">
        <v>5.2999999999999999E-2</v>
      </c>
      <c r="G616" s="275">
        <v>5.8999999999999997E-2</v>
      </c>
      <c r="H616" s="275">
        <v>0.19900000000000001</v>
      </c>
      <c r="I616" s="275">
        <v>0.187</v>
      </c>
      <c r="J616" s="275">
        <v>0.2</v>
      </c>
      <c r="K616" s="275">
        <v>0.158</v>
      </c>
      <c r="L616" s="275">
        <v>0.16200000000000001</v>
      </c>
      <c r="M616" s="275">
        <v>0.45600000000000002</v>
      </c>
      <c r="N616" s="275">
        <v>0.45800000000000002</v>
      </c>
      <c r="O616" s="275">
        <v>0.48499999999999999</v>
      </c>
      <c r="P616" s="275">
        <v>0.48699999999999999</v>
      </c>
      <c r="Q616" s="275">
        <v>0.496</v>
      </c>
      <c r="R616" s="275">
        <v>1.0760000000000001</v>
      </c>
      <c r="S616" s="275">
        <v>1.165</v>
      </c>
      <c r="T616" s="275">
        <v>1.246</v>
      </c>
      <c r="U616" s="275"/>
      <c r="V616" s="275"/>
      <c r="W616" s="275"/>
      <c r="X616" s="275"/>
      <c r="Y616" s="275"/>
      <c r="Z616" s="275"/>
      <c r="AA616" s="275"/>
    </row>
    <row r="617" spans="1:27">
      <c r="A617" s="273"/>
      <c r="B617" s="274"/>
      <c r="C617" s="278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</row>
    <row r="618" spans="1:27">
      <c r="A618" s="273">
        <v>210</v>
      </c>
      <c r="B618" s="274">
        <v>71</v>
      </c>
      <c r="C618" s="278" t="s">
        <v>379</v>
      </c>
      <c r="D618" s="275" t="s">
        <v>434</v>
      </c>
      <c r="E618" s="275" t="s">
        <v>435</v>
      </c>
      <c r="F618" s="275" t="s">
        <v>436</v>
      </c>
      <c r="G618" s="275" t="s">
        <v>437</v>
      </c>
      <c r="H618" s="275" t="s">
        <v>438</v>
      </c>
      <c r="I618" s="275" t="s">
        <v>439</v>
      </c>
      <c r="J618" s="275" t="s">
        <v>440</v>
      </c>
      <c r="K618" s="275" t="s">
        <v>441</v>
      </c>
      <c r="L618" s="275" t="s">
        <v>442</v>
      </c>
      <c r="M618" s="275" t="s">
        <v>443</v>
      </c>
      <c r="N618" s="275" t="s">
        <v>444</v>
      </c>
      <c r="O618" s="275" t="s">
        <v>445</v>
      </c>
      <c r="P618" s="275" t="s">
        <v>446</v>
      </c>
      <c r="Q618" s="275" t="s">
        <v>447</v>
      </c>
      <c r="R618" s="275" t="s">
        <v>448</v>
      </c>
      <c r="S618" s="275" t="s">
        <v>449</v>
      </c>
      <c r="T618" s="275" t="s">
        <v>450</v>
      </c>
      <c r="U618" s="275"/>
      <c r="V618" s="275"/>
      <c r="W618" s="275"/>
      <c r="X618" s="275"/>
      <c r="Y618" s="275"/>
      <c r="Z618" s="275"/>
      <c r="AA618" s="275"/>
    </row>
    <row r="619" spans="1:27">
      <c r="A619" s="273"/>
      <c r="B619" s="274"/>
      <c r="C619" s="278"/>
      <c r="D619" s="275">
        <v>1.2E-2</v>
      </c>
      <c r="E619" s="275">
        <v>6.9000000000000006E-2</v>
      </c>
      <c r="F619" s="275">
        <v>5.1999999999999998E-2</v>
      </c>
      <c r="G619" s="275">
        <v>5.8999999999999997E-2</v>
      </c>
      <c r="H619" s="275">
        <v>0.19600000000000001</v>
      </c>
      <c r="I619" s="275">
        <v>0.184</v>
      </c>
      <c r="J619" s="275">
        <v>0.19700000000000001</v>
      </c>
      <c r="K619" s="275">
        <v>0.156</v>
      </c>
      <c r="L619" s="275">
        <v>0.159</v>
      </c>
      <c r="M619" s="275">
        <v>0.44700000000000001</v>
      </c>
      <c r="N619" s="275">
        <v>0.44900000000000001</v>
      </c>
      <c r="O619" s="275">
        <v>0.47599999999999998</v>
      </c>
      <c r="P619" s="275">
        <v>0.47699999999999998</v>
      </c>
      <c r="Q619" s="275">
        <v>0.48599999999999999</v>
      </c>
      <c r="R619" s="275">
        <v>1.056</v>
      </c>
      <c r="S619" s="275">
        <v>1.1439999999999999</v>
      </c>
      <c r="T619" s="275">
        <v>1.2270000000000001</v>
      </c>
      <c r="U619" s="275"/>
      <c r="V619" s="275"/>
      <c r="W619" s="275"/>
      <c r="X619" s="275"/>
      <c r="Y619" s="275"/>
      <c r="Z619" s="275"/>
      <c r="AA619" s="275"/>
    </row>
    <row r="620" spans="1:27">
      <c r="A620" s="273"/>
      <c r="B620" s="274"/>
      <c r="C620" s="278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</row>
    <row r="621" spans="1:27">
      <c r="A621" s="273">
        <v>211</v>
      </c>
      <c r="B621" s="274">
        <v>72</v>
      </c>
      <c r="C621" s="278" t="s">
        <v>380</v>
      </c>
      <c r="D621" s="275" t="s">
        <v>434</v>
      </c>
      <c r="E621" s="275" t="s">
        <v>435</v>
      </c>
      <c r="F621" s="275" t="s">
        <v>436</v>
      </c>
      <c r="G621" s="275" t="s">
        <v>437</v>
      </c>
      <c r="H621" s="275" t="s">
        <v>438</v>
      </c>
      <c r="I621" s="275" t="s">
        <v>439</v>
      </c>
      <c r="J621" s="275" t="s">
        <v>440</v>
      </c>
      <c r="K621" s="275" t="s">
        <v>441</v>
      </c>
      <c r="L621" s="275" t="s">
        <v>442</v>
      </c>
      <c r="M621" s="275" t="s">
        <v>443</v>
      </c>
      <c r="N621" s="275" t="s">
        <v>444</v>
      </c>
      <c r="O621" s="275" t="s">
        <v>445</v>
      </c>
      <c r="P621" s="275" t="s">
        <v>446</v>
      </c>
      <c r="Q621" s="275" t="s">
        <v>447</v>
      </c>
      <c r="R621" s="275" t="s">
        <v>448</v>
      </c>
      <c r="S621" s="275" t="s">
        <v>449</v>
      </c>
      <c r="T621" s="275" t="s">
        <v>450</v>
      </c>
      <c r="U621" s="275"/>
      <c r="V621" s="275"/>
      <c r="W621" s="275"/>
      <c r="X621" s="275"/>
      <c r="Y621" s="275"/>
      <c r="Z621" s="275"/>
      <c r="AA621" s="275"/>
    </row>
    <row r="622" spans="1:27">
      <c r="A622" s="273"/>
      <c r="B622" s="274"/>
      <c r="C622" s="278"/>
      <c r="D622" s="275">
        <v>1.2E-2</v>
      </c>
      <c r="E622" s="275">
        <v>6.8000000000000005E-2</v>
      </c>
      <c r="F622" s="275">
        <v>5.0999999999999997E-2</v>
      </c>
      <c r="G622" s="275">
        <v>5.8000000000000003E-2</v>
      </c>
      <c r="H622" s="275">
        <v>0.192</v>
      </c>
      <c r="I622" s="275">
        <v>0.18</v>
      </c>
      <c r="J622" s="275">
        <v>0.19400000000000001</v>
      </c>
      <c r="K622" s="275">
        <v>0.153</v>
      </c>
      <c r="L622" s="275">
        <v>0.156</v>
      </c>
      <c r="M622" s="275">
        <v>0.438</v>
      </c>
      <c r="N622" s="275">
        <v>0.439</v>
      </c>
      <c r="O622" s="275">
        <v>0.46700000000000003</v>
      </c>
      <c r="P622" s="275">
        <v>0.46700000000000003</v>
      </c>
      <c r="Q622" s="275">
        <v>0.47599999999999998</v>
      </c>
      <c r="R622" s="275">
        <v>1.0289999999999999</v>
      </c>
      <c r="S622" s="275">
        <v>1.111</v>
      </c>
      <c r="T622" s="275">
        <v>1.1930000000000001</v>
      </c>
      <c r="U622" s="275"/>
      <c r="V622" s="275"/>
      <c r="W622" s="275"/>
      <c r="X622" s="275"/>
      <c r="Y622" s="275"/>
      <c r="Z622" s="275"/>
      <c r="AA622" s="275"/>
    </row>
    <row r="623" spans="1:27">
      <c r="A623" s="273"/>
      <c r="B623" s="274"/>
      <c r="C623" s="278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</row>
    <row r="624" spans="1:27">
      <c r="A624" s="273">
        <v>212</v>
      </c>
      <c r="B624" s="274">
        <v>72</v>
      </c>
      <c r="C624" s="278" t="s">
        <v>157</v>
      </c>
      <c r="D624" s="275" t="s">
        <v>434</v>
      </c>
      <c r="E624" s="275" t="s">
        <v>435</v>
      </c>
      <c r="F624" s="275" t="s">
        <v>436</v>
      </c>
      <c r="G624" s="275" t="s">
        <v>437</v>
      </c>
      <c r="H624" s="275" t="s">
        <v>438</v>
      </c>
      <c r="I624" s="275" t="s">
        <v>439</v>
      </c>
      <c r="J624" s="275" t="s">
        <v>440</v>
      </c>
      <c r="K624" s="275" t="s">
        <v>441</v>
      </c>
      <c r="L624" s="275" t="s">
        <v>442</v>
      </c>
      <c r="M624" s="275" t="s">
        <v>443</v>
      </c>
      <c r="N624" s="275" t="s">
        <v>444</v>
      </c>
      <c r="O624" s="275" t="s">
        <v>445</v>
      </c>
      <c r="P624" s="275" t="s">
        <v>446</v>
      </c>
      <c r="Q624" s="275" t="s">
        <v>447</v>
      </c>
      <c r="R624" s="275" t="s">
        <v>448</v>
      </c>
      <c r="S624" s="275" t="s">
        <v>449</v>
      </c>
      <c r="T624" s="275" t="s">
        <v>450</v>
      </c>
      <c r="U624" s="275"/>
      <c r="V624" s="275"/>
      <c r="W624" s="275"/>
      <c r="X624" s="275"/>
      <c r="Y624" s="275"/>
      <c r="Z624" s="275"/>
      <c r="AA624" s="275"/>
    </row>
    <row r="625" spans="1:27">
      <c r="A625" s="273"/>
      <c r="B625" s="274"/>
      <c r="C625" s="278"/>
      <c r="D625" s="275">
        <v>1.2E-2</v>
      </c>
      <c r="E625" s="275">
        <v>6.8000000000000005E-2</v>
      </c>
      <c r="F625" s="275">
        <v>5.0999999999999997E-2</v>
      </c>
      <c r="G625" s="275">
        <v>5.8000000000000003E-2</v>
      </c>
      <c r="H625" s="275">
        <v>0.192</v>
      </c>
      <c r="I625" s="275">
        <v>0.18</v>
      </c>
      <c r="J625" s="275">
        <v>0.19400000000000001</v>
      </c>
      <c r="K625" s="275">
        <v>0.153</v>
      </c>
      <c r="L625" s="275">
        <v>0.156</v>
      </c>
      <c r="M625" s="275">
        <v>0.438</v>
      </c>
      <c r="N625" s="275">
        <v>0.439</v>
      </c>
      <c r="O625" s="275">
        <v>0.46700000000000003</v>
      </c>
      <c r="P625" s="275">
        <v>0.46700000000000003</v>
      </c>
      <c r="Q625" s="275">
        <v>0.47599999999999998</v>
      </c>
      <c r="R625" s="275">
        <v>1.0269999999999999</v>
      </c>
      <c r="S625" s="275">
        <v>1.107</v>
      </c>
      <c r="T625" s="275">
        <v>1.1879999999999999</v>
      </c>
      <c r="U625" s="275"/>
      <c r="V625" s="275"/>
      <c r="W625" s="275"/>
      <c r="X625" s="275"/>
      <c r="Y625" s="275"/>
      <c r="Z625" s="275"/>
      <c r="AA625" s="275"/>
    </row>
    <row r="626" spans="1:27">
      <c r="A626" s="273"/>
      <c r="B626" s="274"/>
      <c r="C626" s="278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</row>
    <row r="627" spans="1:27">
      <c r="A627" s="273">
        <v>213</v>
      </c>
      <c r="B627" s="274">
        <v>72</v>
      </c>
      <c r="C627" s="278" t="s">
        <v>158</v>
      </c>
      <c r="D627" s="275" t="s">
        <v>434</v>
      </c>
      <c r="E627" s="275" t="s">
        <v>435</v>
      </c>
      <c r="F627" s="275" t="s">
        <v>436</v>
      </c>
      <c r="G627" s="275" t="s">
        <v>437</v>
      </c>
      <c r="H627" s="275" t="s">
        <v>438</v>
      </c>
      <c r="I627" s="275" t="s">
        <v>439</v>
      </c>
      <c r="J627" s="275" t="s">
        <v>440</v>
      </c>
      <c r="K627" s="275" t="s">
        <v>441</v>
      </c>
      <c r="L627" s="275" t="s">
        <v>442</v>
      </c>
      <c r="M627" s="275" t="s">
        <v>443</v>
      </c>
      <c r="N627" s="275" t="s">
        <v>444</v>
      </c>
      <c r="O627" s="275" t="s">
        <v>445</v>
      </c>
      <c r="P627" s="275" t="s">
        <v>446</v>
      </c>
      <c r="Q627" s="275" t="s">
        <v>447</v>
      </c>
      <c r="R627" s="275" t="s">
        <v>448</v>
      </c>
      <c r="S627" s="275" t="s">
        <v>449</v>
      </c>
      <c r="T627" s="275" t="s">
        <v>450</v>
      </c>
      <c r="U627" s="275"/>
      <c r="V627" s="275"/>
      <c r="W627" s="275"/>
      <c r="X627" s="275"/>
      <c r="Y627" s="275"/>
      <c r="Z627" s="275"/>
      <c r="AA627" s="275"/>
    </row>
    <row r="628" spans="1:27">
      <c r="A628" s="273"/>
      <c r="B628" s="274"/>
      <c r="C628" s="278"/>
      <c r="D628" s="275">
        <v>1.2E-2</v>
      </c>
      <c r="E628" s="275">
        <v>6.8000000000000005E-2</v>
      </c>
      <c r="F628" s="275">
        <v>5.0999999999999997E-2</v>
      </c>
      <c r="G628" s="275">
        <v>5.8000000000000003E-2</v>
      </c>
      <c r="H628" s="275">
        <v>0.192</v>
      </c>
      <c r="I628" s="275">
        <v>0.18</v>
      </c>
      <c r="J628" s="275">
        <v>0.19400000000000001</v>
      </c>
      <c r="K628" s="275">
        <v>0.153</v>
      </c>
      <c r="L628" s="275">
        <v>0.156</v>
      </c>
      <c r="M628" s="275">
        <v>0.438</v>
      </c>
      <c r="N628" s="275">
        <v>0.439</v>
      </c>
      <c r="O628" s="275">
        <v>0.46700000000000003</v>
      </c>
      <c r="P628" s="275">
        <v>0.46700000000000003</v>
      </c>
      <c r="Q628" s="275">
        <v>0.47699999999999998</v>
      </c>
      <c r="R628" s="275">
        <v>1.0249999999999999</v>
      </c>
      <c r="S628" s="275">
        <v>1.103</v>
      </c>
      <c r="T628" s="275">
        <v>1.1819999999999999</v>
      </c>
      <c r="U628" s="275"/>
      <c r="V628" s="275"/>
      <c r="W628" s="275"/>
      <c r="X628" s="275"/>
      <c r="Y628" s="275"/>
      <c r="Z628" s="275"/>
      <c r="AA628" s="275"/>
    </row>
    <row r="629" spans="1:27">
      <c r="A629" s="273"/>
      <c r="B629" s="274"/>
      <c r="C629" s="278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</row>
    <row r="630" spans="1:27">
      <c r="A630" s="273">
        <v>214</v>
      </c>
      <c r="B630" s="274">
        <v>73</v>
      </c>
      <c r="C630" s="278" t="s">
        <v>381</v>
      </c>
      <c r="D630" s="275" t="s">
        <v>434</v>
      </c>
      <c r="E630" s="275" t="s">
        <v>435</v>
      </c>
      <c r="F630" s="275" t="s">
        <v>436</v>
      </c>
      <c r="G630" s="275" t="s">
        <v>437</v>
      </c>
      <c r="H630" s="275" t="s">
        <v>438</v>
      </c>
      <c r="I630" s="275" t="s">
        <v>439</v>
      </c>
      <c r="J630" s="275" t="s">
        <v>440</v>
      </c>
      <c r="K630" s="275" t="s">
        <v>441</v>
      </c>
      <c r="L630" s="275" t="s">
        <v>442</v>
      </c>
      <c r="M630" s="275" t="s">
        <v>443</v>
      </c>
      <c r="N630" s="275" t="s">
        <v>444</v>
      </c>
      <c r="O630" s="275" t="s">
        <v>445</v>
      </c>
      <c r="P630" s="275" t="s">
        <v>446</v>
      </c>
      <c r="Q630" s="275" t="s">
        <v>447</v>
      </c>
      <c r="R630" s="275" t="s">
        <v>448</v>
      </c>
      <c r="S630" s="275" t="s">
        <v>449</v>
      </c>
      <c r="T630" s="275" t="s">
        <v>450</v>
      </c>
      <c r="U630" s="275"/>
      <c r="V630" s="275"/>
      <c r="W630" s="275"/>
      <c r="X630" s="275"/>
      <c r="Y630" s="275"/>
      <c r="Z630" s="275"/>
      <c r="AA630" s="275"/>
    </row>
    <row r="631" spans="1:27">
      <c r="A631" s="273"/>
      <c r="B631" s="274"/>
      <c r="C631" s="278"/>
      <c r="D631" s="275">
        <v>1.2E-2</v>
      </c>
      <c r="E631" s="275">
        <v>6.7000000000000004E-2</v>
      </c>
      <c r="F631" s="275">
        <v>0.05</v>
      </c>
      <c r="G631" s="275">
        <v>5.7000000000000002E-2</v>
      </c>
      <c r="H631" s="275">
        <v>0.189</v>
      </c>
      <c r="I631" s="275">
        <v>0.17699999999999999</v>
      </c>
      <c r="J631" s="275">
        <v>0.191</v>
      </c>
      <c r="K631" s="275">
        <v>0.15</v>
      </c>
      <c r="L631" s="275">
        <v>0.154</v>
      </c>
      <c r="M631" s="275">
        <v>0.42899999999999999</v>
      </c>
      <c r="N631" s="275">
        <v>0.43</v>
      </c>
      <c r="O631" s="275">
        <v>0.45800000000000002</v>
      </c>
      <c r="P631" s="275">
        <v>0.45700000000000002</v>
      </c>
      <c r="Q631" s="275">
        <v>0.46700000000000003</v>
      </c>
      <c r="R631" s="275">
        <v>1</v>
      </c>
      <c r="S631" s="275">
        <v>1.0760000000000001</v>
      </c>
      <c r="T631" s="275">
        <v>1.157</v>
      </c>
      <c r="U631" s="275"/>
      <c r="V631" s="275"/>
      <c r="W631" s="275"/>
      <c r="X631" s="275"/>
      <c r="Y631" s="275"/>
      <c r="Z631" s="275"/>
      <c r="AA631" s="275"/>
    </row>
    <row r="632" spans="1:27">
      <c r="A632" s="273"/>
      <c r="B632" s="274"/>
      <c r="C632" s="278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</row>
    <row r="633" spans="1:27">
      <c r="A633" s="273">
        <v>215</v>
      </c>
      <c r="B633" s="274">
        <v>73</v>
      </c>
      <c r="C633" s="278" t="s">
        <v>159</v>
      </c>
      <c r="D633" s="275" t="s">
        <v>434</v>
      </c>
      <c r="E633" s="275" t="s">
        <v>435</v>
      </c>
      <c r="F633" s="275" t="s">
        <v>436</v>
      </c>
      <c r="G633" s="275" t="s">
        <v>437</v>
      </c>
      <c r="H633" s="275" t="s">
        <v>438</v>
      </c>
      <c r="I633" s="275" t="s">
        <v>439</v>
      </c>
      <c r="J633" s="275" t="s">
        <v>440</v>
      </c>
      <c r="K633" s="275" t="s">
        <v>441</v>
      </c>
      <c r="L633" s="275" t="s">
        <v>442</v>
      </c>
      <c r="M633" s="275" t="s">
        <v>443</v>
      </c>
      <c r="N633" s="275" t="s">
        <v>444</v>
      </c>
      <c r="O633" s="275" t="s">
        <v>445</v>
      </c>
      <c r="P633" s="275" t="s">
        <v>446</v>
      </c>
      <c r="Q633" s="275" t="s">
        <v>447</v>
      </c>
      <c r="R633" s="275" t="s">
        <v>448</v>
      </c>
      <c r="S633" s="275" t="s">
        <v>449</v>
      </c>
      <c r="T633" s="275" t="s">
        <v>450</v>
      </c>
      <c r="U633" s="275"/>
      <c r="V633" s="275"/>
      <c r="W633" s="275"/>
      <c r="X633" s="275"/>
      <c r="Y633" s="275"/>
      <c r="Z633" s="275"/>
      <c r="AA633" s="275"/>
    </row>
    <row r="634" spans="1:27">
      <c r="A634" s="273"/>
      <c r="B634" s="274"/>
      <c r="C634" s="278"/>
      <c r="D634" s="275">
        <v>1.2E-2</v>
      </c>
      <c r="E634" s="275">
        <v>6.7000000000000004E-2</v>
      </c>
      <c r="F634" s="275">
        <v>0.05</v>
      </c>
      <c r="G634" s="275">
        <v>5.7000000000000002E-2</v>
      </c>
      <c r="H634" s="275">
        <v>0.189</v>
      </c>
      <c r="I634" s="275">
        <v>0.17699999999999999</v>
      </c>
      <c r="J634" s="275">
        <v>0.191</v>
      </c>
      <c r="K634" s="275">
        <v>0.15</v>
      </c>
      <c r="L634" s="275">
        <v>0.154</v>
      </c>
      <c r="M634" s="275">
        <v>0.42899999999999999</v>
      </c>
      <c r="N634" s="275">
        <v>0.43</v>
      </c>
      <c r="O634" s="275">
        <v>0.45800000000000002</v>
      </c>
      <c r="P634" s="275">
        <v>0.45700000000000002</v>
      </c>
      <c r="Q634" s="275">
        <v>0.46700000000000003</v>
      </c>
      <c r="R634" s="275">
        <v>0.999</v>
      </c>
      <c r="S634" s="275">
        <v>1.073</v>
      </c>
      <c r="T634" s="275">
        <v>1.1519999999999999</v>
      </c>
      <c r="U634" s="275"/>
      <c r="V634" s="275"/>
      <c r="W634" s="275"/>
      <c r="X634" s="275"/>
      <c r="Y634" s="275"/>
      <c r="Z634" s="275"/>
      <c r="AA634" s="275"/>
    </row>
    <row r="635" spans="1:27">
      <c r="A635" s="273"/>
      <c r="B635" s="274"/>
      <c r="C635" s="278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</row>
    <row r="636" spans="1:27">
      <c r="A636" s="273">
        <v>216</v>
      </c>
      <c r="B636" s="274">
        <v>73</v>
      </c>
      <c r="C636" s="278" t="s">
        <v>160</v>
      </c>
      <c r="D636" s="275" t="s">
        <v>434</v>
      </c>
      <c r="E636" s="275" t="s">
        <v>435</v>
      </c>
      <c r="F636" s="275" t="s">
        <v>436</v>
      </c>
      <c r="G636" s="275" t="s">
        <v>437</v>
      </c>
      <c r="H636" s="275" t="s">
        <v>438</v>
      </c>
      <c r="I636" s="275" t="s">
        <v>439</v>
      </c>
      <c r="J636" s="275" t="s">
        <v>440</v>
      </c>
      <c r="K636" s="275" t="s">
        <v>441</v>
      </c>
      <c r="L636" s="275" t="s">
        <v>442</v>
      </c>
      <c r="M636" s="275" t="s">
        <v>443</v>
      </c>
      <c r="N636" s="275" t="s">
        <v>444</v>
      </c>
      <c r="O636" s="275" t="s">
        <v>445</v>
      </c>
      <c r="P636" s="275" t="s">
        <v>446</v>
      </c>
      <c r="Q636" s="275" t="s">
        <v>447</v>
      </c>
      <c r="R636" s="275" t="s">
        <v>448</v>
      </c>
      <c r="S636" s="275" t="s">
        <v>449</v>
      </c>
      <c r="T636" s="275" t="s">
        <v>450</v>
      </c>
      <c r="U636" s="275"/>
      <c r="V636" s="275"/>
      <c r="W636" s="275"/>
      <c r="X636" s="275"/>
      <c r="Y636" s="275"/>
      <c r="Z636" s="275"/>
      <c r="AA636" s="275"/>
    </row>
    <row r="637" spans="1:27">
      <c r="A637" s="273"/>
      <c r="B637" s="274"/>
      <c r="C637" s="278"/>
      <c r="D637" s="275">
        <v>1.2E-2</v>
      </c>
      <c r="E637" s="275">
        <v>6.7000000000000004E-2</v>
      </c>
      <c r="F637" s="275">
        <v>0.05</v>
      </c>
      <c r="G637" s="275">
        <v>5.7000000000000002E-2</v>
      </c>
      <c r="H637" s="275">
        <v>0.189</v>
      </c>
      <c r="I637" s="275">
        <v>0.17699999999999999</v>
      </c>
      <c r="J637" s="275">
        <v>0.191</v>
      </c>
      <c r="K637" s="275">
        <v>0.15</v>
      </c>
      <c r="L637" s="275">
        <v>0.154</v>
      </c>
      <c r="M637" s="275">
        <v>0.42899999999999999</v>
      </c>
      <c r="N637" s="275">
        <v>0.43</v>
      </c>
      <c r="O637" s="275">
        <v>0.45800000000000002</v>
      </c>
      <c r="P637" s="275">
        <v>0.45800000000000002</v>
      </c>
      <c r="Q637" s="275">
        <v>0.46700000000000003</v>
      </c>
      <c r="R637" s="275">
        <v>0.997</v>
      </c>
      <c r="S637" s="275">
        <v>1.069</v>
      </c>
      <c r="T637" s="275">
        <v>1.147</v>
      </c>
      <c r="U637" s="275"/>
      <c r="V637" s="275"/>
      <c r="W637" s="275"/>
      <c r="X637" s="275"/>
      <c r="Y637" s="275"/>
      <c r="Z637" s="275"/>
      <c r="AA637" s="275"/>
    </row>
    <row r="638" spans="1:27">
      <c r="A638" s="273"/>
      <c r="B638" s="274"/>
      <c r="C638" s="278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</row>
    <row r="639" spans="1:27">
      <c r="A639" s="273">
        <v>217</v>
      </c>
      <c r="B639" s="274">
        <v>73</v>
      </c>
      <c r="C639" s="278" t="s">
        <v>161</v>
      </c>
      <c r="D639" s="275" t="s">
        <v>434</v>
      </c>
      <c r="E639" s="275" t="s">
        <v>435</v>
      </c>
      <c r="F639" s="275" t="s">
        <v>436</v>
      </c>
      <c r="G639" s="275" t="s">
        <v>437</v>
      </c>
      <c r="H639" s="275" t="s">
        <v>438</v>
      </c>
      <c r="I639" s="275" t="s">
        <v>439</v>
      </c>
      <c r="J639" s="275" t="s">
        <v>440</v>
      </c>
      <c r="K639" s="275" t="s">
        <v>441</v>
      </c>
      <c r="L639" s="275" t="s">
        <v>442</v>
      </c>
      <c r="M639" s="275" t="s">
        <v>443</v>
      </c>
      <c r="N639" s="275" t="s">
        <v>444</v>
      </c>
      <c r="O639" s="275" t="s">
        <v>445</v>
      </c>
      <c r="P639" s="275" t="s">
        <v>446</v>
      </c>
      <c r="Q639" s="275" t="s">
        <v>447</v>
      </c>
      <c r="R639" s="275" t="s">
        <v>448</v>
      </c>
      <c r="S639" s="275" t="s">
        <v>449</v>
      </c>
      <c r="T639" s="275" t="s">
        <v>450</v>
      </c>
      <c r="U639" s="275"/>
      <c r="V639" s="275"/>
      <c r="W639" s="275"/>
      <c r="X639" s="275"/>
      <c r="Y639" s="275"/>
      <c r="Z639" s="275"/>
      <c r="AA639" s="275"/>
    </row>
    <row r="640" spans="1:27">
      <c r="A640" s="273"/>
      <c r="B640" s="274"/>
      <c r="C640" s="278"/>
      <c r="D640" s="275">
        <v>1.2E-2</v>
      </c>
      <c r="E640" s="275">
        <v>6.7000000000000004E-2</v>
      </c>
      <c r="F640" s="275">
        <v>0.05</v>
      </c>
      <c r="G640" s="275">
        <v>5.7000000000000002E-2</v>
      </c>
      <c r="H640" s="275">
        <v>0.189</v>
      </c>
      <c r="I640" s="275">
        <v>0.17699999999999999</v>
      </c>
      <c r="J640" s="275">
        <v>0.191</v>
      </c>
      <c r="K640" s="275">
        <v>0.15</v>
      </c>
      <c r="L640" s="275">
        <v>0.154</v>
      </c>
      <c r="M640" s="275">
        <v>0.42899999999999999</v>
      </c>
      <c r="N640" s="275">
        <v>0.43</v>
      </c>
      <c r="O640" s="275">
        <v>0.45800000000000002</v>
      </c>
      <c r="P640" s="275">
        <v>0.45800000000000002</v>
      </c>
      <c r="Q640" s="275">
        <v>0.46700000000000003</v>
      </c>
      <c r="R640" s="275">
        <v>0.995</v>
      </c>
      <c r="S640" s="275">
        <v>1.0640000000000001</v>
      </c>
      <c r="T640" s="275">
        <v>1.1399999999999999</v>
      </c>
      <c r="U640" s="275"/>
      <c r="V640" s="275"/>
      <c r="W640" s="275"/>
      <c r="X640" s="275"/>
      <c r="Y640" s="275"/>
      <c r="Z640" s="275"/>
      <c r="AA640" s="275"/>
    </row>
    <row r="641" spans="1:27">
      <c r="A641" s="273"/>
      <c r="B641" s="274"/>
      <c r="C641" s="278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</row>
    <row r="642" spans="1:27">
      <c r="A642" s="273">
        <v>218</v>
      </c>
      <c r="B642" s="274">
        <v>74</v>
      </c>
      <c r="C642" s="278" t="s">
        <v>162</v>
      </c>
      <c r="D642" s="275" t="s">
        <v>434</v>
      </c>
      <c r="E642" s="275" t="s">
        <v>435</v>
      </c>
      <c r="F642" s="275" t="s">
        <v>436</v>
      </c>
      <c r="G642" s="275" t="s">
        <v>437</v>
      </c>
      <c r="H642" s="275" t="s">
        <v>438</v>
      </c>
      <c r="I642" s="275" t="s">
        <v>439</v>
      </c>
      <c r="J642" s="275" t="s">
        <v>440</v>
      </c>
      <c r="K642" s="275" t="s">
        <v>441</v>
      </c>
      <c r="L642" s="275" t="s">
        <v>442</v>
      </c>
      <c r="M642" s="275" t="s">
        <v>443</v>
      </c>
      <c r="N642" s="275" t="s">
        <v>444</v>
      </c>
      <c r="O642" s="275" t="s">
        <v>445</v>
      </c>
      <c r="P642" s="275" t="s">
        <v>446</v>
      </c>
      <c r="Q642" s="275" t="s">
        <v>447</v>
      </c>
      <c r="R642" s="275" t="s">
        <v>448</v>
      </c>
      <c r="S642" s="275" t="s">
        <v>449</v>
      </c>
      <c r="T642" s="275" t="s">
        <v>450</v>
      </c>
      <c r="U642" s="275"/>
      <c r="V642" s="275"/>
      <c r="W642" s="275"/>
      <c r="X642" s="275"/>
      <c r="Y642" s="275"/>
      <c r="Z642" s="275"/>
      <c r="AA642" s="275"/>
    </row>
    <row r="643" spans="1:27">
      <c r="A643" s="273"/>
      <c r="B643" s="274"/>
      <c r="C643" s="278"/>
      <c r="D643" s="275">
        <v>1.0999999999999999E-2</v>
      </c>
      <c r="E643" s="275">
        <v>6.6000000000000003E-2</v>
      </c>
      <c r="F643" s="275">
        <v>4.9000000000000002E-2</v>
      </c>
      <c r="G643" s="275">
        <v>5.6000000000000001E-2</v>
      </c>
      <c r="H643" s="275">
        <v>0.185</v>
      </c>
      <c r="I643" s="275">
        <v>0.17399999999999999</v>
      </c>
      <c r="J643" s="275">
        <v>0.187</v>
      </c>
      <c r="K643" s="275">
        <v>0.14799999999999999</v>
      </c>
      <c r="L643" s="275">
        <v>0.151</v>
      </c>
      <c r="M643" s="275">
        <v>0.42099999999999999</v>
      </c>
      <c r="N643" s="275">
        <v>0.42199999999999999</v>
      </c>
      <c r="O643" s="275">
        <v>0.45</v>
      </c>
      <c r="P643" s="275">
        <v>0.44800000000000001</v>
      </c>
      <c r="Q643" s="275">
        <v>0.45700000000000002</v>
      </c>
      <c r="R643" s="275">
        <v>0.97299999999999998</v>
      </c>
      <c r="S643" s="275">
        <v>1.0429999999999999</v>
      </c>
      <c r="T643" s="275">
        <v>1.123</v>
      </c>
      <c r="U643" s="275"/>
      <c r="V643" s="275"/>
      <c r="W643" s="275"/>
      <c r="X643" s="275"/>
      <c r="Y643" s="275"/>
      <c r="Z643" s="275"/>
      <c r="AA643" s="275"/>
    </row>
    <row r="644" spans="1:27">
      <c r="A644" s="273"/>
      <c r="B644" s="274"/>
      <c r="C644" s="278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</row>
    <row r="645" spans="1:27">
      <c r="A645" s="273">
        <v>219</v>
      </c>
      <c r="B645" s="274">
        <v>74</v>
      </c>
      <c r="C645" s="278" t="s">
        <v>163</v>
      </c>
      <c r="D645" s="275" t="s">
        <v>434</v>
      </c>
      <c r="E645" s="275" t="s">
        <v>435</v>
      </c>
      <c r="F645" s="275" t="s">
        <v>436</v>
      </c>
      <c r="G645" s="275" t="s">
        <v>437</v>
      </c>
      <c r="H645" s="275" t="s">
        <v>438</v>
      </c>
      <c r="I645" s="275" t="s">
        <v>439</v>
      </c>
      <c r="J645" s="275" t="s">
        <v>440</v>
      </c>
      <c r="K645" s="275" t="s">
        <v>441</v>
      </c>
      <c r="L645" s="275" t="s">
        <v>442</v>
      </c>
      <c r="M645" s="275" t="s">
        <v>443</v>
      </c>
      <c r="N645" s="275" t="s">
        <v>444</v>
      </c>
      <c r="O645" s="275" t="s">
        <v>445</v>
      </c>
      <c r="P645" s="275" t="s">
        <v>446</v>
      </c>
      <c r="Q645" s="275" t="s">
        <v>447</v>
      </c>
      <c r="R645" s="275" t="s">
        <v>448</v>
      </c>
      <c r="S645" s="275" t="s">
        <v>449</v>
      </c>
      <c r="T645" s="275" t="s">
        <v>450</v>
      </c>
      <c r="U645" s="275"/>
      <c r="V645" s="275"/>
      <c r="W645" s="275"/>
      <c r="X645" s="275"/>
      <c r="Y645" s="275"/>
      <c r="Z645" s="275"/>
      <c r="AA645" s="275"/>
    </row>
    <row r="646" spans="1:27">
      <c r="A646" s="273"/>
      <c r="B646" s="274"/>
      <c r="C646" s="278"/>
      <c r="D646" s="275">
        <v>1.0999999999999999E-2</v>
      </c>
      <c r="E646" s="275">
        <v>6.6000000000000003E-2</v>
      </c>
      <c r="F646" s="275">
        <v>4.9000000000000002E-2</v>
      </c>
      <c r="G646" s="275">
        <v>5.6000000000000001E-2</v>
      </c>
      <c r="H646" s="275">
        <v>0.185</v>
      </c>
      <c r="I646" s="275">
        <v>0.17399999999999999</v>
      </c>
      <c r="J646" s="275">
        <v>0.187</v>
      </c>
      <c r="K646" s="275">
        <v>0.14799999999999999</v>
      </c>
      <c r="L646" s="275">
        <v>0.151</v>
      </c>
      <c r="M646" s="275">
        <v>0.42099999999999999</v>
      </c>
      <c r="N646" s="275">
        <v>0.42199999999999999</v>
      </c>
      <c r="O646" s="275">
        <v>0.45</v>
      </c>
      <c r="P646" s="275">
        <v>0.44800000000000001</v>
      </c>
      <c r="Q646" s="275">
        <v>0.45700000000000002</v>
      </c>
      <c r="R646" s="275">
        <v>0.97299999999999998</v>
      </c>
      <c r="S646" s="275">
        <v>1.0429999999999999</v>
      </c>
      <c r="T646" s="275">
        <v>1.123</v>
      </c>
      <c r="U646" s="275"/>
      <c r="V646" s="275"/>
      <c r="W646" s="275"/>
      <c r="X646" s="275"/>
      <c r="Y646" s="275"/>
      <c r="Z646" s="275"/>
      <c r="AA646" s="275"/>
    </row>
    <row r="647" spans="1:27">
      <c r="A647" s="273"/>
      <c r="B647" s="274"/>
      <c r="C647" s="278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</row>
    <row r="648" spans="1:27">
      <c r="A648" s="273">
        <v>220</v>
      </c>
      <c r="B648" s="274">
        <v>74</v>
      </c>
      <c r="C648" s="278" t="s">
        <v>164</v>
      </c>
      <c r="D648" s="275" t="s">
        <v>434</v>
      </c>
      <c r="E648" s="275" t="s">
        <v>435</v>
      </c>
      <c r="F648" s="275" t="s">
        <v>436</v>
      </c>
      <c r="G648" s="275" t="s">
        <v>437</v>
      </c>
      <c r="H648" s="275" t="s">
        <v>438</v>
      </c>
      <c r="I648" s="275" t="s">
        <v>439</v>
      </c>
      <c r="J648" s="275" t="s">
        <v>440</v>
      </c>
      <c r="K648" s="275" t="s">
        <v>441</v>
      </c>
      <c r="L648" s="275" t="s">
        <v>442</v>
      </c>
      <c r="M648" s="275" t="s">
        <v>443</v>
      </c>
      <c r="N648" s="275" t="s">
        <v>444</v>
      </c>
      <c r="O648" s="275" t="s">
        <v>445</v>
      </c>
      <c r="P648" s="275" t="s">
        <v>446</v>
      </c>
      <c r="Q648" s="275" t="s">
        <v>447</v>
      </c>
      <c r="R648" s="275" t="s">
        <v>448</v>
      </c>
      <c r="S648" s="275" t="s">
        <v>449</v>
      </c>
      <c r="T648" s="275" t="s">
        <v>450</v>
      </c>
      <c r="U648" s="275"/>
      <c r="V648" s="275"/>
      <c r="W648" s="275"/>
      <c r="X648" s="275"/>
      <c r="Y648" s="275"/>
      <c r="Z648" s="275"/>
      <c r="AA648" s="275"/>
    </row>
    <row r="649" spans="1:27">
      <c r="A649" s="273"/>
      <c r="B649" s="274"/>
      <c r="C649" s="278"/>
      <c r="D649" s="275">
        <v>1.0999999999999999E-2</v>
      </c>
      <c r="E649" s="275">
        <v>6.6000000000000003E-2</v>
      </c>
      <c r="F649" s="275">
        <v>4.9000000000000002E-2</v>
      </c>
      <c r="G649" s="275">
        <v>5.6000000000000001E-2</v>
      </c>
      <c r="H649" s="275">
        <v>0.185</v>
      </c>
      <c r="I649" s="275">
        <v>0.17399999999999999</v>
      </c>
      <c r="J649" s="275">
        <v>0.187</v>
      </c>
      <c r="K649" s="275">
        <v>0.14799999999999999</v>
      </c>
      <c r="L649" s="275">
        <v>0.151</v>
      </c>
      <c r="M649" s="275">
        <v>0.42099999999999999</v>
      </c>
      <c r="N649" s="275">
        <v>0.42199999999999999</v>
      </c>
      <c r="O649" s="275">
        <v>0.45</v>
      </c>
      <c r="P649" s="275">
        <v>0.44800000000000001</v>
      </c>
      <c r="Q649" s="275">
        <v>0.45700000000000002</v>
      </c>
      <c r="R649" s="275">
        <v>0.97199999999999998</v>
      </c>
      <c r="S649" s="275">
        <v>1.04</v>
      </c>
      <c r="T649" s="275">
        <v>1.1180000000000001</v>
      </c>
      <c r="U649" s="275"/>
      <c r="V649" s="275"/>
      <c r="W649" s="275"/>
      <c r="X649" s="275"/>
      <c r="Y649" s="275"/>
      <c r="Z649" s="275"/>
      <c r="AA649" s="275"/>
    </row>
    <row r="650" spans="1:27">
      <c r="A650" s="273"/>
      <c r="B650" s="274"/>
      <c r="C650" s="278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</row>
    <row r="651" spans="1:27">
      <c r="A651" s="273">
        <v>221</v>
      </c>
      <c r="B651" s="274">
        <v>74</v>
      </c>
      <c r="C651" s="278" t="s">
        <v>165</v>
      </c>
      <c r="D651" s="275" t="s">
        <v>434</v>
      </c>
      <c r="E651" s="275" t="s">
        <v>435</v>
      </c>
      <c r="F651" s="275" t="s">
        <v>436</v>
      </c>
      <c r="G651" s="275" t="s">
        <v>437</v>
      </c>
      <c r="H651" s="275" t="s">
        <v>438</v>
      </c>
      <c r="I651" s="275" t="s">
        <v>439</v>
      </c>
      <c r="J651" s="275" t="s">
        <v>440</v>
      </c>
      <c r="K651" s="275" t="s">
        <v>441</v>
      </c>
      <c r="L651" s="275" t="s">
        <v>442</v>
      </c>
      <c r="M651" s="275" t="s">
        <v>443</v>
      </c>
      <c r="N651" s="275" t="s">
        <v>444</v>
      </c>
      <c r="O651" s="275" t="s">
        <v>445</v>
      </c>
      <c r="P651" s="275" t="s">
        <v>446</v>
      </c>
      <c r="Q651" s="275" t="s">
        <v>447</v>
      </c>
      <c r="R651" s="275" t="s">
        <v>448</v>
      </c>
      <c r="S651" s="275" t="s">
        <v>449</v>
      </c>
      <c r="T651" s="275" t="s">
        <v>450</v>
      </c>
      <c r="U651" s="275"/>
      <c r="V651" s="275"/>
      <c r="W651" s="275"/>
      <c r="X651" s="275"/>
      <c r="Y651" s="275"/>
      <c r="Z651" s="275"/>
      <c r="AA651" s="275"/>
    </row>
    <row r="652" spans="1:27">
      <c r="A652" s="273"/>
      <c r="B652" s="274"/>
      <c r="C652" s="278"/>
      <c r="D652" s="275">
        <v>1.0999999999999999E-2</v>
      </c>
      <c r="E652" s="275">
        <v>6.6000000000000003E-2</v>
      </c>
      <c r="F652" s="275">
        <v>4.9000000000000002E-2</v>
      </c>
      <c r="G652" s="275">
        <v>5.6000000000000001E-2</v>
      </c>
      <c r="H652" s="275">
        <v>0.185</v>
      </c>
      <c r="I652" s="275">
        <v>0.17399999999999999</v>
      </c>
      <c r="J652" s="275">
        <v>0.187</v>
      </c>
      <c r="K652" s="275">
        <v>0.14799999999999999</v>
      </c>
      <c r="L652" s="275">
        <v>0.151</v>
      </c>
      <c r="M652" s="275">
        <v>0.42099999999999999</v>
      </c>
      <c r="N652" s="275">
        <v>0.42199999999999999</v>
      </c>
      <c r="O652" s="275">
        <v>0.45</v>
      </c>
      <c r="P652" s="275">
        <v>0.44800000000000001</v>
      </c>
      <c r="Q652" s="275">
        <v>0.45700000000000002</v>
      </c>
      <c r="R652" s="275">
        <v>0.97</v>
      </c>
      <c r="S652" s="275">
        <v>1.0369999999999999</v>
      </c>
      <c r="T652" s="275">
        <v>1.113</v>
      </c>
      <c r="U652" s="275"/>
      <c r="V652" s="275"/>
      <c r="W652" s="275"/>
      <c r="X652" s="275"/>
      <c r="Y652" s="275"/>
      <c r="Z652" s="275"/>
      <c r="AA652" s="275"/>
    </row>
    <row r="653" spans="1:27">
      <c r="A653" s="273"/>
      <c r="B653" s="274"/>
      <c r="C653" s="278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</row>
    <row r="654" spans="1:27">
      <c r="A654" s="273">
        <v>222</v>
      </c>
      <c r="B654" s="274">
        <v>74</v>
      </c>
      <c r="C654" s="278" t="s">
        <v>166</v>
      </c>
      <c r="D654" s="275" t="s">
        <v>434</v>
      </c>
      <c r="E654" s="275" t="s">
        <v>435</v>
      </c>
      <c r="F654" s="275" t="s">
        <v>436</v>
      </c>
      <c r="G654" s="275" t="s">
        <v>437</v>
      </c>
      <c r="H654" s="275" t="s">
        <v>438</v>
      </c>
      <c r="I654" s="275" t="s">
        <v>439</v>
      </c>
      <c r="J654" s="275" t="s">
        <v>440</v>
      </c>
      <c r="K654" s="275" t="s">
        <v>441</v>
      </c>
      <c r="L654" s="275" t="s">
        <v>442</v>
      </c>
      <c r="M654" s="275" t="s">
        <v>443</v>
      </c>
      <c r="N654" s="275" t="s">
        <v>444</v>
      </c>
      <c r="O654" s="275" t="s">
        <v>445</v>
      </c>
      <c r="P654" s="275" t="s">
        <v>446</v>
      </c>
      <c r="Q654" s="275" t="s">
        <v>447</v>
      </c>
      <c r="R654" s="275" t="s">
        <v>448</v>
      </c>
      <c r="S654" s="275" t="s">
        <v>449</v>
      </c>
      <c r="T654" s="275" t="s">
        <v>450</v>
      </c>
      <c r="U654" s="275"/>
      <c r="V654" s="275"/>
      <c r="W654" s="275"/>
      <c r="X654" s="275"/>
      <c r="Y654" s="275"/>
      <c r="Z654" s="275"/>
      <c r="AA654" s="275"/>
    </row>
    <row r="655" spans="1:27">
      <c r="A655" s="273"/>
      <c r="B655" s="274"/>
      <c r="C655" s="278"/>
      <c r="D655" s="275">
        <v>1.0999999999999999E-2</v>
      </c>
      <c r="E655" s="275">
        <v>6.6000000000000003E-2</v>
      </c>
      <c r="F655" s="275">
        <v>4.9000000000000002E-2</v>
      </c>
      <c r="G655" s="275">
        <v>5.6000000000000001E-2</v>
      </c>
      <c r="H655" s="275">
        <v>0.185</v>
      </c>
      <c r="I655" s="275">
        <v>0.17399999999999999</v>
      </c>
      <c r="J655" s="275">
        <v>0.187</v>
      </c>
      <c r="K655" s="275">
        <v>0.14699999999999999</v>
      </c>
      <c r="L655" s="275">
        <v>0.151</v>
      </c>
      <c r="M655" s="275">
        <v>0.42099999999999999</v>
      </c>
      <c r="N655" s="275">
        <v>0.42199999999999999</v>
      </c>
      <c r="O655" s="275">
        <v>0.45</v>
      </c>
      <c r="P655" s="275">
        <v>0.44800000000000001</v>
      </c>
      <c r="Q655" s="275">
        <v>0.45700000000000002</v>
      </c>
      <c r="R655" s="275">
        <v>0.96799999999999997</v>
      </c>
      <c r="S655" s="275">
        <v>1.0329999999999999</v>
      </c>
      <c r="T655" s="275">
        <v>1.107</v>
      </c>
      <c r="U655" s="275"/>
      <c r="V655" s="275"/>
      <c r="W655" s="275"/>
      <c r="X655" s="275"/>
      <c r="Y655" s="275"/>
      <c r="Z655" s="275"/>
      <c r="AA655" s="275"/>
    </row>
    <row r="656" spans="1:27">
      <c r="A656" s="273"/>
      <c r="B656" s="274"/>
      <c r="C656" s="278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</row>
    <row r="657" spans="1:27">
      <c r="A657" s="273">
        <v>223</v>
      </c>
      <c r="B657" s="274">
        <v>74</v>
      </c>
      <c r="C657" s="278" t="s">
        <v>167</v>
      </c>
      <c r="D657" s="275" t="s">
        <v>434</v>
      </c>
      <c r="E657" s="275" t="s">
        <v>435</v>
      </c>
      <c r="F657" s="275" t="s">
        <v>436</v>
      </c>
      <c r="G657" s="275" t="s">
        <v>437</v>
      </c>
      <c r="H657" s="275" t="s">
        <v>438</v>
      </c>
      <c r="I657" s="275" t="s">
        <v>439</v>
      </c>
      <c r="J657" s="275" t="s">
        <v>440</v>
      </c>
      <c r="K657" s="275" t="s">
        <v>441</v>
      </c>
      <c r="L657" s="275" t="s">
        <v>442</v>
      </c>
      <c r="M657" s="275" t="s">
        <v>443</v>
      </c>
      <c r="N657" s="275" t="s">
        <v>444</v>
      </c>
      <c r="O657" s="275" t="s">
        <v>445</v>
      </c>
      <c r="P657" s="275" t="s">
        <v>446</v>
      </c>
      <c r="Q657" s="275" t="s">
        <v>447</v>
      </c>
      <c r="R657" s="275" t="s">
        <v>448</v>
      </c>
      <c r="S657" s="275" t="s">
        <v>449</v>
      </c>
      <c r="T657" s="275" t="s">
        <v>450</v>
      </c>
      <c r="U657" s="275"/>
      <c r="V657" s="275"/>
      <c r="W657" s="275"/>
      <c r="X657" s="275"/>
      <c r="Y657" s="275"/>
      <c r="Z657" s="275"/>
      <c r="AA657" s="275"/>
    </row>
    <row r="658" spans="1:27">
      <c r="A658" s="273"/>
      <c r="B658" s="274"/>
      <c r="C658" s="278"/>
      <c r="D658" s="275">
        <v>1.0999999999999999E-2</v>
      </c>
      <c r="E658" s="275">
        <v>6.6000000000000003E-2</v>
      </c>
      <c r="F658" s="275">
        <v>4.9000000000000002E-2</v>
      </c>
      <c r="G658" s="275">
        <v>5.6000000000000001E-2</v>
      </c>
      <c r="H658" s="275">
        <v>0.185</v>
      </c>
      <c r="I658" s="275">
        <v>0.17399999999999999</v>
      </c>
      <c r="J658" s="275">
        <v>0.187</v>
      </c>
      <c r="K658" s="275">
        <v>0.14699999999999999</v>
      </c>
      <c r="L658" s="275">
        <v>0.151</v>
      </c>
      <c r="M658" s="275">
        <v>0.42099999999999999</v>
      </c>
      <c r="N658" s="275">
        <v>0.42199999999999999</v>
      </c>
      <c r="O658" s="275">
        <v>0.45</v>
      </c>
      <c r="P658" s="275">
        <v>0.44800000000000001</v>
      </c>
      <c r="Q658" s="275">
        <v>0.45700000000000002</v>
      </c>
      <c r="R658" s="275">
        <v>0.96499999999999997</v>
      </c>
      <c r="S658" s="275">
        <v>1.028</v>
      </c>
      <c r="T658" s="275">
        <v>1.101</v>
      </c>
      <c r="U658" s="275"/>
      <c r="V658" s="275"/>
      <c r="W658" s="275"/>
      <c r="X658" s="275"/>
      <c r="Y658" s="275"/>
      <c r="Z658" s="275"/>
      <c r="AA658" s="275"/>
    </row>
    <row r="659" spans="1:27">
      <c r="A659" s="273"/>
      <c r="B659" s="274"/>
      <c r="C659" s="278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</row>
    <row r="660" spans="1:27">
      <c r="A660" s="273">
        <v>224</v>
      </c>
      <c r="B660" s="274">
        <v>75</v>
      </c>
      <c r="C660" s="278" t="s">
        <v>168</v>
      </c>
      <c r="D660" s="275" t="s">
        <v>434</v>
      </c>
      <c r="E660" s="275" t="s">
        <v>435</v>
      </c>
      <c r="F660" s="275" t="s">
        <v>436</v>
      </c>
      <c r="G660" s="275" t="s">
        <v>437</v>
      </c>
      <c r="H660" s="275" t="s">
        <v>438</v>
      </c>
      <c r="I660" s="275" t="s">
        <v>439</v>
      </c>
      <c r="J660" s="275" t="s">
        <v>440</v>
      </c>
      <c r="K660" s="275" t="s">
        <v>441</v>
      </c>
      <c r="L660" s="275" t="s">
        <v>442</v>
      </c>
      <c r="M660" s="275" t="s">
        <v>443</v>
      </c>
      <c r="N660" s="275" t="s">
        <v>444</v>
      </c>
      <c r="O660" s="275" t="s">
        <v>445</v>
      </c>
      <c r="P660" s="275" t="s">
        <v>446</v>
      </c>
      <c r="Q660" s="275" t="s">
        <v>447</v>
      </c>
      <c r="R660" s="275" t="s">
        <v>448</v>
      </c>
      <c r="S660" s="275" t="s">
        <v>449</v>
      </c>
      <c r="T660" s="275" t="s">
        <v>450</v>
      </c>
      <c r="U660" s="275"/>
      <c r="V660" s="275"/>
      <c r="W660" s="275"/>
      <c r="X660" s="275"/>
      <c r="Y660" s="275"/>
      <c r="Z660" s="275"/>
      <c r="AA660" s="275"/>
    </row>
    <row r="661" spans="1:27">
      <c r="A661" s="273"/>
      <c r="B661" s="274"/>
      <c r="C661" s="278"/>
      <c r="D661" s="275">
        <v>1.0999999999999999E-2</v>
      </c>
      <c r="E661" s="275">
        <v>6.5000000000000002E-2</v>
      </c>
      <c r="F661" s="275">
        <v>4.9000000000000002E-2</v>
      </c>
      <c r="G661" s="275">
        <v>5.5E-2</v>
      </c>
      <c r="H661" s="275">
        <v>0.182</v>
      </c>
      <c r="I661" s="275">
        <v>0.17100000000000001</v>
      </c>
      <c r="J661" s="275">
        <v>0.184</v>
      </c>
      <c r="K661" s="275">
        <v>0.14499999999999999</v>
      </c>
      <c r="L661" s="275">
        <v>0.14899999999999999</v>
      </c>
      <c r="M661" s="275">
        <v>0.41299999999999998</v>
      </c>
      <c r="N661" s="275">
        <v>0.41299999999999998</v>
      </c>
      <c r="O661" s="275">
        <v>0.442</v>
      </c>
      <c r="P661" s="275">
        <v>0.439</v>
      </c>
      <c r="Q661" s="275">
        <v>0.44800000000000001</v>
      </c>
      <c r="R661" s="275">
        <v>0.94699999999999995</v>
      </c>
      <c r="S661" s="275">
        <v>1.012</v>
      </c>
      <c r="T661" s="275">
        <v>1.091</v>
      </c>
      <c r="U661" s="275"/>
      <c r="V661" s="275"/>
      <c r="W661" s="275"/>
      <c r="X661" s="275"/>
      <c r="Y661" s="275"/>
      <c r="Z661" s="275"/>
      <c r="AA661" s="275"/>
    </row>
    <row r="662" spans="1:27">
      <c r="A662" s="273"/>
      <c r="B662" s="274"/>
      <c r="C662" s="278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</row>
    <row r="663" spans="1:27">
      <c r="A663" s="273">
        <v>225</v>
      </c>
      <c r="B663" s="274">
        <v>75</v>
      </c>
      <c r="C663" s="278" t="s">
        <v>169</v>
      </c>
      <c r="D663" s="275" t="s">
        <v>434</v>
      </c>
      <c r="E663" s="275" t="s">
        <v>435</v>
      </c>
      <c r="F663" s="275" t="s">
        <v>436</v>
      </c>
      <c r="G663" s="275" t="s">
        <v>437</v>
      </c>
      <c r="H663" s="275" t="s">
        <v>438</v>
      </c>
      <c r="I663" s="275" t="s">
        <v>439</v>
      </c>
      <c r="J663" s="275" t="s">
        <v>440</v>
      </c>
      <c r="K663" s="275" t="s">
        <v>441</v>
      </c>
      <c r="L663" s="275" t="s">
        <v>442</v>
      </c>
      <c r="M663" s="275" t="s">
        <v>443</v>
      </c>
      <c r="N663" s="275" t="s">
        <v>444</v>
      </c>
      <c r="O663" s="275" t="s">
        <v>445</v>
      </c>
      <c r="P663" s="275" t="s">
        <v>446</v>
      </c>
      <c r="Q663" s="275" t="s">
        <v>447</v>
      </c>
      <c r="R663" s="275" t="s">
        <v>448</v>
      </c>
      <c r="S663" s="275" t="s">
        <v>449</v>
      </c>
      <c r="T663" s="275" t="s">
        <v>450</v>
      </c>
      <c r="U663" s="275"/>
      <c r="V663" s="275"/>
      <c r="W663" s="275"/>
      <c r="X663" s="275"/>
      <c r="Y663" s="275"/>
      <c r="Z663" s="275"/>
      <c r="AA663" s="275"/>
    </row>
    <row r="664" spans="1:27">
      <c r="A664" s="273"/>
      <c r="B664" s="274"/>
      <c r="C664" s="278"/>
      <c r="D664" s="275">
        <v>1.0999999999999999E-2</v>
      </c>
      <c r="E664" s="275">
        <v>6.5000000000000002E-2</v>
      </c>
      <c r="F664" s="275">
        <v>4.9000000000000002E-2</v>
      </c>
      <c r="G664" s="275">
        <v>5.5E-2</v>
      </c>
      <c r="H664" s="275">
        <v>0.182</v>
      </c>
      <c r="I664" s="275">
        <v>0.17100000000000001</v>
      </c>
      <c r="J664" s="275">
        <v>0.184</v>
      </c>
      <c r="K664" s="275">
        <v>0.14499999999999999</v>
      </c>
      <c r="L664" s="275">
        <v>0.14899999999999999</v>
      </c>
      <c r="M664" s="275">
        <v>0.41299999999999998</v>
      </c>
      <c r="N664" s="275">
        <v>0.41299999999999998</v>
      </c>
      <c r="O664" s="275">
        <v>0.442</v>
      </c>
      <c r="P664" s="275">
        <v>0.439</v>
      </c>
      <c r="Q664" s="275">
        <v>0.44800000000000001</v>
      </c>
      <c r="R664" s="275">
        <v>0.94799999999999995</v>
      </c>
      <c r="S664" s="275">
        <v>1.012</v>
      </c>
      <c r="T664" s="275">
        <v>1.0900000000000001</v>
      </c>
      <c r="U664" s="275"/>
      <c r="V664" s="275"/>
      <c r="W664" s="275"/>
      <c r="X664" s="275"/>
      <c r="Y664" s="275"/>
      <c r="Z664" s="275"/>
      <c r="AA664" s="275"/>
    </row>
    <row r="665" spans="1:27">
      <c r="A665" s="273"/>
      <c r="B665" s="274"/>
      <c r="C665" s="278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</row>
    <row r="666" spans="1:27">
      <c r="A666" s="273">
        <v>226</v>
      </c>
      <c r="B666" s="274">
        <v>75</v>
      </c>
      <c r="C666" s="278" t="s">
        <v>170</v>
      </c>
      <c r="D666" s="275" t="s">
        <v>434</v>
      </c>
      <c r="E666" s="275" t="s">
        <v>435</v>
      </c>
      <c r="F666" s="275" t="s">
        <v>436</v>
      </c>
      <c r="G666" s="275" t="s">
        <v>437</v>
      </c>
      <c r="H666" s="275" t="s">
        <v>438</v>
      </c>
      <c r="I666" s="275" t="s">
        <v>439</v>
      </c>
      <c r="J666" s="275" t="s">
        <v>440</v>
      </c>
      <c r="K666" s="275" t="s">
        <v>441</v>
      </c>
      <c r="L666" s="275" t="s">
        <v>442</v>
      </c>
      <c r="M666" s="275" t="s">
        <v>443</v>
      </c>
      <c r="N666" s="275" t="s">
        <v>444</v>
      </c>
      <c r="O666" s="275" t="s">
        <v>445</v>
      </c>
      <c r="P666" s="275" t="s">
        <v>446</v>
      </c>
      <c r="Q666" s="275" t="s">
        <v>447</v>
      </c>
      <c r="R666" s="275" t="s">
        <v>448</v>
      </c>
      <c r="S666" s="275" t="s">
        <v>449</v>
      </c>
      <c r="T666" s="275" t="s">
        <v>450</v>
      </c>
      <c r="U666" s="275"/>
      <c r="V666" s="275"/>
      <c r="W666" s="275"/>
      <c r="X666" s="275"/>
      <c r="Y666" s="275"/>
      <c r="Z666" s="275"/>
      <c r="AA666" s="275"/>
    </row>
    <row r="667" spans="1:27">
      <c r="A667" s="273"/>
      <c r="B667" s="274"/>
      <c r="C667" s="278"/>
      <c r="D667" s="275">
        <v>1.0999999999999999E-2</v>
      </c>
      <c r="E667" s="275">
        <v>6.5000000000000002E-2</v>
      </c>
      <c r="F667" s="275">
        <v>4.9000000000000002E-2</v>
      </c>
      <c r="G667" s="275">
        <v>5.5E-2</v>
      </c>
      <c r="H667" s="275">
        <v>0.182</v>
      </c>
      <c r="I667" s="275">
        <v>0.17100000000000001</v>
      </c>
      <c r="J667" s="275">
        <v>0.184</v>
      </c>
      <c r="K667" s="275">
        <v>0.14499999999999999</v>
      </c>
      <c r="L667" s="275">
        <v>0.14899999999999999</v>
      </c>
      <c r="M667" s="275">
        <v>0.41299999999999998</v>
      </c>
      <c r="N667" s="275">
        <v>0.41299999999999998</v>
      </c>
      <c r="O667" s="275">
        <v>0.442</v>
      </c>
      <c r="P667" s="275">
        <v>0.439</v>
      </c>
      <c r="Q667" s="275">
        <v>0.44800000000000001</v>
      </c>
      <c r="R667" s="275">
        <v>0.94699999999999995</v>
      </c>
      <c r="S667" s="275">
        <v>1.01</v>
      </c>
      <c r="T667" s="275">
        <v>1.087</v>
      </c>
      <c r="U667" s="275"/>
      <c r="V667" s="275"/>
      <c r="W667" s="275"/>
      <c r="X667" s="275"/>
      <c r="Y667" s="275"/>
      <c r="Z667" s="275"/>
      <c r="AA667" s="275"/>
    </row>
    <row r="668" spans="1:27">
      <c r="A668" s="273"/>
      <c r="B668" s="274"/>
      <c r="C668" s="278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</row>
    <row r="669" spans="1:27">
      <c r="A669" s="273">
        <v>227</v>
      </c>
      <c r="B669" s="274">
        <v>75</v>
      </c>
      <c r="C669" s="278" t="s">
        <v>171</v>
      </c>
      <c r="D669" s="275" t="s">
        <v>434</v>
      </c>
      <c r="E669" s="275" t="s">
        <v>435</v>
      </c>
      <c r="F669" s="275" t="s">
        <v>436</v>
      </c>
      <c r="G669" s="275" t="s">
        <v>437</v>
      </c>
      <c r="H669" s="275" t="s">
        <v>438</v>
      </c>
      <c r="I669" s="275" t="s">
        <v>439</v>
      </c>
      <c r="J669" s="275" t="s">
        <v>440</v>
      </c>
      <c r="K669" s="275" t="s">
        <v>441</v>
      </c>
      <c r="L669" s="275" t="s">
        <v>442</v>
      </c>
      <c r="M669" s="275" t="s">
        <v>443</v>
      </c>
      <c r="N669" s="275" t="s">
        <v>444</v>
      </c>
      <c r="O669" s="275" t="s">
        <v>445</v>
      </c>
      <c r="P669" s="275" t="s">
        <v>446</v>
      </c>
      <c r="Q669" s="275" t="s">
        <v>447</v>
      </c>
      <c r="R669" s="275" t="s">
        <v>448</v>
      </c>
      <c r="S669" s="275" t="s">
        <v>449</v>
      </c>
      <c r="T669" s="275" t="s">
        <v>450</v>
      </c>
      <c r="U669" s="275"/>
      <c r="V669" s="275"/>
      <c r="W669" s="275"/>
      <c r="X669" s="275"/>
      <c r="Y669" s="275"/>
      <c r="Z669" s="275"/>
      <c r="AA669" s="275"/>
    </row>
    <row r="670" spans="1:27">
      <c r="A670" s="273"/>
      <c r="B670" s="274"/>
      <c r="C670" s="278"/>
      <c r="D670" s="275">
        <v>1.0999999999999999E-2</v>
      </c>
      <c r="E670" s="275">
        <v>6.5000000000000002E-2</v>
      </c>
      <c r="F670" s="275">
        <v>4.9000000000000002E-2</v>
      </c>
      <c r="G670" s="275">
        <v>5.5E-2</v>
      </c>
      <c r="H670" s="275">
        <v>0.182</v>
      </c>
      <c r="I670" s="275">
        <v>0.17100000000000001</v>
      </c>
      <c r="J670" s="275">
        <v>0.184</v>
      </c>
      <c r="K670" s="275">
        <v>0.14499999999999999</v>
      </c>
      <c r="L670" s="275">
        <v>0.14899999999999999</v>
      </c>
      <c r="M670" s="275">
        <v>0.41299999999999998</v>
      </c>
      <c r="N670" s="275">
        <v>0.41299999999999998</v>
      </c>
      <c r="O670" s="275">
        <v>0.442</v>
      </c>
      <c r="P670" s="275">
        <v>0.439</v>
      </c>
      <c r="Q670" s="275">
        <v>0.44800000000000001</v>
      </c>
      <c r="R670" s="275">
        <v>0.94499999999999995</v>
      </c>
      <c r="S670" s="275">
        <v>1.0069999999999999</v>
      </c>
      <c r="T670" s="275">
        <v>1.0820000000000001</v>
      </c>
      <c r="U670" s="275"/>
      <c r="V670" s="275"/>
      <c r="W670" s="275"/>
      <c r="X670" s="275"/>
      <c r="Y670" s="275"/>
      <c r="Z670" s="275"/>
      <c r="AA670" s="275"/>
    </row>
    <row r="671" spans="1:27">
      <c r="A671" s="273"/>
      <c r="B671" s="274"/>
      <c r="C671" s="278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</row>
    <row r="672" spans="1:27">
      <c r="A672" s="273">
        <v>228</v>
      </c>
      <c r="B672" s="274">
        <v>75</v>
      </c>
      <c r="C672" s="278" t="s">
        <v>172</v>
      </c>
      <c r="D672" s="275" t="s">
        <v>434</v>
      </c>
      <c r="E672" s="275" t="s">
        <v>435</v>
      </c>
      <c r="F672" s="275" t="s">
        <v>436</v>
      </c>
      <c r="G672" s="275" t="s">
        <v>437</v>
      </c>
      <c r="H672" s="275" t="s">
        <v>438</v>
      </c>
      <c r="I672" s="275" t="s">
        <v>439</v>
      </c>
      <c r="J672" s="275" t="s">
        <v>440</v>
      </c>
      <c r="K672" s="275" t="s">
        <v>441</v>
      </c>
      <c r="L672" s="275" t="s">
        <v>442</v>
      </c>
      <c r="M672" s="275" t="s">
        <v>443</v>
      </c>
      <c r="N672" s="275" t="s">
        <v>444</v>
      </c>
      <c r="O672" s="275" t="s">
        <v>445</v>
      </c>
      <c r="P672" s="275" t="s">
        <v>446</v>
      </c>
      <c r="Q672" s="275" t="s">
        <v>447</v>
      </c>
      <c r="R672" s="275" t="s">
        <v>448</v>
      </c>
      <c r="S672" s="275" t="s">
        <v>449</v>
      </c>
      <c r="T672" s="275" t="s">
        <v>450</v>
      </c>
      <c r="U672" s="275"/>
      <c r="V672" s="275"/>
      <c r="W672" s="275"/>
      <c r="X672" s="275"/>
      <c r="Y672" s="275"/>
      <c r="Z672" s="275"/>
      <c r="AA672" s="275"/>
    </row>
    <row r="673" spans="1:27">
      <c r="A673" s="273"/>
      <c r="B673" s="274"/>
      <c r="C673" s="278"/>
      <c r="D673" s="275">
        <v>1.0999999999999999E-2</v>
      </c>
      <c r="E673" s="275">
        <v>6.5000000000000002E-2</v>
      </c>
      <c r="F673" s="275">
        <v>4.9000000000000002E-2</v>
      </c>
      <c r="G673" s="275">
        <v>5.5E-2</v>
      </c>
      <c r="H673" s="275">
        <v>0.182</v>
      </c>
      <c r="I673" s="275">
        <v>0.17100000000000001</v>
      </c>
      <c r="J673" s="275">
        <v>0.184</v>
      </c>
      <c r="K673" s="275">
        <v>0.14499999999999999</v>
      </c>
      <c r="L673" s="275">
        <v>0.14899999999999999</v>
      </c>
      <c r="M673" s="275">
        <v>0.41299999999999998</v>
      </c>
      <c r="N673" s="275">
        <v>0.41299999999999998</v>
      </c>
      <c r="O673" s="275">
        <v>0.442</v>
      </c>
      <c r="P673" s="275">
        <v>0.439</v>
      </c>
      <c r="Q673" s="275">
        <v>0.44800000000000001</v>
      </c>
      <c r="R673" s="275">
        <v>0.94299999999999995</v>
      </c>
      <c r="S673" s="275">
        <v>1.0029999999999999</v>
      </c>
      <c r="T673" s="275">
        <v>1.077</v>
      </c>
      <c r="U673" s="275"/>
      <c r="V673" s="275"/>
      <c r="W673" s="275"/>
      <c r="X673" s="275"/>
      <c r="Y673" s="275"/>
      <c r="Z673" s="275"/>
      <c r="AA673" s="275"/>
    </row>
    <row r="674" spans="1:27">
      <c r="A674" s="273"/>
      <c r="B674" s="274"/>
      <c r="C674" s="278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</row>
    <row r="675" spans="1:27">
      <c r="A675" s="273">
        <v>229</v>
      </c>
      <c r="B675" s="274">
        <v>75</v>
      </c>
      <c r="C675" s="278" t="s">
        <v>173</v>
      </c>
      <c r="D675" s="275" t="s">
        <v>434</v>
      </c>
      <c r="E675" s="275" t="s">
        <v>435</v>
      </c>
      <c r="F675" s="275" t="s">
        <v>436</v>
      </c>
      <c r="G675" s="275" t="s">
        <v>437</v>
      </c>
      <c r="H675" s="275" t="s">
        <v>438</v>
      </c>
      <c r="I675" s="275" t="s">
        <v>439</v>
      </c>
      <c r="J675" s="275" t="s">
        <v>440</v>
      </c>
      <c r="K675" s="275" t="s">
        <v>441</v>
      </c>
      <c r="L675" s="275" t="s">
        <v>442</v>
      </c>
      <c r="M675" s="275" t="s">
        <v>443</v>
      </c>
      <c r="N675" s="275" t="s">
        <v>444</v>
      </c>
      <c r="O675" s="275" t="s">
        <v>445</v>
      </c>
      <c r="P675" s="275" t="s">
        <v>446</v>
      </c>
      <c r="Q675" s="275" t="s">
        <v>447</v>
      </c>
      <c r="R675" s="275" t="s">
        <v>448</v>
      </c>
      <c r="S675" s="275" t="s">
        <v>449</v>
      </c>
      <c r="T675" s="275" t="s">
        <v>450</v>
      </c>
      <c r="U675" s="275"/>
      <c r="V675" s="275"/>
      <c r="W675" s="275"/>
      <c r="X675" s="275"/>
      <c r="Y675" s="275"/>
      <c r="Z675" s="275"/>
      <c r="AA675" s="275"/>
    </row>
    <row r="676" spans="1:27">
      <c r="A676" s="273"/>
      <c r="B676" s="274"/>
      <c r="C676" s="278"/>
      <c r="D676" s="275">
        <v>1.0999999999999999E-2</v>
      </c>
      <c r="E676" s="275">
        <v>6.5000000000000002E-2</v>
      </c>
      <c r="F676" s="275">
        <v>4.9000000000000002E-2</v>
      </c>
      <c r="G676" s="275">
        <v>5.5E-2</v>
      </c>
      <c r="H676" s="275">
        <v>0.182</v>
      </c>
      <c r="I676" s="275">
        <v>0.17100000000000001</v>
      </c>
      <c r="J676" s="275">
        <v>0.184</v>
      </c>
      <c r="K676" s="275">
        <v>0.14499999999999999</v>
      </c>
      <c r="L676" s="275">
        <v>0.14899999999999999</v>
      </c>
      <c r="M676" s="275">
        <v>0.41299999999999998</v>
      </c>
      <c r="N676" s="275">
        <v>0.41299999999999998</v>
      </c>
      <c r="O676" s="275">
        <v>0.442</v>
      </c>
      <c r="P676" s="275">
        <v>0.439</v>
      </c>
      <c r="Q676" s="275">
        <v>0.44800000000000001</v>
      </c>
      <c r="R676" s="275">
        <v>0.94</v>
      </c>
      <c r="S676" s="275">
        <v>0.998</v>
      </c>
      <c r="T676" s="275">
        <v>1.071</v>
      </c>
      <c r="U676" s="275"/>
      <c r="V676" s="275"/>
      <c r="W676" s="275"/>
      <c r="X676" s="275"/>
      <c r="Y676" s="275"/>
      <c r="Z676" s="275"/>
      <c r="AA676" s="275"/>
    </row>
    <row r="677" spans="1:27">
      <c r="A677" s="273"/>
      <c r="B677" s="274"/>
      <c r="C677" s="278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</row>
    <row r="678" spans="1:27">
      <c r="A678" s="273">
        <v>230</v>
      </c>
      <c r="B678" s="274">
        <v>75</v>
      </c>
      <c r="C678" s="278" t="s">
        <v>174</v>
      </c>
      <c r="D678" s="275" t="s">
        <v>434</v>
      </c>
      <c r="E678" s="275" t="s">
        <v>435</v>
      </c>
      <c r="F678" s="275" t="s">
        <v>436</v>
      </c>
      <c r="G678" s="275" t="s">
        <v>437</v>
      </c>
      <c r="H678" s="275" t="s">
        <v>438</v>
      </c>
      <c r="I678" s="275" t="s">
        <v>439</v>
      </c>
      <c r="J678" s="275" t="s">
        <v>440</v>
      </c>
      <c r="K678" s="275" t="s">
        <v>441</v>
      </c>
      <c r="L678" s="275" t="s">
        <v>442</v>
      </c>
      <c r="M678" s="275" t="s">
        <v>443</v>
      </c>
      <c r="N678" s="275" t="s">
        <v>444</v>
      </c>
      <c r="O678" s="275" t="s">
        <v>445</v>
      </c>
      <c r="P678" s="275" t="s">
        <v>446</v>
      </c>
      <c r="Q678" s="275" t="s">
        <v>447</v>
      </c>
      <c r="R678" s="275" t="s">
        <v>448</v>
      </c>
      <c r="S678" s="275" t="s">
        <v>449</v>
      </c>
      <c r="T678" s="275" t="s">
        <v>450</v>
      </c>
      <c r="U678" s="275"/>
      <c r="V678" s="275"/>
      <c r="W678" s="275"/>
      <c r="X678" s="275"/>
      <c r="Y678" s="275"/>
      <c r="Z678" s="275"/>
      <c r="AA678" s="275"/>
    </row>
    <row r="679" spans="1:27">
      <c r="A679" s="273"/>
      <c r="B679" s="274"/>
      <c r="C679" s="278"/>
      <c r="D679" s="275">
        <v>1.0999999999999999E-2</v>
      </c>
      <c r="E679" s="275">
        <v>6.5000000000000002E-2</v>
      </c>
      <c r="F679" s="275">
        <v>4.9000000000000002E-2</v>
      </c>
      <c r="G679" s="275">
        <v>5.5E-2</v>
      </c>
      <c r="H679" s="275">
        <v>0.182</v>
      </c>
      <c r="I679" s="275">
        <v>0.17100000000000001</v>
      </c>
      <c r="J679" s="275">
        <v>0.184</v>
      </c>
      <c r="K679" s="275">
        <v>0.14499999999999999</v>
      </c>
      <c r="L679" s="275">
        <v>0.14899999999999999</v>
      </c>
      <c r="M679" s="275">
        <v>0.41299999999999998</v>
      </c>
      <c r="N679" s="275">
        <v>0.41299999999999998</v>
      </c>
      <c r="O679" s="275">
        <v>0.442</v>
      </c>
      <c r="P679" s="275">
        <v>0.439</v>
      </c>
      <c r="Q679" s="275">
        <v>0.44800000000000001</v>
      </c>
      <c r="R679" s="275">
        <v>0.93700000000000006</v>
      </c>
      <c r="S679" s="275">
        <v>0.99399999999999999</v>
      </c>
      <c r="T679" s="275">
        <v>1.0640000000000001</v>
      </c>
      <c r="U679" s="275"/>
      <c r="V679" s="275"/>
      <c r="W679" s="275"/>
      <c r="X679" s="275"/>
      <c r="Y679" s="275"/>
      <c r="Z679" s="275"/>
      <c r="AA679" s="275"/>
    </row>
    <row r="680" spans="1:27">
      <c r="A680" s="273"/>
      <c r="B680" s="274"/>
      <c r="C680" s="278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</row>
    <row r="681" spans="1:27">
      <c r="A681" s="273">
        <v>231</v>
      </c>
      <c r="B681" s="274">
        <v>76</v>
      </c>
      <c r="C681" s="278" t="s">
        <v>175</v>
      </c>
      <c r="D681" s="275" t="s">
        <v>434</v>
      </c>
      <c r="E681" s="275" t="s">
        <v>435</v>
      </c>
      <c r="F681" s="275" t="s">
        <v>436</v>
      </c>
      <c r="G681" s="275" t="s">
        <v>437</v>
      </c>
      <c r="H681" s="275" t="s">
        <v>438</v>
      </c>
      <c r="I681" s="275" t="s">
        <v>439</v>
      </c>
      <c r="J681" s="275" t="s">
        <v>440</v>
      </c>
      <c r="K681" s="275" t="s">
        <v>441</v>
      </c>
      <c r="L681" s="275" t="s">
        <v>442</v>
      </c>
      <c r="M681" s="275" t="s">
        <v>443</v>
      </c>
      <c r="N681" s="275" t="s">
        <v>444</v>
      </c>
      <c r="O681" s="275" t="s">
        <v>445</v>
      </c>
      <c r="P681" s="275" t="s">
        <v>446</v>
      </c>
      <c r="Q681" s="275" t="s">
        <v>447</v>
      </c>
      <c r="R681" s="275" t="s">
        <v>448</v>
      </c>
      <c r="S681" s="275" t="s">
        <v>449</v>
      </c>
      <c r="T681" s="275" t="s">
        <v>450</v>
      </c>
      <c r="U681" s="275"/>
      <c r="V681" s="275"/>
      <c r="W681" s="275"/>
      <c r="X681" s="275"/>
      <c r="Y681" s="275"/>
      <c r="Z681" s="275"/>
      <c r="AA681" s="275"/>
    </row>
    <row r="682" spans="1:27">
      <c r="A682" s="273"/>
      <c r="B682" s="274"/>
      <c r="C682" s="278"/>
      <c r="D682" s="275">
        <v>1.0999999999999999E-2</v>
      </c>
      <c r="E682" s="275">
        <v>6.3E-2</v>
      </c>
      <c r="F682" s="275">
        <v>4.8000000000000001E-2</v>
      </c>
      <c r="G682" s="275">
        <v>5.3999999999999999E-2</v>
      </c>
      <c r="H682" s="275">
        <v>0.17899999999999999</v>
      </c>
      <c r="I682" s="275">
        <v>0.16800000000000001</v>
      </c>
      <c r="J682" s="275">
        <v>0.182</v>
      </c>
      <c r="K682" s="275">
        <v>0.14299999999999999</v>
      </c>
      <c r="L682" s="275">
        <v>0.14599999999999999</v>
      </c>
      <c r="M682" s="275">
        <v>0.40500000000000003</v>
      </c>
      <c r="N682" s="275">
        <v>0.40500000000000003</v>
      </c>
      <c r="O682" s="275">
        <v>0.434</v>
      </c>
      <c r="P682" s="275">
        <v>0.43</v>
      </c>
      <c r="Q682" s="275">
        <v>0.439</v>
      </c>
      <c r="R682" s="275">
        <v>0.92300000000000004</v>
      </c>
      <c r="S682" s="275">
        <v>0.98299999999999998</v>
      </c>
      <c r="T682" s="275">
        <v>1.06</v>
      </c>
      <c r="U682" s="275"/>
      <c r="V682" s="275"/>
      <c r="W682" s="275"/>
      <c r="X682" s="275"/>
      <c r="Y682" s="275"/>
      <c r="Z682" s="275"/>
      <c r="AA682" s="275"/>
    </row>
    <row r="683" spans="1:27">
      <c r="A683" s="273"/>
      <c r="B683" s="274"/>
      <c r="C683" s="278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</row>
    <row r="684" spans="1:27">
      <c r="A684" s="273">
        <v>232</v>
      </c>
      <c r="B684" s="274">
        <v>76</v>
      </c>
      <c r="C684" s="278" t="s">
        <v>176</v>
      </c>
      <c r="D684" s="275" t="s">
        <v>434</v>
      </c>
      <c r="E684" s="275" t="s">
        <v>435</v>
      </c>
      <c r="F684" s="275" t="s">
        <v>436</v>
      </c>
      <c r="G684" s="275" t="s">
        <v>437</v>
      </c>
      <c r="H684" s="275" t="s">
        <v>438</v>
      </c>
      <c r="I684" s="275" t="s">
        <v>439</v>
      </c>
      <c r="J684" s="275" t="s">
        <v>440</v>
      </c>
      <c r="K684" s="275" t="s">
        <v>441</v>
      </c>
      <c r="L684" s="275" t="s">
        <v>442</v>
      </c>
      <c r="M684" s="275" t="s">
        <v>443</v>
      </c>
      <c r="N684" s="275" t="s">
        <v>444</v>
      </c>
      <c r="O684" s="275" t="s">
        <v>445</v>
      </c>
      <c r="P684" s="275" t="s">
        <v>446</v>
      </c>
      <c r="Q684" s="275" t="s">
        <v>447</v>
      </c>
      <c r="R684" s="275" t="s">
        <v>448</v>
      </c>
      <c r="S684" s="275" t="s">
        <v>449</v>
      </c>
      <c r="T684" s="275" t="s">
        <v>450</v>
      </c>
      <c r="U684" s="275"/>
      <c r="V684" s="275"/>
      <c r="W684" s="275"/>
      <c r="X684" s="275"/>
      <c r="Y684" s="275"/>
      <c r="Z684" s="275"/>
      <c r="AA684" s="275"/>
    </row>
    <row r="685" spans="1:27">
      <c r="A685" s="273"/>
      <c r="B685" s="274"/>
      <c r="C685" s="278"/>
      <c r="D685" s="275">
        <v>1.0999999999999999E-2</v>
      </c>
      <c r="E685" s="275">
        <v>6.3E-2</v>
      </c>
      <c r="F685" s="275">
        <v>4.8000000000000001E-2</v>
      </c>
      <c r="G685" s="275">
        <v>5.3999999999999999E-2</v>
      </c>
      <c r="H685" s="275">
        <v>0.17899999999999999</v>
      </c>
      <c r="I685" s="275">
        <v>0.16800000000000001</v>
      </c>
      <c r="J685" s="275">
        <v>0.182</v>
      </c>
      <c r="K685" s="275">
        <v>0.14299999999999999</v>
      </c>
      <c r="L685" s="275">
        <v>0.14599999999999999</v>
      </c>
      <c r="M685" s="275">
        <v>0.40500000000000003</v>
      </c>
      <c r="N685" s="275">
        <v>0.40500000000000003</v>
      </c>
      <c r="O685" s="275">
        <v>0.434</v>
      </c>
      <c r="P685" s="275">
        <v>0.43</v>
      </c>
      <c r="Q685" s="275">
        <v>0.439</v>
      </c>
      <c r="R685" s="275">
        <v>0.92300000000000004</v>
      </c>
      <c r="S685" s="275">
        <v>0.98299999999999998</v>
      </c>
      <c r="T685" s="275">
        <v>1.06</v>
      </c>
      <c r="U685" s="275"/>
      <c r="V685" s="275"/>
      <c r="W685" s="275"/>
      <c r="X685" s="275"/>
      <c r="Y685" s="275"/>
      <c r="Z685" s="275"/>
      <c r="AA685" s="275"/>
    </row>
    <row r="686" spans="1:27">
      <c r="A686" s="273"/>
      <c r="B686" s="274"/>
      <c r="C686" s="278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</row>
    <row r="687" spans="1:27">
      <c r="A687" s="273">
        <v>233</v>
      </c>
      <c r="B687" s="274">
        <v>76</v>
      </c>
      <c r="C687" s="278" t="s">
        <v>177</v>
      </c>
      <c r="D687" s="275" t="s">
        <v>434</v>
      </c>
      <c r="E687" s="275" t="s">
        <v>435</v>
      </c>
      <c r="F687" s="275" t="s">
        <v>436</v>
      </c>
      <c r="G687" s="275" t="s">
        <v>437</v>
      </c>
      <c r="H687" s="275" t="s">
        <v>438</v>
      </c>
      <c r="I687" s="275" t="s">
        <v>439</v>
      </c>
      <c r="J687" s="275" t="s">
        <v>440</v>
      </c>
      <c r="K687" s="275" t="s">
        <v>441</v>
      </c>
      <c r="L687" s="275" t="s">
        <v>442</v>
      </c>
      <c r="M687" s="275" t="s">
        <v>443</v>
      </c>
      <c r="N687" s="275" t="s">
        <v>444</v>
      </c>
      <c r="O687" s="275" t="s">
        <v>445</v>
      </c>
      <c r="P687" s="275" t="s">
        <v>446</v>
      </c>
      <c r="Q687" s="275" t="s">
        <v>447</v>
      </c>
      <c r="R687" s="275" t="s">
        <v>448</v>
      </c>
      <c r="S687" s="275" t="s">
        <v>449</v>
      </c>
      <c r="T687" s="275" t="s">
        <v>450</v>
      </c>
      <c r="U687" s="275"/>
      <c r="V687" s="275"/>
      <c r="W687" s="275"/>
      <c r="X687" s="275"/>
      <c r="Y687" s="275"/>
      <c r="Z687" s="275"/>
      <c r="AA687" s="275"/>
    </row>
    <row r="688" spans="1:27">
      <c r="A688" s="273"/>
      <c r="B688" s="274"/>
      <c r="C688" s="278"/>
      <c r="D688" s="275">
        <v>1.0999999999999999E-2</v>
      </c>
      <c r="E688" s="275">
        <v>6.3E-2</v>
      </c>
      <c r="F688" s="275">
        <v>4.8000000000000001E-2</v>
      </c>
      <c r="G688" s="275">
        <v>5.3999999999999999E-2</v>
      </c>
      <c r="H688" s="275">
        <v>0.17899999999999999</v>
      </c>
      <c r="I688" s="275">
        <v>0.16800000000000001</v>
      </c>
      <c r="J688" s="275">
        <v>0.182</v>
      </c>
      <c r="K688" s="275">
        <v>0.14299999999999999</v>
      </c>
      <c r="L688" s="275">
        <v>0.14599999999999999</v>
      </c>
      <c r="M688" s="275">
        <v>0.40500000000000003</v>
      </c>
      <c r="N688" s="275">
        <v>0.40500000000000003</v>
      </c>
      <c r="O688" s="275">
        <v>0.434</v>
      </c>
      <c r="P688" s="275">
        <v>0.43</v>
      </c>
      <c r="Q688" s="275">
        <v>0.439</v>
      </c>
      <c r="R688" s="275">
        <v>0.92200000000000004</v>
      </c>
      <c r="S688" s="275">
        <v>0.98099999999999998</v>
      </c>
      <c r="T688" s="275">
        <v>1.0569999999999999</v>
      </c>
      <c r="U688" s="275"/>
      <c r="V688" s="275"/>
      <c r="W688" s="275"/>
      <c r="X688" s="275"/>
      <c r="Y688" s="275"/>
      <c r="Z688" s="275"/>
      <c r="AA688" s="275"/>
    </row>
    <row r="689" spans="1:27">
      <c r="A689" s="273"/>
      <c r="B689" s="274"/>
      <c r="C689" s="278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</row>
    <row r="690" spans="1:27">
      <c r="A690" s="273">
        <v>234</v>
      </c>
      <c r="B690" s="274">
        <v>76</v>
      </c>
      <c r="C690" s="278" t="s">
        <v>178</v>
      </c>
      <c r="D690" s="275" t="s">
        <v>434</v>
      </c>
      <c r="E690" s="275" t="s">
        <v>435</v>
      </c>
      <c r="F690" s="275" t="s">
        <v>436</v>
      </c>
      <c r="G690" s="275" t="s">
        <v>437</v>
      </c>
      <c r="H690" s="275" t="s">
        <v>438</v>
      </c>
      <c r="I690" s="275" t="s">
        <v>439</v>
      </c>
      <c r="J690" s="275" t="s">
        <v>440</v>
      </c>
      <c r="K690" s="275" t="s">
        <v>441</v>
      </c>
      <c r="L690" s="275" t="s">
        <v>442</v>
      </c>
      <c r="M690" s="275" t="s">
        <v>443</v>
      </c>
      <c r="N690" s="275" t="s">
        <v>444</v>
      </c>
      <c r="O690" s="275" t="s">
        <v>445</v>
      </c>
      <c r="P690" s="275" t="s">
        <v>446</v>
      </c>
      <c r="Q690" s="275" t="s">
        <v>447</v>
      </c>
      <c r="R690" s="275" t="s">
        <v>448</v>
      </c>
      <c r="S690" s="275" t="s">
        <v>449</v>
      </c>
      <c r="T690" s="275" t="s">
        <v>450</v>
      </c>
      <c r="U690" s="275"/>
      <c r="V690" s="275"/>
      <c r="W690" s="275"/>
      <c r="X690" s="275"/>
      <c r="Y690" s="275"/>
      <c r="Z690" s="275"/>
      <c r="AA690" s="275"/>
    </row>
    <row r="691" spans="1:27">
      <c r="A691" s="273"/>
      <c r="B691" s="274"/>
      <c r="C691" s="278"/>
      <c r="D691" s="275">
        <v>1.0999999999999999E-2</v>
      </c>
      <c r="E691" s="275">
        <v>6.3E-2</v>
      </c>
      <c r="F691" s="275">
        <v>4.8000000000000001E-2</v>
      </c>
      <c r="G691" s="275">
        <v>5.3999999999999999E-2</v>
      </c>
      <c r="H691" s="275">
        <v>0.17899999999999999</v>
      </c>
      <c r="I691" s="275">
        <v>0.16800000000000001</v>
      </c>
      <c r="J691" s="275">
        <v>0.182</v>
      </c>
      <c r="K691" s="275">
        <v>0.14299999999999999</v>
      </c>
      <c r="L691" s="275">
        <v>0.14599999999999999</v>
      </c>
      <c r="M691" s="275">
        <v>0.40500000000000003</v>
      </c>
      <c r="N691" s="275">
        <v>0.40500000000000003</v>
      </c>
      <c r="O691" s="275">
        <v>0.434</v>
      </c>
      <c r="P691" s="275">
        <v>0.43</v>
      </c>
      <c r="Q691" s="275">
        <v>0.439</v>
      </c>
      <c r="R691" s="275">
        <v>0.92100000000000004</v>
      </c>
      <c r="S691" s="275">
        <v>0.97799999999999998</v>
      </c>
      <c r="T691" s="275">
        <v>1.0529999999999999</v>
      </c>
      <c r="U691" s="275"/>
      <c r="V691" s="275"/>
      <c r="W691" s="275"/>
      <c r="X691" s="275"/>
      <c r="Y691" s="275"/>
      <c r="Z691" s="275"/>
      <c r="AA691" s="275"/>
    </row>
    <row r="692" spans="1:27">
      <c r="A692" s="273"/>
      <c r="B692" s="274"/>
      <c r="C692" s="278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</row>
    <row r="693" spans="1:27">
      <c r="A693" s="273">
        <v>235</v>
      </c>
      <c r="B693" s="274">
        <v>76</v>
      </c>
      <c r="C693" s="278" t="s">
        <v>179</v>
      </c>
      <c r="D693" s="275" t="s">
        <v>434</v>
      </c>
      <c r="E693" s="275" t="s">
        <v>435</v>
      </c>
      <c r="F693" s="275" t="s">
        <v>436</v>
      </c>
      <c r="G693" s="275" t="s">
        <v>437</v>
      </c>
      <c r="H693" s="275" t="s">
        <v>438</v>
      </c>
      <c r="I693" s="275" t="s">
        <v>439</v>
      </c>
      <c r="J693" s="275" t="s">
        <v>440</v>
      </c>
      <c r="K693" s="275" t="s">
        <v>441</v>
      </c>
      <c r="L693" s="275" t="s">
        <v>442</v>
      </c>
      <c r="M693" s="275" t="s">
        <v>443</v>
      </c>
      <c r="N693" s="275" t="s">
        <v>444</v>
      </c>
      <c r="O693" s="275" t="s">
        <v>445</v>
      </c>
      <c r="P693" s="275" t="s">
        <v>446</v>
      </c>
      <c r="Q693" s="275" t="s">
        <v>447</v>
      </c>
      <c r="R693" s="275" t="s">
        <v>448</v>
      </c>
      <c r="S693" s="275" t="s">
        <v>449</v>
      </c>
      <c r="T693" s="275" t="s">
        <v>450</v>
      </c>
      <c r="U693" s="275"/>
      <c r="V693" s="275"/>
      <c r="W693" s="275"/>
      <c r="X693" s="275"/>
      <c r="Y693" s="275"/>
      <c r="Z693" s="275"/>
      <c r="AA693" s="275"/>
    </row>
    <row r="694" spans="1:27">
      <c r="A694" s="273"/>
      <c r="B694" s="274"/>
      <c r="C694" s="278"/>
      <c r="D694" s="275">
        <v>1.0999999999999999E-2</v>
      </c>
      <c r="E694" s="275">
        <v>6.3E-2</v>
      </c>
      <c r="F694" s="275">
        <v>4.8000000000000001E-2</v>
      </c>
      <c r="G694" s="275">
        <v>5.3999999999999999E-2</v>
      </c>
      <c r="H694" s="275">
        <v>0.17899999999999999</v>
      </c>
      <c r="I694" s="275">
        <v>0.16700000000000001</v>
      </c>
      <c r="J694" s="275">
        <v>0.182</v>
      </c>
      <c r="K694" s="275">
        <v>0.14299999999999999</v>
      </c>
      <c r="L694" s="275">
        <v>0.14599999999999999</v>
      </c>
      <c r="M694" s="275">
        <v>0.40500000000000003</v>
      </c>
      <c r="N694" s="275">
        <v>0.40500000000000003</v>
      </c>
      <c r="O694" s="275">
        <v>0.434</v>
      </c>
      <c r="P694" s="275">
        <v>0.43</v>
      </c>
      <c r="Q694" s="275">
        <v>0.439</v>
      </c>
      <c r="R694" s="275">
        <v>0.91900000000000004</v>
      </c>
      <c r="S694" s="275">
        <v>0.97399999999999998</v>
      </c>
      <c r="T694" s="275">
        <v>1.048</v>
      </c>
      <c r="U694" s="275"/>
      <c r="V694" s="275"/>
      <c r="W694" s="275"/>
      <c r="X694" s="275"/>
      <c r="Y694" s="275"/>
      <c r="Z694" s="275"/>
      <c r="AA694" s="275"/>
    </row>
    <row r="695" spans="1:27">
      <c r="A695" s="273"/>
      <c r="B695" s="274"/>
      <c r="C695" s="278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</row>
    <row r="696" spans="1:27">
      <c r="A696" s="273">
        <v>236</v>
      </c>
      <c r="B696" s="274">
        <v>76</v>
      </c>
      <c r="C696" s="278" t="s">
        <v>180</v>
      </c>
      <c r="D696" s="275" t="s">
        <v>434</v>
      </c>
      <c r="E696" s="275" t="s">
        <v>435</v>
      </c>
      <c r="F696" s="275" t="s">
        <v>436</v>
      </c>
      <c r="G696" s="275" t="s">
        <v>437</v>
      </c>
      <c r="H696" s="275" t="s">
        <v>438</v>
      </c>
      <c r="I696" s="275" t="s">
        <v>439</v>
      </c>
      <c r="J696" s="275" t="s">
        <v>440</v>
      </c>
      <c r="K696" s="275" t="s">
        <v>441</v>
      </c>
      <c r="L696" s="275" t="s">
        <v>442</v>
      </c>
      <c r="M696" s="275" t="s">
        <v>443</v>
      </c>
      <c r="N696" s="275" t="s">
        <v>444</v>
      </c>
      <c r="O696" s="275" t="s">
        <v>445</v>
      </c>
      <c r="P696" s="275" t="s">
        <v>446</v>
      </c>
      <c r="Q696" s="275" t="s">
        <v>447</v>
      </c>
      <c r="R696" s="275" t="s">
        <v>448</v>
      </c>
      <c r="S696" s="275" t="s">
        <v>449</v>
      </c>
      <c r="T696" s="275" t="s">
        <v>450</v>
      </c>
      <c r="U696" s="275"/>
      <c r="V696" s="275"/>
      <c r="W696" s="275"/>
      <c r="X696" s="275"/>
      <c r="Y696" s="275"/>
      <c r="Z696" s="275"/>
      <c r="AA696" s="275"/>
    </row>
    <row r="697" spans="1:27">
      <c r="A697" s="273"/>
      <c r="B697" s="274"/>
      <c r="C697" s="278"/>
      <c r="D697" s="275">
        <v>1.0999999999999999E-2</v>
      </c>
      <c r="E697" s="275">
        <v>6.3E-2</v>
      </c>
      <c r="F697" s="275">
        <v>4.8000000000000001E-2</v>
      </c>
      <c r="G697" s="275">
        <v>5.3999999999999999E-2</v>
      </c>
      <c r="H697" s="275">
        <v>0.17899999999999999</v>
      </c>
      <c r="I697" s="275">
        <v>0.16700000000000001</v>
      </c>
      <c r="J697" s="275">
        <v>0.182</v>
      </c>
      <c r="K697" s="275">
        <v>0.14299999999999999</v>
      </c>
      <c r="L697" s="275">
        <v>0.14599999999999999</v>
      </c>
      <c r="M697" s="275">
        <v>0.40500000000000003</v>
      </c>
      <c r="N697" s="275">
        <v>0.40500000000000003</v>
      </c>
      <c r="O697" s="275">
        <v>0.434</v>
      </c>
      <c r="P697" s="275">
        <v>0.43</v>
      </c>
      <c r="Q697" s="275">
        <v>0.439</v>
      </c>
      <c r="R697" s="275">
        <v>0.91600000000000004</v>
      </c>
      <c r="S697" s="275">
        <v>0.97099999999999997</v>
      </c>
      <c r="T697" s="275">
        <v>1.042</v>
      </c>
      <c r="U697" s="275"/>
      <c r="V697" s="275"/>
      <c r="W697" s="275"/>
      <c r="X697" s="275"/>
      <c r="Y697" s="275"/>
      <c r="Z697" s="275"/>
      <c r="AA697" s="275"/>
    </row>
    <row r="698" spans="1:27">
      <c r="A698" s="273"/>
      <c r="B698" s="274"/>
      <c r="C698" s="278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</row>
    <row r="699" spans="1:27">
      <c r="A699" s="273">
        <v>237</v>
      </c>
      <c r="B699" s="274">
        <v>76</v>
      </c>
      <c r="C699" s="278" t="s">
        <v>181</v>
      </c>
      <c r="D699" s="275" t="s">
        <v>434</v>
      </c>
      <c r="E699" s="275" t="s">
        <v>435</v>
      </c>
      <c r="F699" s="275" t="s">
        <v>436</v>
      </c>
      <c r="G699" s="275" t="s">
        <v>437</v>
      </c>
      <c r="H699" s="275" t="s">
        <v>438</v>
      </c>
      <c r="I699" s="275" t="s">
        <v>439</v>
      </c>
      <c r="J699" s="275" t="s">
        <v>440</v>
      </c>
      <c r="K699" s="275" t="s">
        <v>441</v>
      </c>
      <c r="L699" s="275" t="s">
        <v>442</v>
      </c>
      <c r="M699" s="275" t="s">
        <v>443</v>
      </c>
      <c r="N699" s="275" t="s">
        <v>444</v>
      </c>
      <c r="O699" s="275" t="s">
        <v>445</v>
      </c>
      <c r="P699" s="275" t="s">
        <v>446</v>
      </c>
      <c r="Q699" s="275" t="s">
        <v>447</v>
      </c>
      <c r="R699" s="275" t="s">
        <v>448</v>
      </c>
      <c r="S699" s="275" t="s">
        <v>449</v>
      </c>
      <c r="T699" s="275" t="s">
        <v>450</v>
      </c>
      <c r="U699" s="275"/>
      <c r="V699" s="275"/>
      <c r="W699" s="275"/>
      <c r="X699" s="275"/>
      <c r="Y699" s="275"/>
      <c r="Z699" s="275"/>
      <c r="AA699" s="275"/>
    </row>
    <row r="700" spans="1:27">
      <c r="A700" s="273"/>
      <c r="B700" s="274"/>
      <c r="C700" s="278"/>
      <c r="D700" s="275">
        <v>1.0999999999999999E-2</v>
      </c>
      <c r="E700" s="275">
        <v>6.3E-2</v>
      </c>
      <c r="F700" s="275">
        <v>4.8000000000000001E-2</v>
      </c>
      <c r="G700" s="275">
        <v>5.3999999999999999E-2</v>
      </c>
      <c r="H700" s="275">
        <v>0.17899999999999999</v>
      </c>
      <c r="I700" s="275">
        <v>0.16700000000000001</v>
      </c>
      <c r="J700" s="275">
        <v>0.182</v>
      </c>
      <c r="K700" s="275">
        <v>0.14299999999999999</v>
      </c>
      <c r="L700" s="275">
        <v>0.14599999999999999</v>
      </c>
      <c r="M700" s="275">
        <v>0.40500000000000003</v>
      </c>
      <c r="N700" s="275">
        <v>0.40500000000000003</v>
      </c>
      <c r="O700" s="275">
        <v>0.434</v>
      </c>
      <c r="P700" s="275">
        <v>0.43</v>
      </c>
      <c r="Q700" s="275">
        <v>0.439</v>
      </c>
      <c r="R700" s="275">
        <v>0.91400000000000003</v>
      </c>
      <c r="S700" s="275">
        <v>0.96599999999999997</v>
      </c>
      <c r="T700" s="275">
        <v>1.036</v>
      </c>
      <c r="U700" s="275"/>
      <c r="V700" s="275"/>
      <c r="W700" s="275"/>
      <c r="X700" s="275"/>
      <c r="Y700" s="275"/>
      <c r="Z700" s="275"/>
      <c r="AA700" s="275"/>
    </row>
    <row r="701" spans="1:27">
      <c r="A701" s="273"/>
      <c r="B701" s="274"/>
      <c r="C701" s="278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</row>
    <row r="702" spans="1:27">
      <c r="A702" s="273">
        <v>238</v>
      </c>
      <c r="B702" s="274">
        <v>76</v>
      </c>
      <c r="C702" s="278" t="s">
        <v>182</v>
      </c>
      <c r="D702" s="275" t="s">
        <v>434</v>
      </c>
      <c r="E702" s="275" t="s">
        <v>435</v>
      </c>
      <c r="F702" s="275" t="s">
        <v>436</v>
      </c>
      <c r="G702" s="275" t="s">
        <v>437</v>
      </c>
      <c r="H702" s="275" t="s">
        <v>438</v>
      </c>
      <c r="I702" s="275" t="s">
        <v>439</v>
      </c>
      <c r="J702" s="275" t="s">
        <v>440</v>
      </c>
      <c r="K702" s="275" t="s">
        <v>441</v>
      </c>
      <c r="L702" s="275" t="s">
        <v>442</v>
      </c>
      <c r="M702" s="275" t="s">
        <v>443</v>
      </c>
      <c r="N702" s="275" t="s">
        <v>444</v>
      </c>
      <c r="O702" s="275" t="s">
        <v>445</v>
      </c>
      <c r="P702" s="275" t="s">
        <v>446</v>
      </c>
      <c r="Q702" s="275" t="s">
        <v>447</v>
      </c>
      <c r="R702" s="275" t="s">
        <v>448</v>
      </c>
      <c r="S702" s="275" t="s">
        <v>449</v>
      </c>
      <c r="T702" s="275" t="s">
        <v>450</v>
      </c>
      <c r="U702" s="275"/>
      <c r="V702" s="275"/>
      <c r="W702" s="275"/>
      <c r="X702" s="275"/>
      <c r="Y702" s="275"/>
      <c r="Z702" s="275"/>
      <c r="AA702" s="275"/>
    </row>
    <row r="703" spans="1:27">
      <c r="A703" s="273"/>
      <c r="B703" s="274"/>
      <c r="C703" s="278"/>
      <c r="D703" s="275">
        <v>1.0999999999999999E-2</v>
      </c>
      <c r="E703" s="275">
        <v>6.3E-2</v>
      </c>
      <c r="F703" s="275">
        <v>4.8000000000000001E-2</v>
      </c>
      <c r="G703" s="275">
        <v>5.3999999999999999E-2</v>
      </c>
      <c r="H703" s="275">
        <v>0.17899999999999999</v>
      </c>
      <c r="I703" s="275">
        <v>0.16700000000000001</v>
      </c>
      <c r="J703" s="275">
        <v>0.182</v>
      </c>
      <c r="K703" s="275">
        <v>0.14299999999999999</v>
      </c>
      <c r="L703" s="275">
        <v>0.14599999999999999</v>
      </c>
      <c r="M703" s="275">
        <v>0.40500000000000003</v>
      </c>
      <c r="N703" s="275">
        <v>0.40500000000000003</v>
      </c>
      <c r="O703" s="275">
        <v>0.434</v>
      </c>
      <c r="P703" s="275">
        <v>0.43</v>
      </c>
      <c r="Q703" s="275">
        <v>0.439</v>
      </c>
      <c r="R703" s="275">
        <v>0.91100000000000003</v>
      </c>
      <c r="S703" s="275">
        <v>0.96199999999999997</v>
      </c>
      <c r="T703" s="275">
        <v>1.03</v>
      </c>
      <c r="U703" s="275"/>
      <c r="V703" s="275"/>
      <c r="W703" s="275"/>
      <c r="X703" s="275"/>
      <c r="Y703" s="275"/>
      <c r="Z703" s="275"/>
      <c r="AA703" s="275"/>
    </row>
    <row r="704" spans="1:27">
      <c r="A704" s="273"/>
      <c r="B704" s="274"/>
      <c r="C704" s="278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</row>
    <row r="705" spans="1:27">
      <c r="A705" s="273">
        <v>239</v>
      </c>
      <c r="B705" s="274">
        <v>77</v>
      </c>
      <c r="C705" s="278" t="s">
        <v>183</v>
      </c>
      <c r="D705" s="275" t="s">
        <v>434</v>
      </c>
      <c r="E705" s="275" t="s">
        <v>435</v>
      </c>
      <c r="F705" s="275" t="s">
        <v>436</v>
      </c>
      <c r="G705" s="275" t="s">
        <v>437</v>
      </c>
      <c r="H705" s="275" t="s">
        <v>438</v>
      </c>
      <c r="I705" s="275" t="s">
        <v>439</v>
      </c>
      <c r="J705" s="275" t="s">
        <v>440</v>
      </c>
      <c r="K705" s="275" t="s">
        <v>441</v>
      </c>
      <c r="L705" s="275" t="s">
        <v>442</v>
      </c>
      <c r="M705" s="275" t="s">
        <v>443</v>
      </c>
      <c r="N705" s="275" t="s">
        <v>444</v>
      </c>
      <c r="O705" s="275" t="s">
        <v>445</v>
      </c>
      <c r="P705" s="275" t="s">
        <v>446</v>
      </c>
      <c r="Q705" s="275" t="s">
        <v>447</v>
      </c>
      <c r="R705" s="275" t="s">
        <v>448</v>
      </c>
      <c r="S705" s="275" t="s">
        <v>449</v>
      </c>
      <c r="T705" s="275" t="s">
        <v>450</v>
      </c>
      <c r="U705" s="275"/>
      <c r="V705" s="275"/>
      <c r="W705" s="275"/>
      <c r="X705" s="275"/>
      <c r="Y705" s="275"/>
      <c r="Z705" s="275"/>
      <c r="AA705" s="275"/>
    </row>
    <row r="706" spans="1:27">
      <c r="A706" s="273"/>
      <c r="B706" s="274"/>
      <c r="C706" s="278"/>
      <c r="D706" s="275">
        <v>1.0999999999999999E-2</v>
      </c>
      <c r="E706" s="275">
        <v>6.2E-2</v>
      </c>
      <c r="F706" s="275">
        <v>4.7E-2</v>
      </c>
      <c r="G706" s="275">
        <v>5.2999999999999999E-2</v>
      </c>
      <c r="H706" s="275">
        <v>0.17599999999999999</v>
      </c>
      <c r="I706" s="275">
        <v>0.16400000000000001</v>
      </c>
      <c r="J706" s="275">
        <v>0.17899999999999999</v>
      </c>
      <c r="K706" s="275">
        <v>0.14000000000000001</v>
      </c>
      <c r="L706" s="275">
        <v>0.14399999999999999</v>
      </c>
      <c r="M706" s="275">
        <v>0.39800000000000002</v>
      </c>
      <c r="N706" s="275">
        <v>0.39700000000000002</v>
      </c>
      <c r="O706" s="275">
        <v>0.42599999999999999</v>
      </c>
      <c r="P706" s="275">
        <v>0.42199999999999999</v>
      </c>
      <c r="Q706" s="275">
        <v>0.43099999999999999</v>
      </c>
      <c r="R706" s="275">
        <v>0.89900000000000002</v>
      </c>
      <c r="S706" s="275">
        <v>0.95499999999999996</v>
      </c>
      <c r="T706" s="275">
        <v>1.032</v>
      </c>
      <c r="U706" s="275"/>
      <c r="V706" s="275"/>
      <c r="W706" s="275"/>
      <c r="X706" s="275"/>
      <c r="Y706" s="275"/>
      <c r="Z706" s="275"/>
      <c r="AA706" s="275"/>
    </row>
    <row r="707" spans="1:27">
      <c r="A707" s="273"/>
      <c r="B707" s="274"/>
      <c r="C707" s="278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</row>
    <row r="708" spans="1:27">
      <c r="A708" s="273">
        <v>240</v>
      </c>
      <c r="B708" s="274">
        <v>77</v>
      </c>
      <c r="C708" s="278" t="s">
        <v>184</v>
      </c>
      <c r="D708" s="275" t="s">
        <v>434</v>
      </c>
      <c r="E708" s="275" t="s">
        <v>435</v>
      </c>
      <c r="F708" s="275" t="s">
        <v>436</v>
      </c>
      <c r="G708" s="275" t="s">
        <v>437</v>
      </c>
      <c r="H708" s="275" t="s">
        <v>438</v>
      </c>
      <c r="I708" s="275" t="s">
        <v>439</v>
      </c>
      <c r="J708" s="275" t="s">
        <v>440</v>
      </c>
      <c r="K708" s="275" t="s">
        <v>441</v>
      </c>
      <c r="L708" s="275" t="s">
        <v>442</v>
      </c>
      <c r="M708" s="275" t="s">
        <v>443</v>
      </c>
      <c r="N708" s="275" t="s">
        <v>444</v>
      </c>
      <c r="O708" s="275" t="s">
        <v>445</v>
      </c>
      <c r="P708" s="275" t="s">
        <v>446</v>
      </c>
      <c r="Q708" s="275" t="s">
        <v>447</v>
      </c>
      <c r="R708" s="275" t="s">
        <v>448</v>
      </c>
      <c r="S708" s="275" t="s">
        <v>449</v>
      </c>
      <c r="T708" s="275" t="s">
        <v>450</v>
      </c>
      <c r="U708" s="275"/>
      <c r="V708" s="275"/>
      <c r="W708" s="275"/>
      <c r="X708" s="275"/>
      <c r="Y708" s="275"/>
      <c r="Z708" s="275"/>
      <c r="AA708" s="275"/>
    </row>
    <row r="709" spans="1:27">
      <c r="A709" s="273"/>
      <c r="B709" s="274"/>
      <c r="C709" s="278"/>
      <c r="D709" s="275">
        <v>1.0999999999999999E-2</v>
      </c>
      <c r="E709" s="275">
        <v>6.2E-2</v>
      </c>
      <c r="F709" s="275">
        <v>4.7E-2</v>
      </c>
      <c r="G709" s="275">
        <v>5.2999999999999999E-2</v>
      </c>
      <c r="H709" s="275">
        <v>0.17599999999999999</v>
      </c>
      <c r="I709" s="275">
        <v>0.16400000000000001</v>
      </c>
      <c r="J709" s="275">
        <v>0.17899999999999999</v>
      </c>
      <c r="K709" s="275">
        <v>0.14000000000000001</v>
      </c>
      <c r="L709" s="275">
        <v>0.14399999999999999</v>
      </c>
      <c r="M709" s="275">
        <v>0.39800000000000002</v>
      </c>
      <c r="N709" s="275">
        <v>0.39700000000000002</v>
      </c>
      <c r="O709" s="275">
        <v>0.42599999999999999</v>
      </c>
      <c r="P709" s="275">
        <v>0.42199999999999999</v>
      </c>
      <c r="Q709" s="275">
        <v>0.43099999999999999</v>
      </c>
      <c r="R709" s="275">
        <v>0.9</v>
      </c>
      <c r="S709" s="275">
        <v>0.95499999999999996</v>
      </c>
      <c r="T709" s="275">
        <v>1.032</v>
      </c>
      <c r="U709" s="275"/>
      <c r="V709" s="275"/>
      <c r="W709" s="275"/>
      <c r="X709" s="275"/>
      <c r="Y709" s="275"/>
      <c r="Z709" s="275"/>
      <c r="AA709" s="275"/>
    </row>
    <row r="710" spans="1:27">
      <c r="A710" s="273"/>
      <c r="B710" s="274"/>
      <c r="C710" s="278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</row>
    <row r="711" spans="1:27">
      <c r="A711" s="273">
        <v>241</v>
      </c>
      <c r="B711" s="274">
        <v>77</v>
      </c>
      <c r="C711" s="278" t="s">
        <v>185</v>
      </c>
      <c r="D711" s="275" t="s">
        <v>434</v>
      </c>
      <c r="E711" s="275" t="s">
        <v>435</v>
      </c>
      <c r="F711" s="275" t="s">
        <v>436</v>
      </c>
      <c r="G711" s="275" t="s">
        <v>437</v>
      </c>
      <c r="H711" s="275" t="s">
        <v>438</v>
      </c>
      <c r="I711" s="275" t="s">
        <v>439</v>
      </c>
      <c r="J711" s="275" t="s">
        <v>440</v>
      </c>
      <c r="K711" s="275" t="s">
        <v>441</v>
      </c>
      <c r="L711" s="275" t="s">
        <v>442</v>
      </c>
      <c r="M711" s="275" t="s">
        <v>443</v>
      </c>
      <c r="N711" s="275" t="s">
        <v>444</v>
      </c>
      <c r="O711" s="275" t="s">
        <v>445</v>
      </c>
      <c r="P711" s="275" t="s">
        <v>446</v>
      </c>
      <c r="Q711" s="275" t="s">
        <v>447</v>
      </c>
      <c r="R711" s="275" t="s">
        <v>448</v>
      </c>
      <c r="S711" s="275" t="s">
        <v>449</v>
      </c>
      <c r="T711" s="275" t="s">
        <v>450</v>
      </c>
      <c r="U711" s="275"/>
      <c r="V711" s="275"/>
      <c r="W711" s="275"/>
      <c r="X711" s="275"/>
      <c r="Y711" s="275"/>
      <c r="Z711" s="275"/>
      <c r="AA711" s="275"/>
    </row>
    <row r="712" spans="1:27">
      <c r="A712" s="273"/>
      <c r="B712" s="274"/>
      <c r="C712" s="278"/>
      <c r="D712" s="275">
        <v>1.0999999999999999E-2</v>
      </c>
      <c r="E712" s="275">
        <v>6.2E-2</v>
      </c>
      <c r="F712" s="275">
        <v>4.7E-2</v>
      </c>
      <c r="G712" s="275">
        <v>5.2999999999999999E-2</v>
      </c>
      <c r="H712" s="275">
        <v>0.17599999999999999</v>
      </c>
      <c r="I712" s="275">
        <v>0.16400000000000001</v>
      </c>
      <c r="J712" s="275">
        <v>0.17899999999999999</v>
      </c>
      <c r="K712" s="275">
        <v>0.14000000000000001</v>
      </c>
      <c r="L712" s="275">
        <v>0.14399999999999999</v>
      </c>
      <c r="M712" s="275">
        <v>0.39800000000000002</v>
      </c>
      <c r="N712" s="275">
        <v>0.39700000000000002</v>
      </c>
      <c r="O712" s="275">
        <v>0.42599999999999999</v>
      </c>
      <c r="P712" s="275">
        <v>0.42199999999999999</v>
      </c>
      <c r="Q712" s="275">
        <v>0.43099999999999999</v>
      </c>
      <c r="R712" s="275">
        <v>0.89900000000000002</v>
      </c>
      <c r="S712" s="275">
        <v>0.95299999999999996</v>
      </c>
      <c r="T712" s="275">
        <v>1.0289999999999999</v>
      </c>
      <c r="U712" s="275"/>
      <c r="V712" s="275"/>
      <c r="W712" s="275"/>
      <c r="X712" s="275"/>
      <c r="Y712" s="275"/>
      <c r="Z712" s="275"/>
      <c r="AA712" s="275"/>
    </row>
    <row r="713" spans="1:27">
      <c r="A713" s="273"/>
      <c r="B713" s="274"/>
      <c r="C713" s="278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</row>
    <row r="714" spans="1:27">
      <c r="A714" s="273">
        <v>242</v>
      </c>
      <c r="B714" s="274">
        <v>77</v>
      </c>
      <c r="C714" s="278" t="s">
        <v>186</v>
      </c>
      <c r="D714" s="275" t="s">
        <v>434</v>
      </c>
      <c r="E714" s="275" t="s">
        <v>435</v>
      </c>
      <c r="F714" s="275" t="s">
        <v>436</v>
      </c>
      <c r="G714" s="275" t="s">
        <v>437</v>
      </c>
      <c r="H714" s="275" t="s">
        <v>438</v>
      </c>
      <c r="I714" s="275" t="s">
        <v>439</v>
      </c>
      <c r="J714" s="275" t="s">
        <v>440</v>
      </c>
      <c r="K714" s="275" t="s">
        <v>441</v>
      </c>
      <c r="L714" s="275" t="s">
        <v>442</v>
      </c>
      <c r="M714" s="275" t="s">
        <v>443</v>
      </c>
      <c r="N714" s="275" t="s">
        <v>444</v>
      </c>
      <c r="O714" s="275" t="s">
        <v>445</v>
      </c>
      <c r="P714" s="275" t="s">
        <v>446</v>
      </c>
      <c r="Q714" s="275" t="s">
        <v>447</v>
      </c>
      <c r="R714" s="275" t="s">
        <v>448</v>
      </c>
      <c r="S714" s="275" t="s">
        <v>449</v>
      </c>
      <c r="T714" s="275" t="s">
        <v>450</v>
      </c>
      <c r="U714" s="275"/>
      <c r="V714" s="275"/>
      <c r="W714" s="275"/>
      <c r="X714" s="275"/>
      <c r="Y714" s="275"/>
      <c r="Z714" s="275"/>
      <c r="AA714" s="275"/>
    </row>
    <row r="715" spans="1:27">
      <c r="A715" s="273"/>
      <c r="B715" s="274"/>
      <c r="C715" s="278"/>
      <c r="D715" s="275">
        <v>1.0999999999999999E-2</v>
      </c>
      <c r="E715" s="275">
        <v>6.2E-2</v>
      </c>
      <c r="F715" s="275">
        <v>4.7E-2</v>
      </c>
      <c r="G715" s="275">
        <v>5.2999999999999999E-2</v>
      </c>
      <c r="H715" s="275">
        <v>0.17599999999999999</v>
      </c>
      <c r="I715" s="275">
        <v>0.16400000000000001</v>
      </c>
      <c r="J715" s="275">
        <v>0.17899999999999999</v>
      </c>
      <c r="K715" s="275">
        <v>0.14000000000000001</v>
      </c>
      <c r="L715" s="275">
        <v>0.14399999999999999</v>
      </c>
      <c r="M715" s="275">
        <v>0.39800000000000002</v>
      </c>
      <c r="N715" s="275">
        <v>0.39700000000000002</v>
      </c>
      <c r="O715" s="275">
        <v>0.42599999999999999</v>
      </c>
      <c r="P715" s="275">
        <v>0.42199999999999999</v>
      </c>
      <c r="Q715" s="275">
        <v>0.43099999999999999</v>
      </c>
      <c r="R715" s="275">
        <v>0.89700000000000002</v>
      </c>
      <c r="S715" s="275">
        <v>0.95099999999999996</v>
      </c>
      <c r="T715" s="275">
        <v>1.0249999999999999</v>
      </c>
      <c r="U715" s="275"/>
      <c r="V715" s="275"/>
      <c r="W715" s="275"/>
      <c r="X715" s="275"/>
      <c r="Y715" s="275"/>
      <c r="Z715" s="275"/>
      <c r="AA715" s="275"/>
    </row>
    <row r="716" spans="1:27">
      <c r="A716" s="273"/>
      <c r="B716" s="274"/>
      <c r="C716" s="278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</row>
    <row r="717" spans="1:27">
      <c r="A717" s="273">
        <v>243</v>
      </c>
      <c r="B717" s="274">
        <v>77</v>
      </c>
      <c r="C717" s="278" t="s">
        <v>187</v>
      </c>
      <c r="D717" s="275" t="s">
        <v>434</v>
      </c>
      <c r="E717" s="275" t="s">
        <v>435</v>
      </c>
      <c r="F717" s="275" t="s">
        <v>436</v>
      </c>
      <c r="G717" s="275" t="s">
        <v>437</v>
      </c>
      <c r="H717" s="275" t="s">
        <v>438</v>
      </c>
      <c r="I717" s="275" t="s">
        <v>439</v>
      </c>
      <c r="J717" s="275" t="s">
        <v>440</v>
      </c>
      <c r="K717" s="275" t="s">
        <v>441</v>
      </c>
      <c r="L717" s="275" t="s">
        <v>442</v>
      </c>
      <c r="M717" s="275" t="s">
        <v>443</v>
      </c>
      <c r="N717" s="275" t="s">
        <v>444</v>
      </c>
      <c r="O717" s="275" t="s">
        <v>445</v>
      </c>
      <c r="P717" s="275" t="s">
        <v>446</v>
      </c>
      <c r="Q717" s="275" t="s">
        <v>447</v>
      </c>
      <c r="R717" s="275" t="s">
        <v>448</v>
      </c>
      <c r="S717" s="275" t="s">
        <v>449</v>
      </c>
      <c r="T717" s="275" t="s">
        <v>450</v>
      </c>
      <c r="U717" s="275"/>
      <c r="V717" s="275"/>
      <c r="W717" s="275"/>
      <c r="X717" s="275"/>
      <c r="Y717" s="275"/>
      <c r="Z717" s="275"/>
      <c r="AA717" s="275"/>
    </row>
    <row r="718" spans="1:27">
      <c r="A718" s="273"/>
      <c r="B718" s="274"/>
      <c r="C718" s="278"/>
      <c r="D718" s="275">
        <v>1.0999999999999999E-2</v>
      </c>
      <c r="E718" s="275">
        <v>6.2E-2</v>
      </c>
      <c r="F718" s="275">
        <v>4.7E-2</v>
      </c>
      <c r="G718" s="275">
        <v>5.2999999999999999E-2</v>
      </c>
      <c r="H718" s="275">
        <v>0.17599999999999999</v>
      </c>
      <c r="I718" s="275">
        <v>0.16400000000000001</v>
      </c>
      <c r="J718" s="275">
        <v>0.17899999999999999</v>
      </c>
      <c r="K718" s="275">
        <v>0.14000000000000001</v>
      </c>
      <c r="L718" s="275">
        <v>0.14399999999999999</v>
      </c>
      <c r="M718" s="275">
        <v>0.39800000000000002</v>
      </c>
      <c r="N718" s="275">
        <v>0.39700000000000002</v>
      </c>
      <c r="O718" s="275">
        <v>0.42599999999999999</v>
      </c>
      <c r="P718" s="275">
        <v>0.42199999999999999</v>
      </c>
      <c r="Q718" s="275">
        <v>0.43099999999999999</v>
      </c>
      <c r="R718" s="275">
        <v>0.89600000000000002</v>
      </c>
      <c r="S718" s="275">
        <v>0.94799999999999995</v>
      </c>
      <c r="T718" s="275">
        <v>1.02</v>
      </c>
      <c r="U718" s="275"/>
      <c r="V718" s="275"/>
      <c r="W718" s="275"/>
      <c r="X718" s="275"/>
      <c r="Y718" s="275"/>
      <c r="Z718" s="275"/>
      <c r="AA718" s="275"/>
    </row>
    <row r="719" spans="1:27">
      <c r="A719" s="273"/>
      <c r="B719" s="274"/>
      <c r="C719" s="278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</row>
    <row r="720" spans="1:27">
      <c r="A720" s="273">
        <v>244</v>
      </c>
      <c r="B720" s="274">
        <v>77</v>
      </c>
      <c r="C720" s="278" t="s">
        <v>188</v>
      </c>
      <c r="D720" s="275" t="s">
        <v>434</v>
      </c>
      <c r="E720" s="275" t="s">
        <v>435</v>
      </c>
      <c r="F720" s="275" t="s">
        <v>436</v>
      </c>
      <c r="G720" s="275" t="s">
        <v>437</v>
      </c>
      <c r="H720" s="275" t="s">
        <v>438</v>
      </c>
      <c r="I720" s="275" t="s">
        <v>439</v>
      </c>
      <c r="J720" s="275" t="s">
        <v>440</v>
      </c>
      <c r="K720" s="275" t="s">
        <v>441</v>
      </c>
      <c r="L720" s="275" t="s">
        <v>442</v>
      </c>
      <c r="M720" s="275" t="s">
        <v>443</v>
      </c>
      <c r="N720" s="275" t="s">
        <v>444</v>
      </c>
      <c r="O720" s="275" t="s">
        <v>445</v>
      </c>
      <c r="P720" s="275" t="s">
        <v>446</v>
      </c>
      <c r="Q720" s="275" t="s">
        <v>447</v>
      </c>
      <c r="R720" s="275" t="s">
        <v>448</v>
      </c>
      <c r="S720" s="275" t="s">
        <v>449</v>
      </c>
      <c r="T720" s="275" t="s">
        <v>450</v>
      </c>
      <c r="U720" s="275"/>
      <c r="V720" s="275"/>
      <c r="W720" s="275"/>
      <c r="X720" s="275"/>
      <c r="Y720" s="275"/>
      <c r="Z720" s="275"/>
      <c r="AA720" s="275"/>
    </row>
    <row r="721" spans="1:27">
      <c r="A721" s="273"/>
      <c r="B721" s="274"/>
      <c r="C721" s="278"/>
      <c r="D721" s="275">
        <v>1.0999999999999999E-2</v>
      </c>
      <c r="E721" s="275">
        <v>6.2E-2</v>
      </c>
      <c r="F721" s="275">
        <v>4.7E-2</v>
      </c>
      <c r="G721" s="275">
        <v>5.2999999999999999E-2</v>
      </c>
      <c r="H721" s="275">
        <v>0.17599999999999999</v>
      </c>
      <c r="I721" s="275">
        <v>0.16400000000000001</v>
      </c>
      <c r="J721" s="275">
        <v>0.17899999999999999</v>
      </c>
      <c r="K721" s="275">
        <v>0.14000000000000001</v>
      </c>
      <c r="L721" s="275">
        <v>0.14399999999999999</v>
      </c>
      <c r="M721" s="275">
        <v>0.39800000000000002</v>
      </c>
      <c r="N721" s="275">
        <v>0.39700000000000002</v>
      </c>
      <c r="O721" s="275">
        <v>0.42599999999999999</v>
      </c>
      <c r="P721" s="275">
        <v>0.42199999999999999</v>
      </c>
      <c r="Q721" s="275">
        <v>0.43099999999999999</v>
      </c>
      <c r="R721" s="275">
        <v>0.89400000000000002</v>
      </c>
      <c r="S721" s="275">
        <v>0.94399999999999995</v>
      </c>
      <c r="T721" s="275">
        <v>1.0149999999999999</v>
      </c>
      <c r="U721" s="275"/>
      <c r="V721" s="275"/>
      <c r="W721" s="275"/>
      <c r="X721" s="275"/>
      <c r="Y721" s="275"/>
      <c r="Z721" s="275"/>
      <c r="AA721" s="275"/>
    </row>
    <row r="722" spans="1:27">
      <c r="A722" s="273"/>
      <c r="B722" s="274"/>
      <c r="C722" s="278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</row>
    <row r="723" spans="1:27">
      <c r="A723" s="273">
        <v>245</v>
      </c>
      <c r="B723" s="274">
        <v>78</v>
      </c>
      <c r="C723" s="278" t="s">
        <v>382</v>
      </c>
      <c r="D723" s="275" t="s">
        <v>434</v>
      </c>
      <c r="E723" s="275" t="s">
        <v>435</v>
      </c>
      <c r="F723" s="275" t="s">
        <v>436</v>
      </c>
      <c r="G723" s="275" t="s">
        <v>437</v>
      </c>
      <c r="H723" s="275" t="s">
        <v>438</v>
      </c>
      <c r="I723" s="275" t="s">
        <v>439</v>
      </c>
      <c r="J723" s="275" t="s">
        <v>440</v>
      </c>
      <c r="K723" s="275" t="s">
        <v>441</v>
      </c>
      <c r="L723" s="275" t="s">
        <v>442</v>
      </c>
      <c r="M723" s="275" t="s">
        <v>443</v>
      </c>
      <c r="N723" s="275" t="s">
        <v>444</v>
      </c>
      <c r="O723" s="275" t="s">
        <v>445</v>
      </c>
      <c r="P723" s="275" t="s">
        <v>446</v>
      </c>
      <c r="Q723" s="275" t="s">
        <v>447</v>
      </c>
      <c r="R723" s="275" t="s">
        <v>448</v>
      </c>
      <c r="S723" s="275" t="s">
        <v>449</v>
      </c>
      <c r="T723" s="275" t="s">
        <v>450</v>
      </c>
      <c r="U723" s="275"/>
      <c r="V723" s="275"/>
      <c r="W723" s="275"/>
      <c r="X723" s="275"/>
      <c r="Y723" s="275"/>
      <c r="Z723" s="275"/>
      <c r="AA723" s="275"/>
    </row>
    <row r="724" spans="1:27">
      <c r="A724" s="273"/>
      <c r="B724" s="274"/>
      <c r="C724" s="278"/>
      <c r="D724" s="275">
        <v>1.0999999999999999E-2</v>
      </c>
      <c r="E724" s="275">
        <v>6.0999999999999999E-2</v>
      </c>
      <c r="F724" s="275">
        <v>4.5999999999999999E-2</v>
      </c>
      <c r="G724" s="275">
        <v>5.2999999999999999E-2</v>
      </c>
      <c r="H724" s="275">
        <v>0.17299999999999999</v>
      </c>
      <c r="I724" s="275">
        <v>0.16200000000000001</v>
      </c>
      <c r="J724" s="275">
        <v>0.17599999999999999</v>
      </c>
      <c r="K724" s="275">
        <v>0.13800000000000001</v>
      </c>
      <c r="L724" s="275">
        <v>0.14199999999999999</v>
      </c>
      <c r="M724" s="275">
        <v>0.39</v>
      </c>
      <c r="N724" s="275">
        <v>0.38900000000000001</v>
      </c>
      <c r="O724" s="275">
        <v>0.41899999999999998</v>
      </c>
      <c r="P724" s="275">
        <v>0.41299999999999998</v>
      </c>
      <c r="Q724" s="275">
        <v>0.42299999999999999</v>
      </c>
      <c r="R724" s="275">
        <v>0.878</v>
      </c>
      <c r="S724" s="275">
        <v>0.92900000000000005</v>
      </c>
      <c r="T724" s="275">
        <v>1.0049999999999999</v>
      </c>
      <c r="U724" s="275"/>
      <c r="V724" s="275"/>
      <c r="W724" s="275"/>
      <c r="X724" s="275"/>
      <c r="Y724" s="275"/>
      <c r="Z724" s="275"/>
      <c r="AA724" s="275"/>
    </row>
    <row r="725" spans="1:27">
      <c r="A725" s="273"/>
      <c r="B725" s="274"/>
      <c r="C725" s="278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</row>
    <row r="726" spans="1:27">
      <c r="A726" s="273">
        <v>246</v>
      </c>
      <c r="B726" s="274">
        <v>78</v>
      </c>
      <c r="C726" s="278" t="s">
        <v>383</v>
      </c>
      <c r="D726" s="275" t="s">
        <v>434</v>
      </c>
      <c r="E726" s="275" t="s">
        <v>435</v>
      </c>
      <c r="F726" s="275" t="s">
        <v>436</v>
      </c>
      <c r="G726" s="275" t="s">
        <v>437</v>
      </c>
      <c r="H726" s="275" t="s">
        <v>438</v>
      </c>
      <c r="I726" s="275" t="s">
        <v>439</v>
      </c>
      <c r="J726" s="275" t="s">
        <v>440</v>
      </c>
      <c r="K726" s="275" t="s">
        <v>441</v>
      </c>
      <c r="L726" s="275" t="s">
        <v>442</v>
      </c>
      <c r="M726" s="275" t="s">
        <v>443</v>
      </c>
      <c r="N726" s="275" t="s">
        <v>444</v>
      </c>
      <c r="O726" s="275" t="s">
        <v>445</v>
      </c>
      <c r="P726" s="275" t="s">
        <v>446</v>
      </c>
      <c r="Q726" s="275" t="s">
        <v>447</v>
      </c>
      <c r="R726" s="275" t="s">
        <v>448</v>
      </c>
      <c r="S726" s="275" t="s">
        <v>449</v>
      </c>
      <c r="T726" s="275" t="s">
        <v>450</v>
      </c>
      <c r="U726" s="275"/>
      <c r="V726" s="275"/>
      <c r="W726" s="275"/>
      <c r="X726" s="275"/>
      <c r="Y726" s="275"/>
      <c r="Z726" s="275"/>
      <c r="AA726" s="275"/>
    </row>
    <row r="727" spans="1:27">
      <c r="A727" s="273"/>
      <c r="B727" s="274"/>
      <c r="C727" s="278"/>
      <c r="D727" s="275">
        <v>1.0999999999999999E-2</v>
      </c>
      <c r="E727" s="275">
        <v>6.0999999999999999E-2</v>
      </c>
      <c r="F727" s="275">
        <v>4.5999999999999999E-2</v>
      </c>
      <c r="G727" s="275">
        <v>5.2999999999999999E-2</v>
      </c>
      <c r="H727" s="275">
        <v>0.17299999999999999</v>
      </c>
      <c r="I727" s="275">
        <v>0.16200000000000001</v>
      </c>
      <c r="J727" s="275">
        <v>0.17599999999999999</v>
      </c>
      <c r="K727" s="275">
        <v>0.13800000000000001</v>
      </c>
      <c r="L727" s="275">
        <v>0.14199999999999999</v>
      </c>
      <c r="M727" s="275">
        <v>0.39</v>
      </c>
      <c r="N727" s="275">
        <v>0.38900000000000001</v>
      </c>
      <c r="O727" s="275">
        <v>0.41899999999999998</v>
      </c>
      <c r="P727" s="275">
        <v>0.41299999999999998</v>
      </c>
      <c r="Q727" s="275">
        <v>0.42299999999999999</v>
      </c>
      <c r="R727" s="275">
        <v>0.875</v>
      </c>
      <c r="S727" s="275">
        <v>0.92500000000000004</v>
      </c>
      <c r="T727" s="275">
        <v>0.999</v>
      </c>
      <c r="U727" s="275"/>
      <c r="V727" s="275"/>
      <c r="W727" s="275"/>
      <c r="X727" s="275"/>
      <c r="Y727" s="275"/>
      <c r="Z727" s="275"/>
      <c r="AA727" s="275"/>
    </row>
    <row r="728" spans="1:27">
      <c r="A728" s="273"/>
      <c r="B728" s="274"/>
      <c r="C728" s="278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</row>
    <row r="729" spans="1:27">
      <c r="A729" s="273">
        <v>247</v>
      </c>
      <c r="B729" s="274">
        <v>78</v>
      </c>
      <c r="C729" s="278" t="s">
        <v>189</v>
      </c>
      <c r="D729" s="275" t="s">
        <v>434</v>
      </c>
      <c r="E729" s="275" t="s">
        <v>435</v>
      </c>
      <c r="F729" s="275" t="s">
        <v>436</v>
      </c>
      <c r="G729" s="275" t="s">
        <v>437</v>
      </c>
      <c r="H729" s="275" t="s">
        <v>438</v>
      </c>
      <c r="I729" s="275" t="s">
        <v>439</v>
      </c>
      <c r="J729" s="275" t="s">
        <v>440</v>
      </c>
      <c r="K729" s="275" t="s">
        <v>441</v>
      </c>
      <c r="L729" s="275" t="s">
        <v>442</v>
      </c>
      <c r="M729" s="275" t="s">
        <v>443</v>
      </c>
      <c r="N729" s="275" t="s">
        <v>444</v>
      </c>
      <c r="O729" s="275" t="s">
        <v>445</v>
      </c>
      <c r="P729" s="275" t="s">
        <v>446</v>
      </c>
      <c r="Q729" s="275" t="s">
        <v>447</v>
      </c>
      <c r="R729" s="275" t="s">
        <v>448</v>
      </c>
      <c r="S729" s="275" t="s">
        <v>449</v>
      </c>
      <c r="T729" s="275" t="s">
        <v>450</v>
      </c>
      <c r="U729" s="275"/>
      <c r="V729" s="275"/>
      <c r="W729" s="275"/>
      <c r="X729" s="275"/>
      <c r="Y729" s="275"/>
      <c r="Z729" s="275"/>
      <c r="AA729" s="275"/>
    </row>
    <row r="730" spans="1:27">
      <c r="A730" s="273"/>
      <c r="B730" s="274"/>
      <c r="C730" s="278"/>
      <c r="D730" s="275">
        <v>1.0999999999999999E-2</v>
      </c>
      <c r="E730" s="275">
        <v>6.0999999999999999E-2</v>
      </c>
      <c r="F730" s="275">
        <v>4.5999999999999999E-2</v>
      </c>
      <c r="G730" s="275">
        <v>5.2999999999999999E-2</v>
      </c>
      <c r="H730" s="275">
        <v>0.17299999999999999</v>
      </c>
      <c r="I730" s="275">
        <v>0.16200000000000001</v>
      </c>
      <c r="J730" s="275">
        <v>0.17599999999999999</v>
      </c>
      <c r="K730" s="275">
        <v>0.13800000000000001</v>
      </c>
      <c r="L730" s="275">
        <v>0.14199999999999999</v>
      </c>
      <c r="M730" s="275">
        <v>0.39</v>
      </c>
      <c r="N730" s="275">
        <v>0.38900000000000001</v>
      </c>
      <c r="O730" s="275">
        <v>0.41899999999999998</v>
      </c>
      <c r="P730" s="275">
        <v>0.41299999999999998</v>
      </c>
      <c r="Q730" s="275">
        <v>0.42299999999999999</v>
      </c>
      <c r="R730" s="275">
        <v>0.874</v>
      </c>
      <c r="S730" s="275">
        <v>0.92200000000000004</v>
      </c>
      <c r="T730" s="275">
        <v>0.99399999999999999</v>
      </c>
      <c r="U730" s="275"/>
      <c r="V730" s="275"/>
      <c r="W730" s="275"/>
      <c r="X730" s="275"/>
      <c r="Y730" s="275"/>
      <c r="Z730" s="275"/>
      <c r="AA730" s="275"/>
    </row>
    <row r="731" spans="1:27">
      <c r="A731" s="273"/>
      <c r="B731" s="274"/>
      <c r="C731" s="278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</row>
    <row r="732" spans="1:27">
      <c r="A732" s="273">
        <v>248</v>
      </c>
      <c r="B732" s="274">
        <v>78</v>
      </c>
      <c r="C732" s="278" t="s">
        <v>190</v>
      </c>
      <c r="D732" s="275" t="s">
        <v>434</v>
      </c>
      <c r="E732" s="275" t="s">
        <v>435</v>
      </c>
      <c r="F732" s="275" t="s">
        <v>436</v>
      </c>
      <c r="G732" s="275" t="s">
        <v>437</v>
      </c>
      <c r="H732" s="275" t="s">
        <v>438</v>
      </c>
      <c r="I732" s="275" t="s">
        <v>439</v>
      </c>
      <c r="J732" s="275" t="s">
        <v>440</v>
      </c>
      <c r="K732" s="275" t="s">
        <v>441</v>
      </c>
      <c r="L732" s="275" t="s">
        <v>442</v>
      </c>
      <c r="M732" s="275" t="s">
        <v>443</v>
      </c>
      <c r="N732" s="275" t="s">
        <v>444</v>
      </c>
      <c r="O732" s="275" t="s">
        <v>445</v>
      </c>
      <c r="P732" s="275" t="s">
        <v>446</v>
      </c>
      <c r="Q732" s="275" t="s">
        <v>447</v>
      </c>
      <c r="R732" s="275" t="s">
        <v>448</v>
      </c>
      <c r="S732" s="275" t="s">
        <v>449</v>
      </c>
      <c r="T732" s="275" t="s">
        <v>450</v>
      </c>
      <c r="U732" s="275"/>
      <c r="V732" s="275"/>
      <c r="W732" s="275"/>
      <c r="X732" s="275"/>
      <c r="Y732" s="275"/>
      <c r="Z732" s="275"/>
      <c r="AA732" s="275"/>
    </row>
    <row r="733" spans="1:27">
      <c r="A733" s="273"/>
      <c r="B733" s="274"/>
      <c r="C733" s="278"/>
      <c r="D733" s="275">
        <v>1.0999999999999999E-2</v>
      </c>
      <c r="E733" s="275">
        <v>6.0999999999999999E-2</v>
      </c>
      <c r="F733" s="275">
        <v>4.5999999999999999E-2</v>
      </c>
      <c r="G733" s="275">
        <v>5.2999999999999999E-2</v>
      </c>
      <c r="H733" s="275">
        <v>0.17299999999999999</v>
      </c>
      <c r="I733" s="275">
        <v>0.16200000000000001</v>
      </c>
      <c r="J733" s="275">
        <v>0.17599999999999999</v>
      </c>
      <c r="K733" s="275">
        <v>0.13800000000000001</v>
      </c>
      <c r="L733" s="275">
        <v>0.14199999999999999</v>
      </c>
      <c r="M733" s="275">
        <v>0.39</v>
      </c>
      <c r="N733" s="275">
        <v>0.38900000000000001</v>
      </c>
      <c r="O733" s="275">
        <v>0.41899999999999998</v>
      </c>
      <c r="P733" s="275">
        <v>0.41299999999999998</v>
      </c>
      <c r="Q733" s="275">
        <v>0.42299999999999999</v>
      </c>
      <c r="R733" s="275">
        <v>0.872</v>
      </c>
      <c r="S733" s="275">
        <v>0.91900000000000004</v>
      </c>
      <c r="T733" s="275">
        <v>0.99</v>
      </c>
      <c r="U733" s="275"/>
      <c r="V733" s="275"/>
      <c r="W733" s="275"/>
      <c r="X733" s="275"/>
      <c r="Y733" s="275"/>
      <c r="Z733" s="275"/>
      <c r="AA733" s="275"/>
    </row>
    <row r="734" spans="1:27">
      <c r="A734" s="273"/>
      <c r="B734" s="274"/>
      <c r="C734" s="278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</row>
    <row r="735" spans="1:27">
      <c r="A735" s="273">
        <v>249</v>
      </c>
      <c r="B735" s="274">
        <v>79</v>
      </c>
      <c r="C735" s="278" t="s">
        <v>191</v>
      </c>
      <c r="D735" s="275" t="s">
        <v>434</v>
      </c>
      <c r="E735" s="275" t="s">
        <v>435</v>
      </c>
      <c r="F735" s="275" t="s">
        <v>436</v>
      </c>
      <c r="G735" s="275" t="s">
        <v>437</v>
      </c>
      <c r="H735" s="275" t="s">
        <v>438</v>
      </c>
      <c r="I735" s="275" t="s">
        <v>439</v>
      </c>
      <c r="J735" s="275" t="s">
        <v>440</v>
      </c>
      <c r="K735" s="275" t="s">
        <v>441</v>
      </c>
      <c r="L735" s="275" t="s">
        <v>442</v>
      </c>
      <c r="M735" s="275" t="s">
        <v>443</v>
      </c>
      <c r="N735" s="275" t="s">
        <v>444</v>
      </c>
      <c r="O735" s="275" t="s">
        <v>445</v>
      </c>
      <c r="P735" s="275" t="s">
        <v>446</v>
      </c>
      <c r="Q735" s="275" t="s">
        <v>447</v>
      </c>
      <c r="R735" s="275" t="s">
        <v>448</v>
      </c>
      <c r="S735" s="275" t="s">
        <v>449</v>
      </c>
      <c r="T735" s="275" t="s">
        <v>450</v>
      </c>
      <c r="U735" s="275"/>
      <c r="V735" s="275"/>
      <c r="W735" s="275"/>
      <c r="X735" s="275"/>
      <c r="Y735" s="275"/>
      <c r="Z735" s="275"/>
      <c r="AA735" s="275"/>
    </row>
    <row r="736" spans="1:27">
      <c r="A736" s="273"/>
      <c r="B736" s="274"/>
      <c r="C736" s="278"/>
      <c r="D736" s="275">
        <v>0.01</v>
      </c>
      <c r="E736" s="275">
        <v>0.06</v>
      </c>
      <c r="F736" s="275">
        <v>4.4999999999999998E-2</v>
      </c>
      <c r="G736" s="275">
        <v>5.1999999999999998E-2</v>
      </c>
      <c r="H736" s="275">
        <v>0.17</v>
      </c>
      <c r="I736" s="275">
        <v>0.159</v>
      </c>
      <c r="J736" s="275">
        <v>0.17299999999999999</v>
      </c>
      <c r="K736" s="275">
        <v>0.13600000000000001</v>
      </c>
      <c r="L736" s="275">
        <v>0.13900000000000001</v>
      </c>
      <c r="M736" s="275">
        <v>0.38300000000000001</v>
      </c>
      <c r="N736" s="275">
        <v>0.38200000000000001</v>
      </c>
      <c r="O736" s="275">
        <v>0.41199999999999998</v>
      </c>
      <c r="P736" s="275">
        <v>0.40500000000000003</v>
      </c>
      <c r="Q736" s="275">
        <v>0.41499999999999998</v>
      </c>
      <c r="R736" s="275">
        <v>0.85699999999999998</v>
      </c>
      <c r="S736" s="275">
        <v>0.90600000000000003</v>
      </c>
      <c r="T736" s="275">
        <v>0.98199999999999998</v>
      </c>
      <c r="U736" s="275"/>
      <c r="V736" s="275"/>
      <c r="W736" s="275"/>
      <c r="X736" s="275"/>
      <c r="Y736" s="275"/>
      <c r="Z736" s="275"/>
      <c r="AA736" s="275"/>
    </row>
    <row r="737" spans="1:27">
      <c r="A737" s="273"/>
      <c r="B737" s="274"/>
      <c r="C737" s="278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</row>
    <row r="738" spans="1:27">
      <c r="A738" s="273">
        <v>250</v>
      </c>
      <c r="B738" s="274">
        <v>79</v>
      </c>
      <c r="C738" s="278" t="s">
        <v>192</v>
      </c>
      <c r="D738" s="275" t="s">
        <v>434</v>
      </c>
      <c r="E738" s="275" t="s">
        <v>435</v>
      </c>
      <c r="F738" s="275" t="s">
        <v>436</v>
      </c>
      <c r="G738" s="275" t="s">
        <v>437</v>
      </c>
      <c r="H738" s="275" t="s">
        <v>438</v>
      </c>
      <c r="I738" s="275" t="s">
        <v>439</v>
      </c>
      <c r="J738" s="275" t="s">
        <v>440</v>
      </c>
      <c r="K738" s="275" t="s">
        <v>441</v>
      </c>
      <c r="L738" s="275" t="s">
        <v>442</v>
      </c>
      <c r="M738" s="275" t="s">
        <v>443</v>
      </c>
      <c r="N738" s="275" t="s">
        <v>444</v>
      </c>
      <c r="O738" s="275" t="s">
        <v>445</v>
      </c>
      <c r="P738" s="275" t="s">
        <v>446</v>
      </c>
      <c r="Q738" s="275" t="s">
        <v>447</v>
      </c>
      <c r="R738" s="275" t="s">
        <v>448</v>
      </c>
      <c r="S738" s="275" t="s">
        <v>449</v>
      </c>
      <c r="T738" s="275" t="s">
        <v>450</v>
      </c>
      <c r="U738" s="275"/>
      <c r="V738" s="275"/>
      <c r="W738" s="275"/>
      <c r="X738" s="275"/>
      <c r="Y738" s="275"/>
      <c r="Z738" s="275"/>
      <c r="AA738" s="275"/>
    </row>
    <row r="739" spans="1:27">
      <c r="A739" s="273"/>
      <c r="B739" s="274"/>
      <c r="C739" s="278"/>
      <c r="D739" s="275">
        <v>0.01</v>
      </c>
      <c r="E739" s="275">
        <v>0.06</v>
      </c>
      <c r="F739" s="275">
        <v>4.4999999999999998E-2</v>
      </c>
      <c r="G739" s="275">
        <v>5.1999999999999998E-2</v>
      </c>
      <c r="H739" s="275">
        <v>0.17</v>
      </c>
      <c r="I739" s="275">
        <v>0.159</v>
      </c>
      <c r="J739" s="275">
        <v>0.17299999999999999</v>
      </c>
      <c r="K739" s="275">
        <v>0.13600000000000001</v>
      </c>
      <c r="L739" s="275">
        <v>0.13900000000000001</v>
      </c>
      <c r="M739" s="275">
        <v>0.38300000000000001</v>
      </c>
      <c r="N739" s="275">
        <v>0.38200000000000001</v>
      </c>
      <c r="O739" s="275">
        <v>0.41199999999999998</v>
      </c>
      <c r="P739" s="275">
        <v>0.40500000000000003</v>
      </c>
      <c r="Q739" s="275">
        <v>0.41499999999999998</v>
      </c>
      <c r="R739" s="275">
        <v>0.85599999999999998</v>
      </c>
      <c r="S739" s="275">
        <v>0.90500000000000003</v>
      </c>
      <c r="T739" s="275">
        <v>0.98</v>
      </c>
      <c r="U739" s="275"/>
      <c r="V739" s="275"/>
      <c r="W739" s="275"/>
      <c r="X739" s="275"/>
      <c r="Y739" s="275"/>
      <c r="Z739" s="275"/>
      <c r="AA739" s="275"/>
    </row>
    <row r="740" spans="1:27">
      <c r="A740" s="273"/>
      <c r="B740" s="274"/>
      <c r="C740" s="278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</row>
    <row r="741" spans="1:27">
      <c r="A741" s="273">
        <v>251</v>
      </c>
      <c r="B741" s="274">
        <v>79</v>
      </c>
      <c r="C741" s="278" t="s">
        <v>193</v>
      </c>
      <c r="D741" s="275" t="s">
        <v>434</v>
      </c>
      <c r="E741" s="275" t="s">
        <v>435</v>
      </c>
      <c r="F741" s="275" t="s">
        <v>436</v>
      </c>
      <c r="G741" s="275" t="s">
        <v>437</v>
      </c>
      <c r="H741" s="275" t="s">
        <v>438</v>
      </c>
      <c r="I741" s="275" t="s">
        <v>439</v>
      </c>
      <c r="J741" s="275" t="s">
        <v>440</v>
      </c>
      <c r="K741" s="275" t="s">
        <v>441</v>
      </c>
      <c r="L741" s="275" t="s">
        <v>442</v>
      </c>
      <c r="M741" s="275" t="s">
        <v>443</v>
      </c>
      <c r="N741" s="275" t="s">
        <v>444</v>
      </c>
      <c r="O741" s="275" t="s">
        <v>445</v>
      </c>
      <c r="P741" s="275" t="s">
        <v>446</v>
      </c>
      <c r="Q741" s="275" t="s">
        <v>447</v>
      </c>
      <c r="R741" s="275" t="s">
        <v>448</v>
      </c>
      <c r="S741" s="275" t="s">
        <v>449</v>
      </c>
      <c r="T741" s="275" t="s">
        <v>450</v>
      </c>
      <c r="U741" s="275"/>
      <c r="V741" s="275"/>
      <c r="W741" s="275"/>
      <c r="X741" s="275"/>
      <c r="Y741" s="275"/>
      <c r="Z741" s="275"/>
      <c r="AA741" s="275"/>
    </row>
    <row r="742" spans="1:27">
      <c r="A742" s="273"/>
      <c r="B742" s="274"/>
      <c r="C742" s="278"/>
      <c r="D742" s="275">
        <v>0.01</v>
      </c>
      <c r="E742" s="275">
        <v>0.06</v>
      </c>
      <c r="F742" s="275">
        <v>4.4999999999999998E-2</v>
      </c>
      <c r="G742" s="275">
        <v>5.1999999999999998E-2</v>
      </c>
      <c r="H742" s="275">
        <v>0.17</v>
      </c>
      <c r="I742" s="275">
        <v>0.159</v>
      </c>
      <c r="J742" s="275">
        <v>0.17299999999999999</v>
      </c>
      <c r="K742" s="275">
        <v>0.13600000000000001</v>
      </c>
      <c r="L742" s="275">
        <v>0.13900000000000001</v>
      </c>
      <c r="M742" s="275">
        <v>0.38300000000000001</v>
      </c>
      <c r="N742" s="275">
        <v>0.38200000000000001</v>
      </c>
      <c r="O742" s="275">
        <v>0.41199999999999998</v>
      </c>
      <c r="P742" s="275">
        <v>0.40500000000000003</v>
      </c>
      <c r="Q742" s="275">
        <v>0.41499999999999998</v>
      </c>
      <c r="R742" s="275">
        <v>0.85499999999999998</v>
      </c>
      <c r="S742" s="275">
        <v>0.90300000000000002</v>
      </c>
      <c r="T742" s="275">
        <v>0.97699999999999998</v>
      </c>
      <c r="U742" s="275"/>
      <c r="V742" s="275"/>
      <c r="W742" s="275"/>
      <c r="X742" s="275"/>
      <c r="Y742" s="275"/>
      <c r="Z742" s="275"/>
      <c r="AA742" s="275"/>
    </row>
    <row r="743" spans="1:27">
      <c r="A743" s="273"/>
      <c r="B743" s="274"/>
      <c r="C743" s="278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</row>
    <row r="744" spans="1:27">
      <c r="A744" s="273">
        <v>252</v>
      </c>
      <c r="B744" s="274">
        <v>79</v>
      </c>
      <c r="C744" s="278" t="s">
        <v>384</v>
      </c>
      <c r="D744" s="275" t="s">
        <v>434</v>
      </c>
      <c r="E744" s="275" t="s">
        <v>435</v>
      </c>
      <c r="F744" s="275" t="s">
        <v>436</v>
      </c>
      <c r="G744" s="275" t="s">
        <v>437</v>
      </c>
      <c r="H744" s="275" t="s">
        <v>438</v>
      </c>
      <c r="I744" s="275" t="s">
        <v>439</v>
      </c>
      <c r="J744" s="275" t="s">
        <v>440</v>
      </c>
      <c r="K744" s="275" t="s">
        <v>441</v>
      </c>
      <c r="L744" s="275" t="s">
        <v>442</v>
      </c>
      <c r="M744" s="275" t="s">
        <v>443</v>
      </c>
      <c r="N744" s="275" t="s">
        <v>444</v>
      </c>
      <c r="O744" s="275" t="s">
        <v>445</v>
      </c>
      <c r="P744" s="275" t="s">
        <v>446</v>
      </c>
      <c r="Q744" s="275" t="s">
        <v>447</v>
      </c>
      <c r="R744" s="275" t="s">
        <v>448</v>
      </c>
      <c r="S744" s="275" t="s">
        <v>449</v>
      </c>
      <c r="T744" s="275" t="s">
        <v>450</v>
      </c>
      <c r="U744" s="275"/>
      <c r="V744" s="275"/>
      <c r="W744" s="275"/>
      <c r="X744" s="275"/>
      <c r="Y744" s="275"/>
      <c r="Z744" s="275"/>
      <c r="AA744" s="275"/>
    </row>
    <row r="745" spans="1:27">
      <c r="A745" s="273"/>
      <c r="B745" s="274"/>
      <c r="C745" s="278"/>
      <c r="D745" s="275">
        <v>0.01</v>
      </c>
      <c r="E745" s="275">
        <v>0.06</v>
      </c>
      <c r="F745" s="275">
        <v>4.4999999999999998E-2</v>
      </c>
      <c r="G745" s="275">
        <v>5.1999999999999998E-2</v>
      </c>
      <c r="H745" s="275">
        <v>0.17</v>
      </c>
      <c r="I745" s="275">
        <v>0.159</v>
      </c>
      <c r="J745" s="275">
        <v>0.17299999999999999</v>
      </c>
      <c r="K745" s="275">
        <v>0.13600000000000001</v>
      </c>
      <c r="L745" s="275">
        <v>0.13900000000000001</v>
      </c>
      <c r="M745" s="275">
        <v>0.38300000000000001</v>
      </c>
      <c r="N745" s="275">
        <v>0.38200000000000001</v>
      </c>
      <c r="O745" s="275">
        <v>0.41199999999999998</v>
      </c>
      <c r="P745" s="275">
        <v>0.40500000000000003</v>
      </c>
      <c r="Q745" s="275">
        <v>0.41499999999999998</v>
      </c>
      <c r="R745" s="275">
        <v>0.85299999999999998</v>
      </c>
      <c r="S745" s="275">
        <v>0.89800000000000002</v>
      </c>
      <c r="T745" s="275">
        <v>0.97</v>
      </c>
      <c r="U745" s="275"/>
      <c r="V745" s="275"/>
      <c r="W745" s="275"/>
      <c r="X745" s="275"/>
      <c r="Y745" s="275"/>
      <c r="Z745" s="275"/>
      <c r="AA745" s="275"/>
    </row>
    <row r="746" spans="1:27">
      <c r="A746" s="273"/>
      <c r="B746" s="274"/>
      <c r="C746" s="278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</row>
    <row r="747" spans="1:27">
      <c r="A747" s="273">
        <v>253</v>
      </c>
      <c r="B747" s="274">
        <v>80</v>
      </c>
      <c r="C747" s="278" t="s">
        <v>194</v>
      </c>
      <c r="D747" s="275" t="s">
        <v>434</v>
      </c>
      <c r="E747" s="275" t="s">
        <v>435</v>
      </c>
      <c r="F747" s="275" t="s">
        <v>436</v>
      </c>
      <c r="G747" s="275" t="s">
        <v>437</v>
      </c>
      <c r="H747" s="275" t="s">
        <v>438</v>
      </c>
      <c r="I747" s="275" t="s">
        <v>439</v>
      </c>
      <c r="J747" s="275" t="s">
        <v>440</v>
      </c>
      <c r="K747" s="275" t="s">
        <v>441</v>
      </c>
      <c r="L747" s="275" t="s">
        <v>442</v>
      </c>
      <c r="M747" s="275" t="s">
        <v>443</v>
      </c>
      <c r="N747" s="275" t="s">
        <v>444</v>
      </c>
      <c r="O747" s="275" t="s">
        <v>445</v>
      </c>
      <c r="P747" s="275" t="s">
        <v>446</v>
      </c>
      <c r="Q747" s="275" t="s">
        <v>447</v>
      </c>
      <c r="R747" s="275" t="s">
        <v>448</v>
      </c>
      <c r="S747" s="275" t="s">
        <v>449</v>
      </c>
      <c r="T747" s="275" t="s">
        <v>450</v>
      </c>
      <c r="U747" s="275"/>
      <c r="V747" s="275"/>
      <c r="W747" s="275"/>
      <c r="X747" s="275"/>
      <c r="Y747" s="275"/>
      <c r="Z747" s="275"/>
      <c r="AA747" s="275"/>
    </row>
    <row r="748" spans="1:27">
      <c r="A748" s="273"/>
      <c r="B748" s="274"/>
      <c r="C748" s="278"/>
      <c r="D748" s="275">
        <v>0.01</v>
      </c>
      <c r="E748" s="275">
        <v>5.8999999999999997E-2</v>
      </c>
      <c r="F748" s="275">
        <v>4.3999999999999997E-2</v>
      </c>
      <c r="G748" s="275">
        <v>5.0999999999999997E-2</v>
      </c>
      <c r="H748" s="275">
        <v>0.16700000000000001</v>
      </c>
      <c r="I748" s="275">
        <v>0.156</v>
      </c>
      <c r="J748" s="275">
        <v>0.17100000000000001</v>
      </c>
      <c r="K748" s="275">
        <v>0.13300000000000001</v>
      </c>
      <c r="L748" s="275">
        <v>0.13700000000000001</v>
      </c>
      <c r="M748" s="275">
        <v>0.376</v>
      </c>
      <c r="N748" s="275">
        <v>0.375</v>
      </c>
      <c r="O748" s="275">
        <v>0.40500000000000003</v>
      </c>
      <c r="P748" s="275">
        <v>0.39800000000000002</v>
      </c>
      <c r="Q748" s="275">
        <v>0.40699999999999997</v>
      </c>
      <c r="R748" s="275">
        <v>0.83499999999999996</v>
      </c>
      <c r="S748" s="275">
        <v>0.88100000000000001</v>
      </c>
      <c r="T748" s="275">
        <v>0.95599999999999996</v>
      </c>
      <c r="U748" s="275"/>
      <c r="V748" s="275"/>
      <c r="W748" s="275"/>
      <c r="X748" s="275"/>
      <c r="Y748" s="275"/>
      <c r="Z748" s="275"/>
      <c r="AA748" s="275"/>
    </row>
    <row r="749" spans="1:27">
      <c r="A749" s="273"/>
      <c r="B749" s="274"/>
      <c r="C749" s="278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</row>
    <row r="750" spans="1:27">
      <c r="A750" s="273">
        <v>254</v>
      </c>
      <c r="B750" s="274">
        <v>80</v>
      </c>
      <c r="C750" s="278" t="s">
        <v>195</v>
      </c>
      <c r="D750" s="275" t="s">
        <v>434</v>
      </c>
      <c r="E750" s="275" t="s">
        <v>435</v>
      </c>
      <c r="F750" s="275" t="s">
        <v>436</v>
      </c>
      <c r="G750" s="275" t="s">
        <v>437</v>
      </c>
      <c r="H750" s="275" t="s">
        <v>438</v>
      </c>
      <c r="I750" s="275" t="s">
        <v>439</v>
      </c>
      <c r="J750" s="275" t="s">
        <v>440</v>
      </c>
      <c r="K750" s="275" t="s">
        <v>441</v>
      </c>
      <c r="L750" s="275" t="s">
        <v>442</v>
      </c>
      <c r="M750" s="275" t="s">
        <v>443</v>
      </c>
      <c r="N750" s="275" t="s">
        <v>444</v>
      </c>
      <c r="O750" s="275" t="s">
        <v>445</v>
      </c>
      <c r="P750" s="275" t="s">
        <v>446</v>
      </c>
      <c r="Q750" s="275" t="s">
        <v>447</v>
      </c>
      <c r="R750" s="275" t="s">
        <v>448</v>
      </c>
      <c r="S750" s="275" t="s">
        <v>449</v>
      </c>
      <c r="T750" s="275" t="s">
        <v>450</v>
      </c>
      <c r="U750" s="275"/>
      <c r="V750" s="275"/>
      <c r="W750" s="275"/>
      <c r="X750" s="275"/>
      <c r="Y750" s="275"/>
      <c r="Z750" s="275"/>
      <c r="AA750" s="275"/>
    </row>
    <row r="751" spans="1:27">
      <c r="A751" s="273"/>
      <c r="B751" s="274"/>
      <c r="C751" s="278"/>
      <c r="D751" s="275">
        <v>0.01</v>
      </c>
      <c r="E751" s="275">
        <v>5.8999999999999997E-2</v>
      </c>
      <c r="F751" s="275">
        <v>4.3999999999999997E-2</v>
      </c>
      <c r="G751" s="275">
        <v>5.0999999999999997E-2</v>
      </c>
      <c r="H751" s="275">
        <v>0.16700000000000001</v>
      </c>
      <c r="I751" s="275">
        <v>0.156</v>
      </c>
      <c r="J751" s="275">
        <v>0.17100000000000001</v>
      </c>
      <c r="K751" s="275">
        <v>0.13300000000000001</v>
      </c>
      <c r="L751" s="275">
        <v>0.13700000000000001</v>
      </c>
      <c r="M751" s="275">
        <v>0.376</v>
      </c>
      <c r="N751" s="275">
        <v>0.375</v>
      </c>
      <c r="O751" s="275">
        <v>0.40500000000000003</v>
      </c>
      <c r="P751" s="275">
        <v>0.39800000000000002</v>
      </c>
      <c r="Q751" s="275">
        <v>0.40699999999999997</v>
      </c>
      <c r="R751" s="275">
        <v>0.83599999999999997</v>
      </c>
      <c r="S751" s="275">
        <v>0.88100000000000001</v>
      </c>
      <c r="T751" s="275">
        <v>0.95599999999999996</v>
      </c>
      <c r="U751" s="275"/>
      <c r="V751" s="275"/>
      <c r="W751" s="275"/>
      <c r="X751" s="275"/>
      <c r="Y751" s="275"/>
      <c r="Z751" s="275"/>
      <c r="AA751" s="275"/>
    </row>
    <row r="752" spans="1:27">
      <c r="A752" s="273"/>
      <c r="B752" s="274"/>
      <c r="C752" s="278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</row>
    <row r="753" spans="1:27">
      <c r="A753" s="273">
        <v>255</v>
      </c>
      <c r="B753" s="274">
        <v>81</v>
      </c>
      <c r="C753" s="278" t="s">
        <v>196</v>
      </c>
      <c r="D753" s="275" t="s">
        <v>434</v>
      </c>
      <c r="E753" s="275" t="s">
        <v>435</v>
      </c>
      <c r="F753" s="275" t="s">
        <v>436</v>
      </c>
      <c r="G753" s="275" t="s">
        <v>437</v>
      </c>
      <c r="H753" s="275" t="s">
        <v>438</v>
      </c>
      <c r="I753" s="275" t="s">
        <v>439</v>
      </c>
      <c r="J753" s="275" t="s">
        <v>440</v>
      </c>
      <c r="K753" s="275" t="s">
        <v>441</v>
      </c>
      <c r="L753" s="275" t="s">
        <v>442</v>
      </c>
      <c r="M753" s="275" t="s">
        <v>443</v>
      </c>
      <c r="N753" s="275" t="s">
        <v>444</v>
      </c>
      <c r="O753" s="275" t="s">
        <v>445</v>
      </c>
      <c r="P753" s="275" t="s">
        <v>446</v>
      </c>
      <c r="Q753" s="275" t="s">
        <v>447</v>
      </c>
      <c r="R753" s="275" t="s">
        <v>448</v>
      </c>
      <c r="S753" s="275" t="s">
        <v>449</v>
      </c>
      <c r="T753" s="275" t="s">
        <v>450</v>
      </c>
      <c r="U753" s="275"/>
      <c r="V753" s="275"/>
      <c r="W753" s="275"/>
      <c r="X753" s="275"/>
      <c r="Y753" s="275"/>
      <c r="Z753" s="275"/>
      <c r="AA753" s="275"/>
    </row>
    <row r="754" spans="1:27">
      <c r="A754" s="273"/>
      <c r="B754" s="274"/>
      <c r="C754" s="278"/>
      <c r="D754" s="275">
        <v>0.01</v>
      </c>
      <c r="E754" s="275">
        <v>5.8000000000000003E-2</v>
      </c>
      <c r="F754" s="275">
        <v>4.2999999999999997E-2</v>
      </c>
      <c r="G754" s="275">
        <v>0.05</v>
      </c>
      <c r="H754" s="275">
        <v>0.16400000000000001</v>
      </c>
      <c r="I754" s="275">
        <v>0.153</v>
      </c>
      <c r="J754" s="275">
        <v>0.16800000000000001</v>
      </c>
      <c r="K754" s="275">
        <v>0.13100000000000001</v>
      </c>
      <c r="L754" s="275">
        <v>0.13500000000000001</v>
      </c>
      <c r="M754" s="275">
        <v>0.36899999999999999</v>
      </c>
      <c r="N754" s="275">
        <v>0.36799999999999999</v>
      </c>
      <c r="O754" s="275">
        <v>0.39800000000000002</v>
      </c>
      <c r="P754" s="275">
        <v>0.39</v>
      </c>
      <c r="Q754" s="275">
        <v>0.4</v>
      </c>
      <c r="R754" s="275">
        <v>0.81499999999999995</v>
      </c>
      <c r="S754" s="275">
        <v>0.85699999999999998</v>
      </c>
      <c r="T754" s="275">
        <v>0.93100000000000005</v>
      </c>
      <c r="U754" s="275"/>
      <c r="V754" s="275"/>
      <c r="W754" s="275"/>
      <c r="X754" s="275"/>
      <c r="Y754" s="275"/>
      <c r="Z754" s="275"/>
      <c r="AA754" s="275"/>
    </row>
    <row r="755" spans="1:27">
      <c r="A755" s="273"/>
      <c r="B755" s="274"/>
      <c r="C755" s="278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</row>
    <row r="756" spans="1:27">
      <c r="A756" s="273">
        <v>256</v>
      </c>
      <c r="B756" s="274">
        <v>81</v>
      </c>
      <c r="C756" s="278" t="s">
        <v>385</v>
      </c>
      <c r="D756" s="275" t="s">
        <v>434</v>
      </c>
      <c r="E756" s="275" t="s">
        <v>435</v>
      </c>
      <c r="F756" s="275" t="s">
        <v>436</v>
      </c>
      <c r="G756" s="275" t="s">
        <v>437</v>
      </c>
      <c r="H756" s="275" t="s">
        <v>438</v>
      </c>
      <c r="I756" s="275" t="s">
        <v>439</v>
      </c>
      <c r="J756" s="275" t="s">
        <v>440</v>
      </c>
      <c r="K756" s="275" t="s">
        <v>441</v>
      </c>
      <c r="L756" s="275" t="s">
        <v>442</v>
      </c>
      <c r="M756" s="275" t="s">
        <v>443</v>
      </c>
      <c r="N756" s="275" t="s">
        <v>444</v>
      </c>
      <c r="O756" s="275" t="s">
        <v>445</v>
      </c>
      <c r="P756" s="275" t="s">
        <v>446</v>
      </c>
      <c r="Q756" s="275" t="s">
        <v>447</v>
      </c>
      <c r="R756" s="275" t="s">
        <v>448</v>
      </c>
      <c r="S756" s="275" t="s">
        <v>449</v>
      </c>
      <c r="T756" s="275" t="s">
        <v>450</v>
      </c>
      <c r="U756" s="275"/>
      <c r="V756" s="275"/>
      <c r="W756" s="275"/>
      <c r="X756" s="275"/>
      <c r="Y756" s="275"/>
      <c r="Z756" s="275"/>
      <c r="AA756" s="275"/>
    </row>
    <row r="757" spans="1:27">
      <c r="A757" s="273"/>
      <c r="B757" s="274"/>
      <c r="C757" s="278"/>
      <c r="D757" s="275">
        <v>0.01</v>
      </c>
      <c r="E757" s="275">
        <v>5.8000000000000003E-2</v>
      </c>
      <c r="F757" s="275">
        <v>4.2999999999999997E-2</v>
      </c>
      <c r="G757" s="275">
        <v>0.05</v>
      </c>
      <c r="H757" s="275">
        <v>0.16400000000000001</v>
      </c>
      <c r="I757" s="275">
        <v>0.153</v>
      </c>
      <c r="J757" s="275">
        <v>0.16800000000000001</v>
      </c>
      <c r="K757" s="275">
        <v>0.13100000000000001</v>
      </c>
      <c r="L757" s="275">
        <v>0.13500000000000001</v>
      </c>
      <c r="M757" s="275">
        <v>0.36899999999999999</v>
      </c>
      <c r="N757" s="275">
        <v>0.36799999999999999</v>
      </c>
      <c r="O757" s="275">
        <v>0.39800000000000002</v>
      </c>
      <c r="P757" s="275">
        <v>0.39</v>
      </c>
      <c r="Q757" s="275">
        <v>0.4</v>
      </c>
      <c r="R757" s="275">
        <v>0.81599999999999995</v>
      </c>
      <c r="S757" s="275">
        <v>0.85699999999999998</v>
      </c>
      <c r="T757" s="275">
        <v>0.93100000000000005</v>
      </c>
      <c r="U757" s="275"/>
      <c r="V757" s="275"/>
      <c r="W757" s="275"/>
      <c r="X757" s="275"/>
      <c r="Y757" s="275"/>
      <c r="Z757" s="275"/>
      <c r="AA757" s="275"/>
    </row>
    <row r="758" spans="1:27">
      <c r="A758" s="273"/>
      <c r="B758" s="274"/>
      <c r="C758" s="278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</row>
    <row r="759" spans="1:27">
      <c r="A759" s="273">
        <v>257</v>
      </c>
      <c r="B759" s="274">
        <v>82</v>
      </c>
      <c r="C759" s="278" t="s">
        <v>386</v>
      </c>
      <c r="D759" s="275" t="s">
        <v>434</v>
      </c>
      <c r="E759" s="275" t="s">
        <v>435</v>
      </c>
      <c r="F759" s="275" t="s">
        <v>436</v>
      </c>
      <c r="G759" s="275" t="s">
        <v>437</v>
      </c>
      <c r="H759" s="275" t="s">
        <v>438</v>
      </c>
      <c r="I759" s="275" t="s">
        <v>439</v>
      </c>
      <c r="J759" s="275" t="s">
        <v>440</v>
      </c>
      <c r="K759" s="275" t="s">
        <v>441</v>
      </c>
      <c r="L759" s="275" t="s">
        <v>442</v>
      </c>
      <c r="M759" s="275" t="s">
        <v>443</v>
      </c>
      <c r="N759" s="275" t="s">
        <v>444</v>
      </c>
      <c r="O759" s="275" t="s">
        <v>445</v>
      </c>
      <c r="P759" s="275" t="s">
        <v>446</v>
      </c>
      <c r="Q759" s="275" t="s">
        <v>447</v>
      </c>
      <c r="R759" s="275" t="s">
        <v>448</v>
      </c>
      <c r="S759" s="275" t="s">
        <v>449</v>
      </c>
      <c r="T759" s="275" t="s">
        <v>450</v>
      </c>
      <c r="U759" s="275"/>
      <c r="V759" s="275"/>
      <c r="W759" s="275"/>
      <c r="X759" s="275"/>
      <c r="Y759" s="275"/>
      <c r="Z759" s="275"/>
      <c r="AA759" s="275"/>
    </row>
    <row r="760" spans="1:27">
      <c r="A760" s="273"/>
      <c r="B760" s="274"/>
      <c r="C760" s="278"/>
      <c r="D760" s="275">
        <v>0.01</v>
      </c>
      <c r="E760" s="275">
        <v>5.7000000000000002E-2</v>
      </c>
      <c r="F760" s="275">
        <v>4.2999999999999997E-2</v>
      </c>
      <c r="G760" s="275">
        <v>0.05</v>
      </c>
      <c r="H760" s="275">
        <v>0.161</v>
      </c>
      <c r="I760" s="275">
        <v>0.151</v>
      </c>
      <c r="J760" s="275">
        <v>0.16600000000000001</v>
      </c>
      <c r="K760" s="275">
        <v>0.129</v>
      </c>
      <c r="L760" s="275">
        <v>0.13300000000000001</v>
      </c>
      <c r="M760" s="275">
        <v>0.36299999999999999</v>
      </c>
      <c r="N760" s="275">
        <v>0.36099999999999999</v>
      </c>
      <c r="O760" s="275">
        <v>0.39100000000000001</v>
      </c>
      <c r="P760" s="275">
        <v>0.38300000000000001</v>
      </c>
      <c r="Q760" s="275">
        <v>0.39300000000000002</v>
      </c>
      <c r="R760" s="275">
        <v>0.79500000000000004</v>
      </c>
      <c r="S760" s="275">
        <v>0.83399999999999996</v>
      </c>
      <c r="T760" s="275">
        <v>0.90700000000000003</v>
      </c>
      <c r="U760" s="275"/>
      <c r="V760" s="275"/>
      <c r="W760" s="275"/>
      <c r="X760" s="275"/>
      <c r="Y760" s="275"/>
      <c r="Z760" s="275"/>
      <c r="AA760" s="275"/>
    </row>
    <row r="761" spans="1:27">
      <c r="A761" s="273"/>
      <c r="B761" s="274"/>
      <c r="C761" s="278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</row>
    <row r="762" spans="1:27">
      <c r="A762" s="273">
        <v>258</v>
      </c>
      <c r="B762" s="274">
        <v>82</v>
      </c>
      <c r="C762" s="278" t="s">
        <v>387</v>
      </c>
      <c r="D762" s="275" t="s">
        <v>434</v>
      </c>
      <c r="E762" s="275" t="s">
        <v>435</v>
      </c>
      <c r="F762" s="275" t="s">
        <v>436</v>
      </c>
      <c r="G762" s="275" t="s">
        <v>437</v>
      </c>
      <c r="H762" s="275" t="s">
        <v>438</v>
      </c>
      <c r="I762" s="275" t="s">
        <v>439</v>
      </c>
      <c r="J762" s="275" t="s">
        <v>440</v>
      </c>
      <c r="K762" s="275" t="s">
        <v>441</v>
      </c>
      <c r="L762" s="275" t="s">
        <v>442</v>
      </c>
      <c r="M762" s="275" t="s">
        <v>443</v>
      </c>
      <c r="N762" s="275" t="s">
        <v>444</v>
      </c>
      <c r="O762" s="275" t="s">
        <v>445</v>
      </c>
      <c r="P762" s="275" t="s">
        <v>446</v>
      </c>
      <c r="Q762" s="275" t="s">
        <v>447</v>
      </c>
      <c r="R762" s="275" t="s">
        <v>448</v>
      </c>
      <c r="S762" s="275" t="s">
        <v>449</v>
      </c>
      <c r="T762" s="275" t="s">
        <v>450</v>
      </c>
      <c r="U762" s="275"/>
      <c r="V762" s="275"/>
      <c r="W762" s="275"/>
      <c r="X762" s="275"/>
      <c r="Y762" s="275"/>
      <c r="Z762" s="275"/>
      <c r="AA762" s="275"/>
    </row>
    <row r="763" spans="1:27">
      <c r="A763" s="273"/>
      <c r="B763" s="274"/>
      <c r="C763" s="278"/>
      <c r="D763" s="275">
        <v>0.01</v>
      </c>
      <c r="E763" s="275">
        <v>5.7000000000000002E-2</v>
      </c>
      <c r="F763" s="275">
        <v>4.2999999999999997E-2</v>
      </c>
      <c r="G763" s="275">
        <v>0.05</v>
      </c>
      <c r="H763" s="275">
        <v>0.161</v>
      </c>
      <c r="I763" s="275">
        <v>0.151</v>
      </c>
      <c r="J763" s="275">
        <v>0.16600000000000001</v>
      </c>
      <c r="K763" s="275">
        <v>0.129</v>
      </c>
      <c r="L763" s="275">
        <v>0.13300000000000001</v>
      </c>
      <c r="M763" s="275">
        <v>0.36299999999999999</v>
      </c>
      <c r="N763" s="275">
        <v>0.36099999999999999</v>
      </c>
      <c r="O763" s="275">
        <v>0.39100000000000001</v>
      </c>
      <c r="P763" s="275">
        <v>0.38300000000000001</v>
      </c>
      <c r="Q763" s="275">
        <v>0.39300000000000002</v>
      </c>
      <c r="R763" s="275">
        <v>0.79600000000000004</v>
      </c>
      <c r="S763" s="275">
        <v>0.83399999999999996</v>
      </c>
      <c r="T763" s="275">
        <v>0.90700000000000003</v>
      </c>
      <c r="U763" s="275"/>
      <c r="V763" s="275"/>
      <c r="W763" s="275"/>
      <c r="X763" s="275"/>
      <c r="Y763" s="275"/>
      <c r="Z763" s="275"/>
      <c r="AA763" s="275"/>
    </row>
    <row r="764" spans="1:27">
      <c r="A764" s="273"/>
      <c r="B764" s="274"/>
      <c r="C764" s="278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</row>
    <row r="765" spans="1:27">
      <c r="A765" s="273">
        <v>259</v>
      </c>
      <c r="B765" s="274">
        <v>83</v>
      </c>
      <c r="C765" s="278" t="s">
        <v>388</v>
      </c>
      <c r="D765" s="275" t="s">
        <v>434</v>
      </c>
      <c r="E765" s="275" t="s">
        <v>435</v>
      </c>
      <c r="F765" s="275" t="s">
        <v>436</v>
      </c>
      <c r="G765" s="275" t="s">
        <v>437</v>
      </c>
      <c r="H765" s="275" t="s">
        <v>438</v>
      </c>
      <c r="I765" s="275" t="s">
        <v>439</v>
      </c>
      <c r="J765" s="275" t="s">
        <v>440</v>
      </c>
      <c r="K765" s="275" t="s">
        <v>441</v>
      </c>
      <c r="L765" s="275" t="s">
        <v>442</v>
      </c>
      <c r="M765" s="275" t="s">
        <v>443</v>
      </c>
      <c r="N765" s="275" t="s">
        <v>444</v>
      </c>
      <c r="O765" s="275" t="s">
        <v>445</v>
      </c>
      <c r="P765" s="275" t="s">
        <v>446</v>
      </c>
      <c r="Q765" s="275" t="s">
        <v>447</v>
      </c>
      <c r="R765" s="275" t="s">
        <v>448</v>
      </c>
      <c r="S765" s="275" t="s">
        <v>449</v>
      </c>
      <c r="T765" s="275" t="s">
        <v>450</v>
      </c>
      <c r="U765" s="275"/>
      <c r="V765" s="275"/>
      <c r="W765" s="275"/>
      <c r="X765" s="275"/>
      <c r="Y765" s="275"/>
      <c r="Z765" s="275"/>
      <c r="AA765" s="275"/>
    </row>
    <row r="766" spans="1:27">
      <c r="A766" s="273"/>
      <c r="B766" s="274"/>
      <c r="C766" s="278"/>
      <c r="D766" s="275">
        <v>0.01</v>
      </c>
      <c r="E766" s="275">
        <v>5.6000000000000001E-2</v>
      </c>
      <c r="F766" s="275">
        <v>4.2000000000000003E-2</v>
      </c>
      <c r="G766" s="275">
        <v>4.9000000000000002E-2</v>
      </c>
      <c r="H766" s="275">
        <v>0.158</v>
      </c>
      <c r="I766" s="275">
        <v>0.14799999999999999</v>
      </c>
      <c r="J766" s="275">
        <v>0.16300000000000001</v>
      </c>
      <c r="K766" s="275">
        <v>0.127</v>
      </c>
      <c r="L766" s="275">
        <v>0.13100000000000001</v>
      </c>
      <c r="M766" s="275">
        <v>0.35599999999999998</v>
      </c>
      <c r="N766" s="275">
        <v>0.35399999999999998</v>
      </c>
      <c r="O766" s="275">
        <v>0.38500000000000001</v>
      </c>
      <c r="P766" s="275">
        <v>0.376</v>
      </c>
      <c r="Q766" s="275">
        <v>0.38600000000000001</v>
      </c>
      <c r="R766" s="275">
        <v>0.77600000000000002</v>
      </c>
      <c r="S766" s="275">
        <v>0.81299999999999994</v>
      </c>
      <c r="T766" s="275">
        <v>0.88500000000000001</v>
      </c>
      <c r="U766" s="275"/>
      <c r="V766" s="275"/>
      <c r="W766" s="275"/>
      <c r="X766" s="275"/>
      <c r="Y766" s="275"/>
      <c r="Z766" s="275"/>
      <c r="AA766" s="275"/>
    </row>
    <row r="767" spans="1:27">
      <c r="A767" s="273"/>
      <c r="B767" s="274"/>
      <c r="C767" s="278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</row>
    <row r="768" spans="1:27">
      <c r="A768" s="273">
        <v>260</v>
      </c>
      <c r="B768" s="274">
        <v>83</v>
      </c>
      <c r="C768" s="278" t="s">
        <v>389</v>
      </c>
      <c r="D768" s="275" t="s">
        <v>434</v>
      </c>
      <c r="E768" s="275" t="s">
        <v>435</v>
      </c>
      <c r="F768" s="275" t="s">
        <v>436</v>
      </c>
      <c r="G768" s="275" t="s">
        <v>437</v>
      </c>
      <c r="H768" s="275" t="s">
        <v>438</v>
      </c>
      <c r="I768" s="275" t="s">
        <v>439</v>
      </c>
      <c r="J768" s="275" t="s">
        <v>440</v>
      </c>
      <c r="K768" s="275" t="s">
        <v>441</v>
      </c>
      <c r="L768" s="275" t="s">
        <v>442</v>
      </c>
      <c r="M768" s="275" t="s">
        <v>443</v>
      </c>
      <c r="N768" s="275" t="s">
        <v>444</v>
      </c>
      <c r="O768" s="275" t="s">
        <v>445</v>
      </c>
      <c r="P768" s="275" t="s">
        <v>446</v>
      </c>
      <c r="Q768" s="275" t="s">
        <v>447</v>
      </c>
      <c r="R768" s="275" t="s">
        <v>448</v>
      </c>
      <c r="S768" s="275" t="s">
        <v>449</v>
      </c>
      <c r="T768" s="275" t="s">
        <v>450</v>
      </c>
      <c r="U768" s="275"/>
      <c r="V768" s="275"/>
      <c r="W768" s="275"/>
      <c r="X768" s="275"/>
      <c r="Y768" s="275"/>
      <c r="Z768" s="275"/>
      <c r="AA768" s="275"/>
    </row>
    <row r="769" spans="1:27">
      <c r="A769" s="273"/>
      <c r="B769" s="274"/>
      <c r="C769" s="278"/>
      <c r="D769" s="275">
        <v>0.01</v>
      </c>
      <c r="E769" s="275">
        <v>5.6000000000000001E-2</v>
      </c>
      <c r="F769" s="275">
        <v>4.2000000000000003E-2</v>
      </c>
      <c r="G769" s="275">
        <v>4.9000000000000002E-2</v>
      </c>
      <c r="H769" s="275">
        <v>0.158</v>
      </c>
      <c r="I769" s="275">
        <v>0.14799999999999999</v>
      </c>
      <c r="J769" s="275">
        <v>0.16300000000000001</v>
      </c>
      <c r="K769" s="275">
        <v>0.127</v>
      </c>
      <c r="L769" s="275">
        <v>0.13100000000000001</v>
      </c>
      <c r="M769" s="275">
        <v>0.35599999999999998</v>
      </c>
      <c r="N769" s="275">
        <v>0.35399999999999998</v>
      </c>
      <c r="O769" s="275">
        <v>0.38500000000000001</v>
      </c>
      <c r="P769" s="275">
        <v>0.376</v>
      </c>
      <c r="Q769" s="275">
        <v>0.38600000000000001</v>
      </c>
      <c r="R769" s="275">
        <v>0.77700000000000002</v>
      </c>
      <c r="S769" s="275">
        <v>0.81200000000000006</v>
      </c>
      <c r="T769" s="275">
        <v>0.88400000000000001</v>
      </c>
      <c r="U769" s="275"/>
      <c r="V769" s="275"/>
      <c r="W769" s="275"/>
      <c r="X769" s="275"/>
      <c r="Y769" s="275"/>
      <c r="Z769" s="275"/>
      <c r="AA769" s="275"/>
    </row>
    <row r="770" spans="1:27">
      <c r="A770" s="273"/>
      <c r="B770" s="274"/>
      <c r="C770" s="278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</row>
    <row r="771" spans="1:27">
      <c r="A771" s="273">
        <v>261</v>
      </c>
      <c r="B771" s="274">
        <v>84</v>
      </c>
      <c r="C771" s="278" t="s">
        <v>390</v>
      </c>
      <c r="D771" s="275" t="s">
        <v>434</v>
      </c>
      <c r="E771" s="275" t="s">
        <v>435</v>
      </c>
      <c r="F771" s="275" t="s">
        <v>436</v>
      </c>
      <c r="G771" s="275" t="s">
        <v>437</v>
      </c>
      <c r="H771" s="275" t="s">
        <v>438</v>
      </c>
      <c r="I771" s="275" t="s">
        <v>439</v>
      </c>
      <c r="J771" s="275" t="s">
        <v>440</v>
      </c>
      <c r="K771" s="275" t="s">
        <v>441</v>
      </c>
      <c r="L771" s="275" t="s">
        <v>442</v>
      </c>
      <c r="M771" s="275" t="s">
        <v>443</v>
      </c>
      <c r="N771" s="275" t="s">
        <v>444</v>
      </c>
      <c r="O771" s="275" t="s">
        <v>445</v>
      </c>
      <c r="P771" s="275" t="s">
        <v>446</v>
      </c>
      <c r="Q771" s="275" t="s">
        <v>447</v>
      </c>
      <c r="R771" s="275" t="s">
        <v>448</v>
      </c>
      <c r="S771" s="275" t="s">
        <v>449</v>
      </c>
      <c r="T771" s="275" t="s">
        <v>450</v>
      </c>
      <c r="U771" s="275"/>
      <c r="V771" s="275"/>
      <c r="W771" s="275"/>
      <c r="X771" s="275"/>
      <c r="Y771" s="275"/>
      <c r="Z771" s="275"/>
      <c r="AA771" s="275"/>
    </row>
    <row r="772" spans="1:27">
      <c r="A772" s="273"/>
      <c r="B772" s="274"/>
      <c r="C772" s="278"/>
      <c r="D772" s="275">
        <v>8.9999999999999993E-3</v>
      </c>
      <c r="E772" s="275">
        <v>5.5E-2</v>
      </c>
      <c r="F772" s="275">
        <v>4.1000000000000002E-2</v>
      </c>
      <c r="G772" s="275">
        <v>4.8000000000000001E-2</v>
      </c>
      <c r="H772" s="275">
        <v>0.156</v>
      </c>
      <c r="I772" s="275">
        <v>0.14499999999999999</v>
      </c>
      <c r="J772" s="275">
        <v>0.161</v>
      </c>
      <c r="K772" s="275">
        <v>0.125</v>
      </c>
      <c r="L772" s="275">
        <v>0.129</v>
      </c>
      <c r="M772" s="275">
        <v>0.35</v>
      </c>
      <c r="N772" s="275">
        <v>0.34799999999999998</v>
      </c>
      <c r="O772" s="275">
        <v>0.379</v>
      </c>
      <c r="P772" s="275">
        <v>0.37</v>
      </c>
      <c r="Q772" s="275">
        <v>0.379</v>
      </c>
      <c r="R772" s="275">
        <v>0.75800000000000001</v>
      </c>
      <c r="S772" s="275">
        <v>0.79200000000000004</v>
      </c>
      <c r="T772" s="275">
        <v>0.86299999999999999</v>
      </c>
      <c r="U772" s="275"/>
      <c r="V772" s="275"/>
      <c r="W772" s="275"/>
      <c r="X772" s="275"/>
      <c r="Y772" s="275"/>
      <c r="Z772" s="275"/>
      <c r="AA772" s="275"/>
    </row>
    <row r="773" spans="1:27">
      <c r="A773" s="273"/>
      <c r="B773" s="274"/>
      <c r="C773" s="278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</row>
    <row r="774" spans="1:27">
      <c r="A774" s="273">
        <v>262</v>
      </c>
      <c r="B774" s="274">
        <v>84</v>
      </c>
      <c r="C774" s="278" t="s">
        <v>391</v>
      </c>
      <c r="D774" s="275" t="s">
        <v>434</v>
      </c>
      <c r="E774" s="275" t="s">
        <v>435</v>
      </c>
      <c r="F774" s="275" t="s">
        <v>436</v>
      </c>
      <c r="G774" s="275" t="s">
        <v>437</v>
      </c>
      <c r="H774" s="275" t="s">
        <v>438</v>
      </c>
      <c r="I774" s="275" t="s">
        <v>439</v>
      </c>
      <c r="J774" s="275" t="s">
        <v>440</v>
      </c>
      <c r="K774" s="275" t="s">
        <v>441</v>
      </c>
      <c r="L774" s="275" t="s">
        <v>442</v>
      </c>
      <c r="M774" s="275" t="s">
        <v>443</v>
      </c>
      <c r="N774" s="275" t="s">
        <v>444</v>
      </c>
      <c r="O774" s="275" t="s">
        <v>445</v>
      </c>
      <c r="P774" s="275" t="s">
        <v>446</v>
      </c>
      <c r="Q774" s="275" t="s">
        <v>447</v>
      </c>
      <c r="R774" s="275" t="s">
        <v>448</v>
      </c>
      <c r="S774" s="275" t="s">
        <v>449</v>
      </c>
      <c r="T774" s="275" t="s">
        <v>450</v>
      </c>
      <c r="U774" s="275"/>
      <c r="V774" s="275"/>
      <c r="W774" s="275"/>
      <c r="X774" s="275"/>
      <c r="Y774" s="275"/>
      <c r="Z774" s="275"/>
      <c r="AA774" s="275"/>
    </row>
    <row r="775" spans="1:27">
      <c r="A775" s="273"/>
      <c r="B775" s="274"/>
      <c r="C775" s="278"/>
      <c r="D775" s="275">
        <v>8.9999999999999993E-3</v>
      </c>
      <c r="E775" s="275">
        <v>5.5E-2</v>
      </c>
      <c r="F775" s="275">
        <v>4.1000000000000002E-2</v>
      </c>
      <c r="G775" s="275">
        <v>4.8000000000000001E-2</v>
      </c>
      <c r="H775" s="275">
        <v>0.156</v>
      </c>
      <c r="I775" s="275">
        <v>0.14499999999999999</v>
      </c>
      <c r="J775" s="275">
        <v>0.161</v>
      </c>
      <c r="K775" s="275">
        <v>0.125</v>
      </c>
      <c r="L775" s="275">
        <v>0.129</v>
      </c>
      <c r="M775" s="275">
        <v>0.35</v>
      </c>
      <c r="N775" s="275">
        <v>0.34799999999999998</v>
      </c>
      <c r="O775" s="275">
        <v>0.379</v>
      </c>
      <c r="P775" s="275">
        <v>0.37</v>
      </c>
      <c r="Q775" s="275">
        <v>0.379</v>
      </c>
      <c r="R775" s="275">
        <v>0.75800000000000001</v>
      </c>
      <c r="S775" s="275">
        <v>0.79200000000000004</v>
      </c>
      <c r="T775" s="275">
        <v>0.86299999999999999</v>
      </c>
      <c r="U775" s="275"/>
      <c r="V775" s="275"/>
      <c r="W775" s="275"/>
      <c r="X775" s="275"/>
      <c r="Y775" s="275"/>
      <c r="Z775" s="275"/>
      <c r="AA775" s="275"/>
    </row>
    <row r="776" spans="1:27">
      <c r="A776" s="273"/>
      <c r="B776" s="274"/>
      <c r="C776" s="278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</row>
    <row r="777" spans="1:27">
      <c r="A777" s="273">
        <v>263</v>
      </c>
      <c r="B777" s="274">
        <v>84</v>
      </c>
      <c r="C777" s="278" t="s">
        <v>392</v>
      </c>
      <c r="D777" s="275" t="s">
        <v>434</v>
      </c>
      <c r="E777" s="275" t="s">
        <v>435</v>
      </c>
      <c r="F777" s="275" t="s">
        <v>436</v>
      </c>
      <c r="G777" s="275" t="s">
        <v>437</v>
      </c>
      <c r="H777" s="275" t="s">
        <v>438</v>
      </c>
      <c r="I777" s="275" t="s">
        <v>439</v>
      </c>
      <c r="J777" s="275" t="s">
        <v>440</v>
      </c>
      <c r="K777" s="275" t="s">
        <v>441</v>
      </c>
      <c r="L777" s="275" t="s">
        <v>442</v>
      </c>
      <c r="M777" s="275" t="s">
        <v>443</v>
      </c>
      <c r="N777" s="275" t="s">
        <v>444</v>
      </c>
      <c r="O777" s="275" t="s">
        <v>445</v>
      </c>
      <c r="P777" s="275" t="s">
        <v>446</v>
      </c>
      <c r="Q777" s="275" t="s">
        <v>447</v>
      </c>
      <c r="R777" s="275" t="s">
        <v>448</v>
      </c>
      <c r="S777" s="275" t="s">
        <v>449</v>
      </c>
      <c r="T777" s="275" t="s">
        <v>450</v>
      </c>
      <c r="U777" s="275"/>
      <c r="V777" s="275"/>
      <c r="W777" s="275"/>
      <c r="X777" s="275"/>
      <c r="Y777" s="275"/>
      <c r="Z777" s="275"/>
      <c r="AA777" s="275"/>
    </row>
    <row r="778" spans="1:27">
      <c r="A778" s="273"/>
      <c r="B778" s="274"/>
      <c r="C778" s="278"/>
      <c r="D778" s="275">
        <v>8.9999999999999993E-3</v>
      </c>
      <c r="E778" s="275">
        <v>5.5E-2</v>
      </c>
      <c r="F778" s="275">
        <v>4.1000000000000002E-2</v>
      </c>
      <c r="G778" s="275">
        <v>4.8000000000000001E-2</v>
      </c>
      <c r="H778" s="275">
        <v>0.156</v>
      </c>
      <c r="I778" s="275">
        <v>0.14499999999999999</v>
      </c>
      <c r="J778" s="275">
        <v>0.161</v>
      </c>
      <c r="K778" s="275">
        <v>0.125</v>
      </c>
      <c r="L778" s="275">
        <v>0.129</v>
      </c>
      <c r="M778" s="275">
        <v>0.35</v>
      </c>
      <c r="N778" s="275">
        <v>0.34799999999999998</v>
      </c>
      <c r="O778" s="275">
        <v>0.379</v>
      </c>
      <c r="P778" s="275">
        <v>0.37</v>
      </c>
      <c r="Q778" s="275">
        <v>0.379</v>
      </c>
      <c r="R778" s="275">
        <v>0.75900000000000001</v>
      </c>
      <c r="S778" s="275">
        <v>0.79100000000000004</v>
      </c>
      <c r="T778" s="275">
        <v>0.86199999999999999</v>
      </c>
      <c r="U778" s="275"/>
      <c r="V778" s="275"/>
      <c r="W778" s="275"/>
      <c r="X778" s="275"/>
      <c r="Y778" s="275"/>
      <c r="Z778" s="275"/>
      <c r="AA778" s="275"/>
    </row>
    <row r="779" spans="1:27">
      <c r="A779" s="273"/>
      <c r="B779" s="274"/>
      <c r="C779" s="278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</row>
    <row r="780" spans="1:27">
      <c r="A780" s="273">
        <v>264</v>
      </c>
      <c r="B780" s="274">
        <v>85</v>
      </c>
      <c r="C780" s="278" t="s">
        <v>197</v>
      </c>
      <c r="D780" s="275" t="s">
        <v>434</v>
      </c>
      <c r="E780" s="275" t="s">
        <v>435</v>
      </c>
      <c r="F780" s="275" t="s">
        <v>436</v>
      </c>
      <c r="G780" s="275" t="s">
        <v>437</v>
      </c>
      <c r="H780" s="275" t="s">
        <v>438</v>
      </c>
      <c r="I780" s="275" t="s">
        <v>439</v>
      </c>
      <c r="J780" s="275" t="s">
        <v>440</v>
      </c>
      <c r="K780" s="275" t="s">
        <v>441</v>
      </c>
      <c r="L780" s="275" t="s">
        <v>442</v>
      </c>
      <c r="M780" s="275" t="s">
        <v>443</v>
      </c>
      <c r="N780" s="275" t="s">
        <v>444</v>
      </c>
      <c r="O780" s="275" t="s">
        <v>445</v>
      </c>
      <c r="P780" s="275" t="s">
        <v>446</v>
      </c>
      <c r="Q780" s="275" t="s">
        <v>447</v>
      </c>
      <c r="R780" s="275" t="s">
        <v>448</v>
      </c>
      <c r="S780" s="275" t="s">
        <v>449</v>
      </c>
      <c r="T780" s="275" t="s">
        <v>450</v>
      </c>
      <c r="U780" s="275"/>
      <c r="V780" s="275"/>
      <c r="W780" s="275"/>
      <c r="X780" s="275"/>
      <c r="Y780" s="275"/>
      <c r="Z780" s="275"/>
      <c r="AA780" s="275"/>
    </row>
    <row r="781" spans="1:27">
      <c r="A781" s="273"/>
      <c r="B781" s="274"/>
      <c r="C781" s="278"/>
      <c r="D781" s="275">
        <v>8.9999999999999993E-3</v>
      </c>
      <c r="E781" s="275">
        <v>5.3999999999999999E-2</v>
      </c>
      <c r="F781" s="275">
        <v>0.04</v>
      </c>
      <c r="G781" s="275">
        <v>4.8000000000000001E-2</v>
      </c>
      <c r="H781" s="275">
        <v>0.153</v>
      </c>
      <c r="I781" s="275">
        <v>0.14299999999999999</v>
      </c>
      <c r="J781" s="275">
        <v>0.159</v>
      </c>
      <c r="K781" s="275">
        <v>0.124</v>
      </c>
      <c r="L781" s="275">
        <v>0.128</v>
      </c>
      <c r="M781" s="275">
        <v>0.34399999999999997</v>
      </c>
      <c r="N781" s="275">
        <v>0.34100000000000003</v>
      </c>
      <c r="O781" s="275">
        <v>0.373</v>
      </c>
      <c r="P781" s="275">
        <v>0.36299999999999999</v>
      </c>
      <c r="Q781" s="275">
        <v>0.373</v>
      </c>
      <c r="R781" s="275">
        <v>0.74099999999999999</v>
      </c>
      <c r="S781" s="275">
        <v>0.77200000000000002</v>
      </c>
      <c r="T781" s="275">
        <v>0.84199999999999997</v>
      </c>
      <c r="U781" s="275"/>
      <c r="V781" s="275"/>
      <c r="W781" s="275"/>
      <c r="X781" s="275"/>
      <c r="Y781" s="275"/>
      <c r="Z781" s="275"/>
      <c r="AA781" s="275"/>
    </row>
    <row r="782" spans="1:27">
      <c r="A782" s="273"/>
      <c r="B782" s="274"/>
      <c r="C782" s="278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</row>
    <row r="783" spans="1:27">
      <c r="A783" s="273">
        <v>265</v>
      </c>
      <c r="B783" s="274">
        <v>85</v>
      </c>
      <c r="C783" s="278" t="s">
        <v>393</v>
      </c>
      <c r="D783" s="275" t="s">
        <v>434</v>
      </c>
      <c r="E783" s="275" t="s">
        <v>435</v>
      </c>
      <c r="F783" s="275" t="s">
        <v>436</v>
      </c>
      <c r="G783" s="275" t="s">
        <v>437</v>
      </c>
      <c r="H783" s="275" t="s">
        <v>438</v>
      </c>
      <c r="I783" s="275" t="s">
        <v>439</v>
      </c>
      <c r="J783" s="275" t="s">
        <v>440</v>
      </c>
      <c r="K783" s="275" t="s">
        <v>441</v>
      </c>
      <c r="L783" s="275" t="s">
        <v>442</v>
      </c>
      <c r="M783" s="275" t="s">
        <v>443</v>
      </c>
      <c r="N783" s="275" t="s">
        <v>444</v>
      </c>
      <c r="O783" s="275" t="s">
        <v>445</v>
      </c>
      <c r="P783" s="275" t="s">
        <v>446</v>
      </c>
      <c r="Q783" s="275" t="s">
        <v>447</v>
      </c>
      <c r="R783" s="275" t="s">
        <v>448</v>
      </c>
      <c r="S783" s="275" t="s">
        <v>449</v>
      </c>
      <c r="T783" s="275" t="s">
        <v>450</v>
      </c>
      <c r="U783" s="275"/>
      <c r="V783" s="275"/>
      <c r="W783" s="275"/>
      <c r="X783" s="275"/>
      <c r="Y783" s="275"/>
      <c r="Z783" s="275"/>
      <c r="AA783" s="275"/>
    </row>
    <row r="784" spans="1:27">
      <c r="A784" s="273"/>
      <c r="B784" s="274"/>
      <c r="C784" s="278"/>
      <c r="D784" s="275">
        <v>8.9999999999999993E-3</v>
      </c>
      <c r="E784" s="275">
        <v>5.3999999999999999E-2</v>
      </c>
      <c r="F784" s="275">
        <v>0.04</v>
      </c>
      <c r="G784" s="275">
        <v>4.8000000000000001E-2</v>
      </c>
      <c r="H784" s="275">
        <v>0.153</v>
      </c>
      <c r="I784" s="275">
        <v>0.14299999999999999</v>
      </c>
      <c r="J784" s="275">
        <v>0.159</v>
      </c>
      <c r="K784" s="275">
        <v>0.124</v>
      </c>
      <c r="L784" s="275">
        <v>0.128</v>
      </c>
      <c r="M784" s="275">
        <v>0.34399999999999997</v>
      </c>
      <c r="N784" s="275">
        <v>0.34100000000000003</v>
      </c>
      <c r="O784" s="275">
        <v>0.373</v>
      </c>
      <c r="P784" s="275">
        <v>0.36299999999999999</v>
      </c>
      <c r="Q784" s="275">
        <v>0.373</v>
      </c>
      <c r="R784" s="275">
        <v>0.74099999999999999</v>
      </c>
      <c r="S784" s="275">
        <v>0.77200000000000002</v>
      </c>
      <c r="T784" s="275">
        <v>0.84199999999999997</v>
      </c>
      <c r="U784" s="275"/>
      <c r="V784" s="275"/>
      <c r="W784" s="275"/>
      <c r="X784" s="275"/>
      <c r="Y784" s="275"/>
      <c r="Z784" s="275"/>
      <c r="AA784" s="275"/>
    </row>
    <row r="785" spans="1:27">
      <c r="A785" s="273"/>
      <c r="B785" s="274"/>
      <c r="C785" s="278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</row>
    <row r="786" spans="1:27">
      <c r="A786" s="273">
        <v>266</v>
      </c>
      <c r="B786" s="274">
        <v>85</v>
      </c>
      <c r="C786" s="278" t="s">
        <v>394</v>
      </c>
      <c r="D786" s="275" t="s">
        <v>434</v>
      </c>
      <c r="E786" s="275" t="s">
        <v>435</v>
      </c>
      <c r="F786" s="275" t="s">
        <v>436</v>
      </c>
      <c r="G786" s="275" t="s">
        <v>437</v>
      </c>
      <c r="H786" s="275" t="s">
        <v>438</v>
      </c>
      <c r="I786" s="275" t="s">
        <v>439</v>
      </c>
      <c r="J786" s="275" t="s">
        <v>440</v>
      </c>
      <c r="K786" s="275" t="s">
        <v>441</v>
      </c>
      <c r="L786" s="275" t="s">
        <v>442</v>
      </c>
      <c r="M786" s="275" t="s">
        <v>443</v>
      </c>
      <c r="N786" s="275" t="s">
        <v>444</v>
      </c>
      <c r="O786" s="275" t="s">
        <v>445</v>
      </c>
      <c r="P786" s="275" t="s">
        <v>446</v>
      </c>
      <c r="Q786" s="275" t="s">
        <v>447</v>
      </c>
      <c r="R786" s="275" t="s">
        <v>448</v>
      </c>
      <c r="S786" s="275" t="s">
        <v>449</v>
      </c>
      <c r="T786" s="275" t="s">
        <v>450</v>
      </c>
      <c r="U786" s="275"/>
      <c r="V786" s="275"/>
      <c r="W786" s="275"/>
      <c r="X786" s="275"/>
      <c r="Y786" s="275"/>
      <c r="Z786" s="275"/>
      <c r="AA786" s="275"/>
    </row>
    <row r="787" spans="1:27">
      <c r="A787" s="273"/>
      <c r="B787" s="274"/>
      <c r="C787" s="278"/>
      <c r="D787" s="275">
        <v>8.9999999999999993E-3</v>
      </c>
      <c r="E787" s="275">
        <v>5.3999999999999999E-2</v>
      </c>
      <c r="F787" s="275">
        <v>0.04</v>
      </c>
      <c r="G787" s="275">
        <v>4.8000000000000001E-2</v>
      </c>
      <c r="H787" s="275">
        <v>0.153</v>
      </c>
      <c r="I787" s="275">
        <v>0.14299999999999999</v>
      </c>
      <c r="J787" s="275">
        <v>0.159</v>
      </c>
      <c r="K787" s="275">
        <v>0.124</v>
      </c>
      <c r="L787" s="275">
        <v>0.128</v>
      </c>
      <c r="M787" s="275">
        <v>0.34399999999999997</v>
      </c>
      <c r="N787" s="275">
        <v>0.34100000000000003</v>
      </c>
      <c r="O787" s="275">
        <v>0.373</v>
      </c>
      <c r="P787" s="275">
        <v>0.36299999999999999</v>
      </c>
      <c r="Q787" s="275">
        <v>0.373</v>
      </c>
      <c r="R787" s="275">
        <v>0.74</v>
      </c>
      <c r="S787" s="275">
        <v>0.77200000000000002</v>
      </c>
      <c r="T787" s="275">
        <v>0.84199999999999997</v>
      </c>
      <c r="U787" s="275"/>
      <c r="V787" s="275"/>
      <c r="W787" s="275"/>
      <c r="X787" s="275"/>
      <c r="Y787" s="275"/>
      <c r="Z787" s="275"/>
      <c r="AA787" s="275"/>
    </row>
    <row r="788" spans="1:27">
      <c r="A788" s="273"/>
      <c r="B788" s="274"/>
      <c r="C788" s="278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</row>
    <row r="789" spans="1:27">
      <c r="A789" s="273">
        <v>267</v>
      </c>
      <c r="B789" s="274">
        <v>85</v>
      </c>
      <c r="C789" s="278" t="s">
        <v>395</v>
      </c>
      <c r="D789" s="275" t="s">
        <v>434</v>
      </c>
      <c r="E789" s="275" t="s">
        <v>435</v>
      </c>
      <c r="F789" s="275" t="s">
        <v>436</v>
      </c>
      <c r="G789" s="275" t="s">
        <v>437</v>
      </c>
      <c r="H789" s="275" t="s">
        <v>438</v>
      </c>
      <c r="I789" s="275" t="s">
        <v>439</v>
      </c>
      <c r="J789" s="275" t="s">
        <v>440</v>
      </c>
      <c r="K789" s="275" t="s">
        <v>441</v>
      </c>
      <c r="L789" s="275" t="s">
        <v>442</v>
      </c>
      <c r="M789" s="275" t="s">
        <v>443</v>
      </c>
      <c r="N789" s="275" t="s">
        <v>444</v>
      </c>
      <c r="O789" s="275" t="s">
        <v>445</v>
      </c>
      <c r="P789" s="275" t="s">
        <v>446</v>
      </c>
      <c r="Q789" s="275" t="s">
        <v>447</v>
      </c>
      <c r="R789" s="275" t="s">
        <v>448</v>
      </c>
      <c r="S789" s="275" t="s">
        <v>449</v>
      </c>
      <c r="T789" s="275" t="s">
        <v>450</v>
      </c>
      <c r="U789" s="275"/>
      <c r="V789" s="275"/>
      <c r="W789" s="275"/>
      <c r="X789" s="275"/>
      <c r="Y789" s="275"/>
      <c r="Z789" s="275"/>
      <c r="AA789" s="275"/>
    </row>
    <row r="790" spans="1:27">
      <c r="A790" s="273"/>
      <c r="B790" s="274"/>
      <c r="C790" s="278"/>
      <c r="D790" s="275">
        <v>8.9999999999999993E-3</v>
      </c>
      <c r="E790" s="275">
        <v>5.3999999999999999E-2</v>
      </c>
      <c r="F790" s="275">
        <v>0.04</v>
      </c>
      <c r="G790" s="275">
        <v>4.8000000000000001E-2</v>
      </c>
      <c r="H790" s="275">
        <v>0.153</v>
      </c>
      <c r="I790" s="275">
        <v>0.14299999999999999</v>
      </c>
      <c r="J790" s="275">
        <v>0.159</v>
      </c>
      <c r="K790" s="275">
        <v>0.124</v>
      </c>
      <c r="L790" s="275">
        <v>0.128</v>
      </c>
      <c r="M790" s="275">
        <v>0.34399999999999997</v>
      </c>
      <c r="N790" s="275">
        <v>0.34100000000000003</v>
      </c>
      <c r="O790" s="275">
        <v>0.372</v>
      </c>
      <c r="P790" s="275">
        <v>0.36299999999999999</v>
      </c>
      <c r="Q790" s="275">
        <v>0.373</v>
      </c>
      <c r="R790" s="275">
        <v>0.74099999999999999</v>
      </c>
      <c r="S790" s="275">
        <v>0.77100000000000002</v>
      </c>
      <c r="T790" s="275">
        <v>0.84099999999999997</v>
      </c>
      <c r="U790" s="275"/>
      <c r="V790" s="275"/>
      <c r="W790" s="275"/>
      <c r="X790" s="275"/>
      <c r="Y790" s="275"/>
      <c r="Z790" s="275"/>
      <c r="AA790" s="275"/>
    </row>
    <row r="791" spans="1:27">
      <c r="A791" s="273"/>
      <c r="B791" s="274"/>
      <c r="C791" s="278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</row>
    <row r="792" spans="1:27">
      <c r="A792" s="273">
        <v>268</v>
      </c>
      <c r="B792" s="274">
        <v>85</v>
      </c>
      <c r="C792" s="278" t="s">
        <v>396</v>
      </c>
      <c r="D792" s="275" t="s">
        <v>434</v>
      </c>
      <c r="E792" s="275" t="s">
        <v>435</v>
      </c>
      <c r="F792" s="275" t="s">
        <v>436</v>
      </c>
      <c r="G792" s="275" t="s">
        <v>437</v>
      </c>
      <c r="H792" s="275" t="s">
        <v>438</v>
      </c>
      <c r="I792" s="275" t="s">
        <v>439</v>
      </c>
      <c r="J792" s="275" t="s">
        <v>440</v>
      </c>
      <c r="K792" s="275" t="s">
        <v>441</v>
      </c>
      <c r="L792" s="275" t="s">
        <v>442</v>
      </c>
      <c r="M792" s="275" t="s">
        <v>443</v>
      </c>
      <c r="N792" s="275" t="s">
        <v>444</v>
      </c>
      <c r="O792" s="275" t="s">
        <v>445</v>
      </c>
      <c r="P792" s="275" t="s">
        <v>446</v>
      </c>
      <c r="Q792" s="275" t="s">
        <v>447</v>
      </c>
      <c r="R792" s="275" t="s">
        <v>448</v>
      </c>
      <c r="S792" s="275" t="s">
        <v>449</v>
      </c>
      <c r="T792" s="275" t="s">
        <v>450</v>
      </c>
      <c r="U792" s="275"/>
      <c r="V792" s="275"/>
      <c r="W792" s="275"/>
      <c r="X792" s="275"/>
      <c r="Y792" s="275"/>
      <c r="Z792" s="275"/>
      <c r="AA792" s="275"/>
    </row>
    <row r="793" spans="1:27">
      <c r="A793" s="273"/>
      <c r="B793" s="274"/>
      <c r="C793" s="278"/>
      <c r="D793" s="275">
        <v>8.9999999999999993E-3</v>
      </c>
      <c r="E793" s="275">
        <v>5.3999999999999999E-2</v>
      </c>
      <c r="F793" s="275">
        <v>0.04</v>
      </c>
      <c r="G793" s="275">
        <v>4.8000000000000001E-2</v>
      </c>
      <c r="H793" s="275">
        <v>0.153</v>
      </c>
      <c r="I793" s="275">
        <v>0.14299999999999999</v>
      </c>
      <c r="J793" s="275">
        <v>0.159</v>
      </c>
      <c r="K793" s="275">
        <v>0.124</v>
      </c>
      <c r="L793" s="275">
        <v>0.128</v>
      </c>
      <c r="M793" s="275">
        <v>0.34399999999999997</v>
      </c>
      <c r="N793" s="275">
        <v>0.34100000000000003</v>
      </c>
      <c r="O793" s="275">
        <v>0.373</v>
      </c>
      <c r="P793" s="275">
        <v>0.36299999999999999</v>
      </c>
      <c r="Q793" s="275">
        <v>0.373</v>
      </c>
      <c r="R793" s="275">
        <v>0.74099999999999999</v>
      </c>
      <c r="S793" s="275">
        <v>0.77200000000000002</v>
      </c>
      <c r="T793" s="275">
        <v>0.84199999999999997</v>
      </c>
      <c r="U793" s="275"/>
      <c r="V793" s="275"/>
      <c r="W793" s="275"/>
      <c r="X793" s="275"/>
      <c r="Y793" s="275"/>
      <c r="Z793" s="275"/>
      <c r="AA793" s="275"/>
    </row>
    <row r="794" spans="1:27">
      <c r="A794" s="273"/>
      <c r="B794" s="274"/>
      <c r="C794" s="278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</row>
    <row r="795" spans="1:27">
      <c r="A795" s="273">
        <v>269</v>
      </c>
      <c r="B795" s="274">
        <v>87</v>
      </c>
      <c r="C795" s="278" t="s">
        <v>198</v>
      </c>
      <c r="D795" s="275" t="s">
        <v>434</v>
      </c>
      <c r="E795" s="275" t="s">
        <v>435</v>
      </c>
      <c r="F795" s="275" t="s">
        <v>436</v>
      </c>
      <c r="G795" s="275" t="s">
        <v>437</v>
      </c>
      <c r="H795" s="275" t="s">
        <v>438</v>
      </c>
      <c r="I795" s="275" t="s">
        <v>439</v>
      </c>
      <c r="J795" s="275" t="s">
        <v>440</v>
      </c>
      <c r="K795" s="275" t="s">
        <v>441</v>
      </c>
      <c r="L795" s="275" t="s">
        <v>442</v>
      </c>
      <c r="M795" s="275" t="s">
        <v>443</v>
      </c>
      <c r="N795" s="275" t="s">
        <v>444</v>
      </c>
      <c r="O795" s="275" t="s">
        <v>445</v>
      </c>
      <c r="P795" s="275" t="s">
        <v>446</v>
      </c>
      <c r="Q795" s="275" t="s">
        <v>447</v>
      </c>
      <c r="R795" s="275" t="s">
        <v>448</v>
      </c>
      <c r="S795" s="275" t="s">
        <v>449</v>
      </c>
      <c r="T795" s="275" t="s">
        <v>450</v>
      </c>
      <c r="U795" s="275"/>
      <c r="V795" s="275"/>
      <c r="W795" s="275"/>
      <c r="X795" s="275"/>
      <c r="Y795" s="275"/>
      <c r="Z795" s="275"/>
      <c r="AA795" s="275"/>
    </row>
    <row r="796" spans="1:27">
      <c r="A796" s="273"/>
      <c r="B796" s="274"/>
      <c r="C796" s="278"/>
      <c r="D796" s="275">
        <v>8.9999999999999993E-3</v>
      </c>
      <c r="E796" s="275">
        <v>5.2999999999999999E-2</v>
      </c>
      <c r="F796" s="275">
        <v>3.9E-2</v>
      </c>
      <c r="G796" s="275">
        <v>4.7E-2</v>
      </c>
      <c r="H796" s="275">
        <v>0.14799999999999999</v>
      </c>
      <c r="I796" s="275">
        <v>0.13800000000000001</v>
      </c>
      <c r="J796" s="275">
        <v>0.154</v>
      </c>
      <c r="K796" s="275">
        <v>0.12</v>
      </c>
      <c r="L796" s="275">
        <v>0.124</v>
      </c>
      <c r="M796" s="275">
        <v>0.33200000000000002</v>
      </c>
      <c r="N796" s="275">
        <v>0.32900000000000001</v>
      </c>
      <c r="O796" s="275">
        <v>0.36099999999999999</v>
      </c>
      <c r="P796" s="275">
        <v>0.35099999999999998</v>
      </c>
      <c r="Q796" s="275">
        <v>0.36</v>
      </c>
      <c r="R796" s="275">
        <v>0.70799999999999996</v>
      </c>
      <c r="S796" s="275">
        <v>0.73399999999999999</v>
      </c>
      <c r="T796" s="275">
        <v>0.80400000000000005</v>
      </c>
      <c r="U796" s="275"/>
      <c r="V796" s="275"/>
      <c r="W796" s="275"/>
      <c r="X796" s="275"/>
      <c r="Y796" s="275"/>
      <c r="Z796" s="275"/>
      <c r="AA796" s="275"/>
    </row>
    <row r="797" spans="1:27">
      <c r="A797" s="273"/>
      <c r="B797" s="274"/>
      <c r="C797" s="278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</row>
    <row r="798" spans="1:27">
      <c r="A798" s="273">
        <v>270</v>
      </c>
      <c r="B798" s="274">
        <v>88</v>
      </c>
      <c r="C798" s="278" t="s">
        <v>397</v>
      </c>
      <c r="D798" s="275" t="s">
        <v>434</v>
      </c>
      <c r="E798" s="275" t="s">
        <v>435</v>
      </c>
      <c r="F798" s="275" t="s">
        <v>436</v>
      </c>
      <c r="G798" s="275" t="s">
        <v>437</v>
      </c>
      <c r="H798" s="275" t="s">
        <v>438</v>
      </c>
      <c r="I798" s="275" t="s">
        <v>439</v>
      </c>
      <c r="J798" s="275" t="s">
        <v>440</v>
      </c>
      <c r="K798" s="275" t="s">
        <v>441</v>
      </c>
      <c r="L798" s="275" t="s">
        <v>442</v>
      </c>
      <c r="M798" s="275" t="s">
        <v>443</v>
      </c>
      <c r="N798" s="275" t="s">
        <v>444</v>
      </c>
      <c r="O798" s="275" t="s">
        <v>445</v>
      </c>
      <c r="P798" s="275" t="s">
        <v>446</v>
      </c>
      <c r="Q798" s="275" t="s">
        <v>447</v>
      </c>
      <c r="R798" s="275" t="s">
        <v>448</v>
      </c>
      <c r="S798" s="275" t="s">
        <v>449</v>
      </c>
      <c r="T798" s="275" t="s">
        <v>450</v>
      </c>
      <c r="U798" s="275"/>
      <c r="V798" s="275"/>
      <c r="W798" s="275"/>
      <c r="X798" s="275"/>
      <c r="Y798" s="275"/>
      <c r="Z798" s="275"/>
      <c r="AA798" s="275"/>
    </row>
    <row r="799" spans="1:27">
      <c r="A799" s="273"/>
      <c r="B799" s="274"/>
      <c r="C799" s="278"/>
      <c r="D799" s="275">
        <v>8.9999999999999993E-3</v>
      </c>
      <c r="E799" s="275">
        <v>5.1999999999999998E-2</v>
      </c>
      <c r="F799" s="275">
        <v>3.7999999999999999E-2</v>
      </c>
      <c r="G799" s="275">
        <v>4.5999999999999999E-2</v>
      </c>
      <c r="H799" s="275">
        <v>0.14599999999999999</v>
      </c>
      <c r="I799" s="275">
        <v>0.13600000000000001</v>
      </c>
      <c r="J799" s="275">
        <v>0.152</v>
      </c>
      <c r="K799" s="275">
        <v>0.11799999999999999</v>
      </c>
      <c r="L799" s="275">
        <v>0.122</v>
      </c>
      <c r="M799" s="275">
        <v>0.32600000000000001</v>
      </c>
      <c r="N799" s="275">
        <v>0.32300000000000001</v>
      </c>
      <c r="O799" s="275">
        <v>0.35499999999999998</v>
      </c>
      <c r="P799" s="275">
        <v>0.34499999999999997</v>
      </c>
      <c r="Q799" s="275">
        <v>0.35399999999999998</v>
      </c>
      <c r="R799" s="275">
        <v>0.69199999999999995</v>
      </c>
      <c r="S799" s="275">
        <v>0.71699999999999997</v>
      </c>
      <c r="T799" s="275">
        <v>0.78600000000000003</v>
      </c>
      <c r="U799" s="275"/>
      <c r="V799" s="275"/>
      <c r="W799" s="275"/>
      <c r="X799" s="275"/>
      <c r="Y799" s="275"/>
      <c r="Z799" s="275"/>
      <c r="AA799" s="275"/>
    </row>
    <row r="800" spans="1:27">
      <c r="A800" s="273"/>
      <c r="B800" s="274"/>
      <c r="C800" s="278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</row>
    <row r="801" spans="1:27">
      <c r="A801" s="273">
        <v>271</v>
      </c>
      <c r="B801" s="274">
        <v>89</v>
      </c>
      <c r="C801" s="278" t="s">
        <v>398</v>
      </c>
      <c r="D801" s="275" t="s">
        <v>434</v>
      </c>
      <c r="E801" s="275" t="s">
        <v>435</v>
      </c>
      <c r="F801" s="275" t="s">
        <v>436</v>
      </c>
      <c r="G801" s="275" t="s">
        <v>437</v>
      </c>
      <c r="H801" s="275" t="s">
        <v>438</v>
      </c>
      <c r="I801" s="275" t="s">
        <v>439</v>
      </c>
      <c r="J801" s="275" t="s">
        <v>440</v>
      </c>
      <c r="K801" s="275" t="s">
        <v>441</v>
      </c>
      <c r="L801" s="275" t="s">
        <v>442</v>
      </c>
      <c r="M801" s="275" t="s">
        <v>443</v>
      </c>
      <c r="N801" s="275" t="s">
        <v>444</v>
      </c>
      <c r="O801" s="275" t="s">
        <v>445</v>
      </c>
      <c r="P801" s="275" t="s">
        <v>446</v>
      </c>
      <c r="Q801" s="275" t="s">
        <v>447</v>
      </c>
      <c r="R801" s="275" t="s">
        <v>448</v>
      </c>
      <c r="S801" s="275" t="s">
        <v>449</v>
      </c>
      <c r="T801" s="275" t="s">
        <v>450</v>
      </c>
      <c r="U801" s="275"/>
      <c r="V801" s="275"/>
      <c r="W801" s="275"/>
      <c r="X801" s="275"/>
      <c r="Y801" s="275"/>
      <c r="Z801" s="275"/>
      <c r="AA801" s="275"/>
    </row>
    <row r="802" spans="1:27">
      <c r="A802" s="273"/>
      <c r="B802" s="274"/>
      <c r="C802" s="278"/>
      <c r="D802" s="275">
        <v>8.9999999999999993E-3</v>
      </c>
      <c r="E802" s="275">
        <v>5.0999999999999997E-2</v>
      </c>
      <c r="F802" s="275">
        <v>3.6999999999999998E-2</v>
      </c>
      <c r="G802" s="275">
        <v>4.4999999999999998E-2</v>
      </c>
      <c r="H802" s="275">
        <v>0.14399999999999999</v>
      </c>
      <c r="I802" s="275">
        <v>0.13400000000000001</v>
      </c>
      <c r="J802" s="275">
        <v>0.15</v>
      </c>
      <c r="K802" s="275">
        <v>0.11700000000000001</v>
      </c>
      <c r="L802" s="275">
        <v>0.121</v>
      </c>
      <c r="M802" s="275">
        <v>0.32100000000000001</v>
      </c>
      <c r="N802" s="275">
        <v>0.318</v>
      </c>
      <c r="O802" s="275">
        <v>0.35</v>
      </c>
      <c r="P802" s="275">
        <v>0.33900000000000002</v>
      </c>
      <c r="Q802" s="275">
        <v>0.34899999999999998</v>
      </c>
      <c r="R802" s="275">
        <v>0.67700000000000005</v>
      </c>
      <c r="S802" s="275">
        <v>0.7</v>
      </c>
      <c r="T802" s="275">
        <v>0.76900000000000002</v>
      </c>
      <c r="U802" s="275"/>
      <c r="V802" s="275"/>
      <c r="W802" s="275"/>
      <c r="X802" s="275"/>
      <c r="Y802" s="275"/>
      <c r="Z802" s="275"/>
      <c r="AA802" s="275"/>
    </row>
    <row r="803" spans="1:27">
      <c r="A803" s="273"/>
      <c r="B803" s="274"/>
      <c r="C803" s="278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</row>
    <row r="804" spans="1:27">
      <c r="A804" s="273">
        <v>272</v>
      </c>
      <c r="B804" s="274">
        <v>90</v>
      </c>
      <c r="C804" s="278" t="s">
        <v>399</v>
      </c>
      <c r="D804" s="275" t="s">
        <v>434</v>
      </c>
      <c r="E804" s="275" t="s">
        <v>435</v>
      </c>
      <c r="F804" s="275" t="s">
        <v>436</v>
      </c>
      <c r="G804" s="275" t="s">
        <v>437</v>
      </c>
      <c r="H804" s="275" t="s">
        <v>438</v>
      </c>
      <c r="I804" s="275" t="s">
        <v>439</v>
      </c>
      <c r="J804" s="275" t="s">
        <v>440</v>
      </c>
      <c r="K804" s="275" t="s">
        <v>441</v>
      </c>
      <c r="L804" s="275" t="s">
        <v>442</v>
      </c>
      <c r="M804" s="275" t="s">
        <v>443</v>
      </c>
      <c r="N804" s="275" t="s">
        <v>444</v>
      </c>
      <c r="O804" s="275" t="s">
        <v>445</v>
      </c>
      <c r="P804" s="275" t="s">
        <v>446</v>
      </c>
      <c r="Q804" s="275" t="s">
        <v>447</v>
      </c>
      <c r="R804" s="275" t="s">
        <v>451</v>
      </c>
      <c r="S804" s="275" t="s">
        <v>452</v>
      </c>
      <c r="T804" s="275" t="s">
        <v>448</v>
      </c>
      <c r="U804" s="275" t="s">
        <v>449</v>
      </c>
      <c r="V804" s="275" t="s">
        <v>450</v>
      </c>
      <c r="W804" s="275" t="s">
        <v>453</v>
      </c>
      <c r="X804" s="275" t="s">
        <v>454</v>
      </c>
      <c r="Y804" s="275" t="s">
        <v>455</v>
      </c>
      <c r="Z804" s="275" t="s">
        <v>456</v>
      </c>
      <c r="AA804" s="275" t="s">
        <v>457</v>
      </c>
    </row>
    <row r="805" spans="1:27">
      <c r="A805" s="273"/>
      <c r="B805" s="274"/>
      <c r="C805" s="278"/>
      <c r="D805" s="275">
        <v>8.0000000000000002E-3</v>
      </c>
      <c r="E805" s="275">
        <v>0.05</v>
      </c>
      <c r="F805" s="275">
        <v>3.6999999999999998E-2</v>
      </c>
      <c r="G805" s="275">
        <v>4.4999999999999998E-2</v>
      </c>
      <c r="H805" s="275">
        <v>0.14099999999999999</v>
      </c>
      <c r="I805" s="275">
        <v>0.13100000000000001</v>
      </c>
      <c r="J805" s="275">
        <v>0.14799999999999999</v>
      </c>
      <c r="K805" s="275">
        <v>0.115</v>
      </c>
      <c r="L805" s="275">
        <v>0.11899999999999999</v>
      </c>
      <c r="M805" s="275">
        <v>0.315</v>
      </c>
      <c r="N805" s="275">
        <v>0.312</v>
      </c>
      <c r="O805" s="275">
        <v>0.34499999999999997</v>
      </c>
      <c r="P805" s="275">
        <v>0.33400000000000002</v>
      </c>
      <c r="Q805" s="275">
        <v>0.34300000000000003</v>
      </c>
      <c r="R805" s="275">
        <v>0.29499999999999998</v>
      </c>
      <c r="S805" s="275">
        <v>0.29899999999999999</v>
      </c>
      <c r="T805" s="275">
        <v>0.66300000000000003</v>
      </c>
      <c r="U805" s="275">
        <v>0.68500000000000005</v>
      </c>
      <c r="V805" s="275">
        <v>0.753</v>
      </c>
      <c r="W805" s="275">
        <v>0.82099999999999995</v>
      </c>
      <c r="X805" s="275">
        <v>0.84599999999999997</v>
      </c>
      <c r="Y805" s="275">
        <v>1.4410000000000001</v>
      </c>
      <c r="Z805" s="275">
        <v>1.571</v>
      </c>
      <c r="AA805" s="275">
        <v>1.7509999999999999</v>
      </c>
    </row>
    <row r="806" spans="1:27">
      <c r="A806" s="273"/>
      <c r="B806" s="274"/>
      <c r="C806" s="278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</row>
    <row r="807" spans="1:27">
      <c r="A807" s="273">
        <v>273</v>
      </c>
      <c r="B807" s="274">
        <v>90</v>
      </c>
      <c r="C807" s="278" t="s">
        <v>199</v>
      </c>
      <c r="D807" s="275" t="s">
        <v>434</v>
      </c>
      <c r="E807" s="275" t="s">
        <v>435</v>
      </c>
      <c r="F807" s="275" t="s">
        <v>436</v>
      </c>
      <c r="G807" s="275" t="s">
        <v>437</v>
      </c>
      <c r="H807" s="275" t="s">
        <v>438</v>
      </c>
      <c r="I807" s="275" t="s">
        <v>439</v>
      </c>
      <c r="J807" s="275" t="s">
        <v>440</v>
      </c>
      <c r="K807" s="275" t="s">
        <v>441</v>
      </c>
      <c r="L807" s="275" t="s">
        <v>442</v>
      </c>
      <c r="M807" s="275" t="s">
        <v>443</v>
      </c>
      <c r="N807" s="275" t="s">
        <v>444</v>
      </c>
      <c r="O807" s="275" t="s">
        <v>445</v>
      </c>
      <c r="P807" s="275" t="s">
        <v>446</v>
      </c>
      <c r="Q807" s="275" t="s">
        <v>447</v>
      </c>
      <c r="R807" s="275" t="s">
        <v>451</v>
      </c>
      <c r="S807" s="275" t="s">
        <v>452</v>
      </c>
      <c r="T807" s="275" t="s">
        <v>448</v>
      </c>
      <c r="U807" s="275" t="s">
        <v>449</v>
      </c>
      <c r="V807" s="275" t="s">
        <v>450</v>
      </c>
      <c r="W807" s="275" t="s">
        <v>453</v>
      </c>
      <c r="X807" s="275" t="s">
        <v>454</v>
      </c>
      <c r="Y807" s="275" t="s">
        <v>455</v>
      </c>
      <c r="Z807" s="275" t="s">
        <v>456</v>
      </c>
      <c r="AA807" s="275" t="s">
        <v>457</v>
      </c>
    </row>
    <row r="808" spans="1:27">
      <c r="A808" s="273"/>
      <c r="B808" s="274"/>
      <c r="C808" s="278"/>
      <c r="D808" s="275">
        <v>8.0000000000000002E-3</v>
      </c>
      <c r="E808" s="275">
        <v>0.05</v>
      </c>
      <c r="F808" s="275">
        <v>3.6999999999999998E-2</v>
      </c>
      <c r="G808" s="275">
        <v>4.4999999999999998E-2</v>
      </c>
      <c r="H808" s="275">
        <v>0.14099999999999999</v>
      </c>
      <c r="I808" s="275">
        <v>0.13100000000000001</v>
      </c>
      <c r="J808" s="275">
        <v>0.14799999999999999</v>
      </c>
      <c r="K808" s="275">
        <v>0.115</v>
      </c>
      <c r="L808" s="275">
        <v>0.11899999999999999</v>
      </c>
      <c r="M808" s="275">
        <v>0.315</v>
      </c>
      <c r="N808" s="275">
        <v>0.312</v>
      </c>
      <c r="O808" s="275">
        <v>0.34499999999999997</v>
      </c>
      <c r="P808" s="275">
        <v>0.33400000000000002</v>
      </c>
      <c r="Q808" s="275">
        <v>0.34300000000000003</v>
      </c>
      <c r="R808" s="275">
        <v>0.29499999999999998</v>
      </c>
      <c r="S808" s="275">
        <v>0.29899999999999999</v>
      </c>
      <c r="T808" s="275">
        <v>0.66300000000000003</v>
      </c>
      <c r="U808" s="275">
        <v>0.68500000000000005</v>
      </c>
      <c r="V808" s="275">
        <v>0.753</v>
      </c>
      <c r="W808" s="275">
        <v>0.82099999999999995</v>
      </c>
      <c r="X808" s="275">
        <v>0.84599999999999997</v>
      </c>
      <c r="Y808" s="275">
        <v>1.4390000000000001</v>
      </c>
      <c r="Z808" s="275">
        <v>1.5660000000000001</v>
      </c>
      <c r="AA808" s="275">
        <v>1.742</v>
      </c>
    </row>
    <row r="809" spans="1:27">
      <c r="A809" s="273"/>
      <c r="B809" s="274"/>
      <c r="C809" s="278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</row>
    <row r="810" spans="1:27">
      <c r="A810" s="273">
        <v>274</v>
      </c>
      <c r="B810" s="274">
        <v>90</v>
      </c>
      <c r="C810" s="278" t="s">
        <v>200</v>
      </c>
      <c r="D810" s="275" t="s">
        <v>434</v>
      </c>
      <c r="E810" s="275" t="s">
        <v>435</v>
      </c>
      <c r="F810" s="275" t="s">
        <v>436</v>
      </c>
      <c r="G810" s="275" t="s">
        <v>437</v>
      </c>
      <c r="H810" s="275" t="s">
        <v>438</v>
      </c>
      <c r="I810" s="275" t="s">
        <v>439</v>
      </c>
      <c r="J810" s="275" t="s">
        <v>440</v>
      </c>
      <c r="K810" s="275" t="s">
        <v>441</v>
      </c>
      <c r="L810" s="275" t="s">
        <v>442</v>
      </c>
      <c r="M810" s="275" t="s">
        <v>443</v>
      </c>
      <c r="N810" s="275" t="s">
        <v>444</v>
      </c>
      <c r="O810" s="275" t="s">
        <v>445</v>
      </c>
      <c r="P810" s="275" t="s">
        <v>446</v>
      </c>
      <c r="Q810" s="275" t="s">
        <v>447</v>
      </c>
      <c r="R810" s="275" t="s">
        <v>448</v>
      </c>
      <c r="S810" s="275" t="s">
        <v>449</v>
      </c>
      <c r="T810" s="275" t="s">
        <v>450</v>
      </c>
      <c r="U810" s="275"/>
      <c r="V810" s="275"/>
      <c r="W810" s="275"/>
      <c r="X810" s="275"/>
      <c r="Y810" s="275"/>
      <c r="Z810" s="275"/>
      <c r="AA810" s="275"/>
    </row>
    <row r="811" spans="1:27">
      <c r="A811" s="273"/>
      <c r="B811" s="274"/>
      <c r="C811" s="278"/>
      <c r="D811" s="275">
        <v>8.0000000000000002E-3</v>
      </c>
      <c r="E811" s="275">
        <v>0.05</v>
      </c>
      <c r="F811" s="275">
        <v>3.6999999999999998E-2</v>
      </c>
      <c r="G811" s="275">
        <v>4.4999999999999998E-2</v>
      </c>
      <c r="H811" s="275">
        <v>0.14099999999999999</v>
      </c>
      <c r="I811" s="275">
        <v>0.13100000000000001</v>
      </c>
      <c r="J811" s="275">
        <v>0.14799999999999999</v>
      </c>
      <c r="K811" s="275">
        <v>0.115</v>
      </c>
      <c r="L811" s="275">
        <v>0.11899999999999999</v>
      </c>
      <c r="M811" s="275">
        <v>0.315</v>
      </c>
      <c r="N811" s="275">
        <v>0.312</v>
      </c>
      <c r="O811" s="275">
        <v>0.34499999999999997</v>
      </c>
      <c r="P811" s="275">
        <v>0.33400000000000002</v>
      </c>
      <c r="Q811" s="275">
        <v>0.34300000000000003</v>
      </c>
      <c r="R811" s="275">
        <v>0.66300000000000003</v>
      </c>
      <c r="S811" s="275">
        <v>0.68400000000000005</v>
      </c>
      <c r="T811" s="275">
        <v>0.752</v>
      </c>
      <c r="U811" s="275"/>
      <c r="V811" s="275"/>
      <c r="W811" s="275"/>
      <c r="X811" s="275"/>
      <c r="Y811" s="275"/>
      <c r="Z811" s="275"/>
      <c r="AA811" s="275"/>
    </row>
    <row r="812" spans="1:27">
      <c r="A812" s="273"/>
      <c r="B812" s="274"/>
      <c r="C812" s="278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</row>
    <row r="813" spans="1:27">
      <c r="A813" s="273">
        <v>275</v>
      </c>
      <c r="B813" s="274">
        <v>91</v>
      </c>
      <c r="C813" s="278" t="s">
        <v>400</v>
      </c>
      <c r="D813" s="275" t="s">
        <v>434</v>
      </c>
      <c r="E813" s="275" t="s">
        <v>435</v>
      </c>
      <c r="F813" s="275" t="s">
        <v>436</v>
      </c>
      <c r="G813" s="275" t="s">
        <v>437</v>
      </c>
      <c r="H813" s="275" t="s">
        <v>438</v>
      </c>
      <c r="I813" s="275" t="s">
        <v>439</v>
      </c>
      <c r="J813" s="275" t="s">
        <v>440</v>
      </c>
      <c r="K813" s="275" t="s">
        <v>441</v>
      </c>
      <c r="L813" s="275" t="s">
        <v>442</v>
      </c>
      <c r="M813" s="275" t="s">
        <v>443</v>
      </c>
      <c r="N813" s="275" t="s">
        <v>444</v>
      </c>
      <c r="O813" s="275" t="s">
        <v>445</v>
      </c>
      <c r="P813" s="275" t="s">
        <v>446</v>
      </c>
      <c r="Q813" s="275" t="s">
        <v>447</v>
      </c>
      <c r="R813" s="275" t="s">
        <v>451</v>
      </c>
      <c r="S813" s="275" t="s">
        <v>452</v>
      </c>
      <c r="T813" s="275" t="s">
        <v>448</v>
      </c>
      <c r="U813" s="275" t="s">
        <v>449</v>
      </c>
      <c r="V813" s="275" t="s">
        <v>450</v>
      </c>
      <c r="W813" s="275" t="s">
        <v>453</v>
      </c>
      <c r="X813" s="275" t="s">
        <v>454</v>
      </c>
      <c r="Y813" s="275" t="s">
        <v>455</v>
      </c>
      <c r="Z813" s="275" t="s">
        <v>456</v>
      </c>
      <c r="AA813" s="275" t="s">
        <v>457</v>
      </c>
    </row>
    <row r="814" spans="1:27">
      <c r="A814" s="273"/>
      <c r="B814" s="274"/>
      <c r="C814" s="278"/>
      <c r="D814" s="275">
        <v>8.0000000000000002E-3</v>
      </c>
      <c r="E814" s="275">
        <v>4.9000000000000002E-2</v>
      </c>
      <c r="F814" s="275">
        <v>3.5999999999999997E-2</v>
      </c>
      <c r="G814" s="275">
        <v>4.3999999999999997E-2</v>
      </c>
      <c r="H814" s="275">
        <v>0.13900000000000001</v>
      </c>
      <c r="I814" s="275">
        <v>0.129</v>
      </c>
      <c r="J814" s="275">
        <v>0.14599999999999999</v>
      </c>
      <c r="K814" s="275">
        <v>0.113</v>
      </c>
      <c r="L814" s="275">
        <v>0.11799999999999999</v>
      </c>
      <c r="M814" s="275">
        <v>0.31</v>
      </c>
      <c r="N814" s="275">
        <v>0.307</v>
      </c>
      <c r="O814" s="275">
        <v>0.34</v>
      </c>
      <c r="P814" s="275">
        <v>0.32800000000000001</v>
      </c>
      <c r="Q814" s="275">
        <v>0.33800000000000002</v>
      </c>
      <c r="R814" s="275">
        <v>0.28999999999999998</v>
      </c>
      <c r="S814" s="275">
        <v>0.29399999999999998</v>
      </c>
      <c r="T814" s="275">
        <v>0.65</v>
      </c>
      <c r="U814" s="275">
        <v>0.67</v>
      </c>
      <c r="V814" s="275">
        <v>0.73799999999999999</v>
      </c>
      <c r="W814" s="275">
        <v>0.80200000000000005</v>
      </c>
      <c r="X814" s="275">
        <v>0.82599999999999996</v>
      </c>
      <c r="Y814" s="275">
        <v>1.4019999999999999</v>
      </c>
      <c r="Z814" s="275">
        <v>1.522</v>
      </c>
      <c r="AA814" s="275">
        <v>1.6990000000000001</v>
      </c>
    </row>
    <row r="815" spans="1:27">
      <c r="A815" s="273"/>
      <c r="B815" s="274"/>
      <c r="C815" s="278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</row>
    <row r="816" spans="1:27">
      <c r="A816" s="273">
        <v>276</v>
      </c>
      <c r="B816" s="274">
        <v>91</v>
      </c>
      <c r="C816" s="278" t="s">
        <v>201</v>
      </c>
      <c r="D816" s="275" t="s">
        <v>434</v>
      </c>
      <c r="E816" s="275" t="s">
        <v>435</v>
      </c>
      <c r="F816" s="275" t="s">
        <v>436</v>
      </c>
      <c r="G816" s="275" t="s">
        <v>437</v>
      </c>
      <c r="H816" s="275" t="s">
        <v>438</v>
      </c>
      <c r="I816" s="275" t="s">
        <v>439</v>
      </c>
      <c r="J816" s="275" t="s">
        <v>440</v>
      </c>
      <c r="K816" s="275" t="s">
        <v>441</v>
      </c>
      <c r="L816" s="275" t="s">
        <v>442</v>
      </c>
      <c r="M816" s="275" t="s">
        <v>443</v>
      </c>
      <c r="N816" s="275" t="s">
        <v>444</v>
      </c>
      <c r="O816" s="275" t="s">
        <v>445</v>
      </c>
      <c r="P816" s="275" t="s">
        <v>446</v>
      </c>
      <c r="Q816" s="275" t="s">
        <v>447</v>
      </c>
      <c r="R816" s="275" t="s">
        <v>451</v>
      </c>
      <c r="S816" s="275" t="s">
        <v>452</v>
      </c>
      <c r="T816" s="275" t="s">
        <v>448</v>
      </c>
      <c r="U816" s="275" t="s">
        <v>449</v>
      </c>
      <c r="V816" s="275" t="s">
        <v>450</v>
      </c>
      <c r="W816" s="275" t="s">
        <v>453</v>
      </c>
      <c r="X816" s="275" t="s">
        <v>454</v>
      </c>
      <c r="Y816" s="275" t="s">
        <v>455</v>
      </c>
      <c r="Z816" s="275" t="s">
        <v>456</v>
      </c>
      <c r="AA816" s="275" t="s">
        <v>457</v>
      </c>
    </row>
    <row r="817" spans="1:27">
      <c r="A817" s="273"/>
      <c r="B817" s="274"/>
      <c r="C817" s="278"/>
      <c r="D817" s="275">
        <v>8.0000000000000002E-3</v>
      </c>
      <c r="E817" s="275">
        <v>4.9000000000000002E-2</v>
      </c>
      <c r="F817" s="275">
        <v>3.5999999999999997E-2</v>
      </c>
      <c r="G817" s="275">
        <v>4.3999999999999997E-2</v>
      </c>
      <c r="H817" s="275">
        <v>0.13900000000000001</v>
      </c>
      <c r="I817" s="275">
        <v>0.129</v>
      </c>
      <c r="J817" s="275">
        <v>0.14599999999999999</v>
      </c>
      <c r="K817" s="275">
        <v>0.113</v>
      </c>
      <c r="L817" s="275">
        <v>0.11799999999999999</v>
      </c>
      <c r="M817" s="275">
        <v>0.31</v>
      </c>
      <c r="N817" s="275">
        <v>0.307</v>
      </c>
      <c r="O817" s="275">
        <v>0.34</v>
      </c>
      <c r="P817" s="275">
        <v>0.32800000000000001</v>
      </c>
      <c r="Q817" s="275">
        <v>0.33800000000000002</v>
      </c>
      <c r="R817" s="275">
        <v>0.28999999999999998</v>
      </c>
      <c r="S817" s="275">
        <v>0.29399999999999998</v>
      </c>
      <c r="T817" s="275">
        <v>0.64900000000000002</v>
      </c>
      <c r="U817" s="275">
        <v>0.66900000000000004</v>
      </c>
      <c r="V817" s="275">
        <v>0.73699999999999999</v>
      </c>
      <c r="W817" s="275">
        <v>0.80100000000000005</v>
      </c>
      <c r="X817" s="275">
        <v>0.82399999999999995</v>
      </c>
      <c r="Y817" s="275">
        <v>1.389</v>
      </c>
      <c r="Z817" s="275">
        <v>1.5009999999999999</v>
      </c>
      <c r="AA817" s="275">
        <v>1.667</v>
      </c>
    </row>
    <row r="818" spans="1:27">
      <c r="A818" s="273"/>
      <c r="B818" s="274"/>
      <c r="C818" s="278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</row>
    <row r="819" spans="1:27">
      <c r="A819" s="273">
        <v>277</v>
      </c>
      <c r="B819" s="274">
        <v>91</v>
      </c>
      <c r="C819" s="278" t="s">
        <v>202</v>
      </c>
      <c r="D819" s="275" t="s">
        <v>434</v>
      </c>
      <c r="E819" s="275" t="s">
        <v>435</v>
      </c>
      <c r="F819" s="275" t="s">
        <v>436</v>
      </c>
      <c r="G819" s="275" t="s">
        <v>437</v>
      </c>
      <c r="H819" s="275" t="s">
        <v>438</v>
      </c>
      <c r="I819" s="275" t="s">
        <v>439</v>
      </c>
      <c r="J819" s="275" t="s">
        <v>440</v>
      </c>
      <c r="K819" s="275" t="s">
        <v>441</v>
      </c>
      <c r="L819" s="275" t="s">
        <v>442</v>
      </c>
      <c r="M819" s="275" t="s">
        <v>443</v>
      </c>
      <c r="N819" s="275" t="s">
        <v>444</v>
      </c>
      <c r="O819" s="275" t="s">
        <v>445</v>
      </c>
      <c r="P819" s="275" t="s">
        <v>446</v>
      </c>
      <c r="Q819" s="275" t="s">
        <v>447</v>
      </c>
      <c r="R819" s="275" t="s">
        <v>448</v>
      </c>
      <c r="S819" s="275" t="s">
        <v>449</v>
      </c>
      <c r="T819" s="275" t="s">
        <v>450</v>
      </c>
      <c r="U819" s="275"/>
      <c r="V819" s="275"/>
      <c r="W819" s="275"/>
      <c r="X819" s="275"/>
      <c r="Y819" s="275"/>
      <c r="Z819" s="275"/>
      <c r="AA819" s="275"/>
    </row>
    <row r="820" spans="1:27">
      <c r="A820" s="273"/>
      <c r="B820" s="274"/>
      <c r="C820" s="278"/>
      <c r="D820" s="275">
        <v>8.0000000000000002E-3</v>
      </c>
      <c r="E820" s="275">
        <v>4.9000000000000002E-2</v>
      </c>
      <c r="F820" s="275">
        <v>3.5999999999999997E-2</v>
      </c>
      <c r="G820" s="275">
        <v>4.3999999999999997E-2</v>
      </c>
      <c r="H820" s="275">
        <v>0.13900000000000001</v>
      </c>
      <c r="I820" s="275">
        <v>0.129</v>
      </c>
      <c r="J820" s="275">
        <v>0.14599999999999999</v>
      </c>
      <c r="K820" s="275">
        <v>0.113</v>
      </c>
      <c r="L820" s="275">
        <v>0.11799999999999999</v>
      </c>
      <c r="M820" s="275">
        <v>0.31</v>
      </c>
      <c r="N820" s="275">
        <v>0.30599999999999999</v>
      </c>
      <c r="O820" s="275">
        <v>0.33900000000000002</v>
      </c>
      <c r="P820" s="275">
        <v>0.32800000000000001</v>
      </c>
      <c r="Q820" s="275">
        <v>0.33800000000000002</v>
      </c>
      <c r="R820" s="275">
        <v>0.64900000000000002</v>
      </c>
      <c r="S820" s="275">
        <v>0.66900000000000004</v>
      </c>
      <c r="T820" s="275">
        <v>0.73699999999999999</v>
      </c>
      <c r="U820" s="275"/>
      <c r="V820" s="275"/>
      <c r="W820" s="275"/>
      <c r="X820" s="275"/>
      <c r="Y820" s="275"/>
      <c r="Z820" s="275"/>
      <c r="AA820" s="275"/>
    </row>
    <row r="821" spans="1:27">
      <c r="A821" s="273"/>
      <c r="B821" s="274"/>
      <c r="C821" s="278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</row>
    <row r="822" spans="1:27">
      <c r="A822" s="273">
        <v>278</v>
      </c>
      <c r="B822" s="274">
        <v>92</v>
      </c>
      <c r="C822" s="278" t="s">
        <v>401</v>
      </c>
      <c r="D822" s="275" t="s">
        <v>434</v>
      </c>
      <c r="E822" s="275" t="s">
        <v>435</v>
      </c>
      <c r="F822" s="275" t="s">
        <v>436</v>
      </c>
      <c r="G822" s="275" t="s">
        <v>437</v>
      </c>
      <c r="H822" s="275" t="s">
        <v>438</v>
      </c>
      <c r="I822" s="275" t="s">
        <v>439</v>
      </c>
      <c r="J822" s="275" t="s">
        <v>440</v>
      </c>
      <c r="K822" s="275" t="s">
        <v>441</v>
      </c>
      <c r="L822" s="275" t="s">
        <v>442</v>
      </c>
      <c r="M822" s="275" t="s">
        <v>443</v>
      </c>
      <c r="N822" s="275" t="s">
        <v>444</v>
      </c>
      <c r="O822" s="275" t="s">
        <v>445</v>
      </c>
      <c r="P822" s="275" t="s">
        <v>446</v>
      </c>
      <c r="Q822" s="275" t="s">
        <v>447</v>
      </c>
      <c r="R822" s="275" t="s">
        <v>451</v>
      </c>
      <c r="S822" s="275" t="s">
        <v>452</v>
      </c>
      <c r="T822" s="275" t="s">
        <v>448</v>
      </c>
      <c r="U822" s="275" t="s">
        <v>449</v>
      </c>
      <c r="V822" s="275" t="s">
        <v>450</v>
      </c>
      <c r="W822" s="275" t="s">
        <v>453</v>
      </c>
      <c r="X822" s="275" t="s">
        <v>454</v>
      </c>
      <c r="Y822" s="275" t="s">
        <v>455</v>
      </c>
      <c r="Z822" s="275" t="s">
        <v>456</v>
      </c>
      <c r="AA822" s="275" t="s">
        <v>457</v>
      </c>
    </row>
    <row r="823" spans="1:27">
      <c r="A823" s="273"/>
      <c r="B823" s="274"/>
      <c r="C823" s="278"/>
      <c r="D823" s="275">
        <v>8.0000000000000002E-3</v>
      </c>
      <c r="E823" s="275">
        <v>4.8000000000000001E-2</v>
      </c>
      <c r="F823" s="275">
        <v>3.5000000000000003E-2</v>
      </c>
      <c r="G823" s="275">
        <v>4.3999999999999997E-2</v>
      </c>
      <c r="H823" s="275">
        <v>0.13700000000000001</v>
      </c>
      <c r="I823" s="275">
        <v>0.127</v>
      </c>
      <c r="J823" s="275">
        <v>0.14399999999999999</v>
      </c>
      <c r="K823" s="275">
        <v>0.112</v>
      </c>
      <c r="L823" s="275">
        <v>0.11600000000000001</v>
      </c>
      <c r="M823" s="275">
        <v>0.30499999999999999</v>
      </c>
      <c r="N823" s="275">
        <v>0.30099999999999999</v>
      </c>
      <c r="O823" s="275">
        <v>0.33500000000000002</v>
      </c>
      <c r="P823" s="275">
        <v>0.32300000000000001</v>
      </c>
      <c r="Q823" s="275">
        <v>0.33300000000000002</v>
      </c>
      <c r="R823" s="275">
        <v>0.28399999999999997</v>
      </c>
      <c r="S823" s="275">
        <v>0.28899999999999998</v>
      </c>
      <c r="T823" s="275">
        <v>0.63600000000000001</v>
      </c>
      <c r="U823" s="275">
        <v>0.65500000000000003</v>
      </c>
      <c r="V823" s="275">
        <v>0.72399999999999998</v>
      </c>
      <c r="W823" s="275">
        <v>0.78300000000000003</v>
      </c>
      <c r="X823" s="275">
        <v>0.80700000000000005</v>
      </c>
      <c r="Y823" s="275">
        <v>1.367</v>
      </c>
      <c r="Z823" s="275">
        <v>1.482</v>
      </c>
      <c r="AA823" s="275">
        <v>1.661</v>
      </c>
    </row>
    <row r="824" spans="1:27">
      <c r="A824" s="273"/>
      <c r="B824" s="274"/>
      <c r="C824" s="278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</row>
    <row r="825" spans="1:27">
      <c r="A825" s="273">
        <v>279</v>
      </c>
      <c r="B825" s="274">
        <v>92</v>
      </c>
      <c r="C825" s="278" t="s">
        <v>203</v>
      </c>
      <c r="D825" s="275" t="s">
        <v>434</v>
      </c>
      <c r="E825" s="275" t="s">
        <v>435</v>
      </c>
      <c r="F825" s="275" t="s">
        <v>436</v>
      </c>
      <c r="G825" s="275" t="s">
        <v>437</v>
      </c>
      <c r="H825" s="275" t="s">
        <v>438</v>
      </c>
      <c r="I825" s="275" t="s">
        <v>439</v>
      </c>
      <c r="J825" s="275" t="s">
        <v>440</v>
      </c>
      <c r="K825" s="275" t="s">
        <v>441</v>
      </c>
      <c r="L825" s="275" t="s">
        <v>442</v>
      </c>
      <c r="M825" s="275" t="s">
        <v>443</v>
      </c>
      <c r="N825" s="275" t="s">
        <v>444</v>
      </c>
      <c r="O825" s="275" t="s">
        <v>445</v>
      </c>
      <c r="P825" s="275" t="s">
        <v>446</v>
      </c>
      <c r="Q825" s="275" t="s">
        <v>447</v>
      </c>
      <c r="R825" s="275" t="s">
        <v>451</v>
      </c>
      <c r="S825" s="275" t="s">
        <v>452</v>
      </c>
      <c r="T825" s="275" t="s">
        <v>448</v>
      </c>
      <c r="U825" s="275" t="s">
        <v>449</v>
      </c>
      <c r="V825" s="275" t="s">
        <v>450</v>
      </c>
      <c r="W825" s="275" t="s">
        <v>453</v>
      </c>
      <c r="X825" s="275" t="s">
        <v>454</v>
      </c>
      <c r="Y825" s="275" t="s">
        <v>455</v>
      </c>
      <c r="Z825" s="275" t="s">
        <v>456</v>
      </c>
      <c r="AA825" s="275" t="s">
        <v>457</v>
      </c>
    </row>
    <row r="826" spans="1:27">
      <c r="A826" s="273"/>
      <c r="B826" s="274"/>
      <c r="C826" s="278"/>
      <c r="D826" s="275">
        <v>8.0000000000000002E-3</v>
      </c>
      <c r="E826" s="275">
        <v>4.8000000000000001E-2</v>
      </c>
      <c r="F826" s="275">
        <v>3.5000000000000003E-2</v>
      </c>
      <c r="G826" s="275">
        <v>4.3999999999999997E-2</v>
      </c>
      <c r="H826" s="275">
        <v>0.13700000000000001</v>
      </c>
      <c r="I826" s="275">
        <v>0.127</v>
      </c>
      <c r="J826" s="275">
        <v>0.14399999999999999</v>
      </c>
      <c r="K826" s="275">
        <v>0.112</v>
      </c>
      <c r="L826" s="275">
        <v>0.11600000000000001</v>
      </c>
      <c r="M826" s="275">
        <v>0.30499999999999999</v>
      </c>
      <c r="N826" s="275">
        <v>0.30099999999999999</v>
      </c>
      <c r="O826" s="275">
        <v>0.33500000000000002</v>
      </c>
      <c r="P826" s="275">
        <v>0.32300000000000001</v>
      </c>
      <c r="Q826" s="275">
        <v>0.33300000000000002</v>
      </c>
      <c r="R826" s="275">
        <v>0.28399999999999997</v>
      </c>
      <c r="S826" s="275">
        <v>0.28899999999999998</v>
      </c>
      <c r="T826" s="275">
        <v>0.63600000000000001</v>
      </c>
      <c r="U826" s="275">
        <v>0.65500000000000003</v>
      </c>
      <c r="V826" s="275">
        <v>0.72299999999999998</v>
      </c>
      <c r="W826" s="275">
        <v>0.78200000000000003</v>
      </c>
      <c r="X826" s="275">
        <v>0.80600000000000005</v>
      </c>
      <c r="Y826" s="275">
        <v>1.355</v>
      </c>
      <c r="Z826" s="275">
        <v>1.4630000000000001</v>
      </c>
      <c r="AA826" s="275">
        <v>1.63</v>
      </c>
    </row>
    <row r="827" spans="1:27">
      <c r="A827" s="273"/>
      <c r="B827" s="274"/>
      <c r="C827" s="278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</row>
    <row r="828" spans="1:27">
      <c r="A828" s="273">
        <v>280</v>
      </c>
      <c r="B828" s="274">
        <v>92</v>
      </c>
      <c r="C828" s="278" t="s">
        <v>204</v>
      </c>
      <c r="D828" s="275" t="s">
        <v>434</v>
      </c>
      <c r="E828" s="275" t="s">
        <v>435</v>
      </c>
      <c r="F828" s="275" t="s">
        <v>436</v>
      </c>
      <c r="G828" s="275" t="s">
        <v>437</v>
      </c>
      <c r="H828" s="275" t="s">
        <v>438</v>
      </c>
      <c r="I828" s="275" t="s">
        <v>439</v>
      </c>
      <c r="J828" s="275" t="s">
        <v>440</v>
      </c>
      <c r="K828" s="275" t="s">
        <v>441</v>
      </c>
      <c r="L828" s="275" t="s">
        <v>442</v>
      </c>
      <c r="M828" s="275" t="s">
        <v>443</v>
      </c>
      <c r="N828" s="275" t="s">
        <v>444</v>
      </c>
      <c r="O828" s="275" t="s">
        <v>445</v>
      </c>
      <c r="P828" s="275" t="s">
        <v>446</v>
      </c>
      <c r="Q828" s="275" t="s">
        <v>447</v>
      </c>
      <c r="R828" s="275" t="s">
        <v>451</v>
      </c>
      <c r="S828" s="275" t="s">
        <v>452</v>
      </c>
      <c r="T828" s="275" t="s">
        <v>448</v>
      </c>
      <c r="U828" s="275" t="s">
        <v>449</v>
      </c>
      <c r="V828" s="275" t="s">
        <v>450</v>
      </c>
      <c r="W828" s="275" t="s">
        <v>453</v>
      </c>
      <c r="X828" s="275" t="s">
        <v>454</v>
      </c>
      <c r="Y828" s="275" t="s">
        <v>455</v>
      </c>
      <c r="Z828" s="275" t="s">
        <v>456</v>
      </c>
      <c r="AA828" s="275" t="s">
        <v>457</v>
      </c>
    </row>
    <row r="829" spans="1:27">
      <c r="A829" s="273"/>
      <c r="B829" s="274"/>
      <c r="C829" s="278"/>
      <c r="D829" s="275">
        <v>8.0000000000000002E-3</v>
      </c>
      <c r="E829" s="275">
        <v>4.8000000000000001E-2</v>
      </c>
      <c r="F829" s="275">
        <v>3.5000000000000003E-2</v>
      </c>
      <c r="G829" s="275">
        <v>4.3999999999999997E-2</v>
      </c>
      <c r="H829" s="275">
        <v>0.13700000000000001</v>
      </c>
      <c r="I829" s="275">
        <v>0.127</v>
      </c>
      <c r="J829" s="275">
        <v>0.14399999999999999</v>
      </c>
      <c r="K829" s="275">
        <v>0.112</v>
      </c>
      <c r="L829" s="275">
        <v>0.11600000000000001</v>
      </c>
      <c r="M829" s="275">
        <v>0.30499999999999999</v>
      </c>
      <c r="N829" s="275">
        <v>0.30099999999999999</v>
      </c>
      <c r="O829" s="275">
        <v>0.33500000000000002</v>
      </c>
      <c r="P829" s="275">
        <v>0.32300000000000001</v>
      </c>
      <c r="Q829" s="275">
        <v>0.33300000000000002</v>
      </c>
      <c r="R829" s="275">
        <v>0.28399999999999997</v>
      </c>
      <c r="S829" s="275">
        <v>0.28899999999999998</v>
      </c>
      <c r="T829" s="275">
        <v>0.63600000000000001</v>
      </c>
      <c r="U829" s="275">
        <v>0.65400000000000003</v>
      </c>
      <c r="V829" s="275">
        <v>0.72199999999999998</v>
      </c>
      <c r="W829" s="275">
        <v>0.78100000000000003</v>
      </c>
      <c r="X829" s="275">
        <v>0.80400000000000005</v>
      </c>
      <c r="Y829" s="275">
        <v>1.3420000000000001</v>
      </c>
      <c r="Z829" s="275">
        <v>1.4419999999999999</v>
      </c>
      <c r="AA829" s="275">
        <v>1.599</v>
      </c>
    </row>
    <row r="830" spans="1:27">
      <c r="A830" s="273"/>
      <c r="B830" s="274"/>
      <c r="C830" s="278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</row>
    <row r="831" spans="1:27">
      <c r="A831" s="273">
        <v>281</v>
      </c>
      <c r="B831" s="274">
        <v>92</v>
      </c>
      <c r="C831" s="278" t="s">
        <v>205</v>
      </c>
      <c r="D831" s="275" t="s">
        <v>434</v>
      </c>
      <c r="E831" s="275" t="s">
        <v>435</v>
      </c>
      <c r="F831" s="275" t="s">
        <v>436</v>
      </c>
      <c r="G831" s="275" t="s">
        <v>437</v>
      </c>
      <c r="H831" s="275" t="s">
        <v>438</v>
      </c>
      <c r="I831" s="275" t="s">
        <v>439</v>
      </c>
      <c r="J831" s="275" t="s">
        <v>440</v>
      </c>
      <c r="K831" s="275" t="s">
        <v>441</v>
      </c>
      <c r="L831" s="275" t="s">
        <v>442</v>
      </c>
      <c r="M831" s="275" t="s">
        <v>443</v>
      </c>
      <c r="N831" s="275" t="s">
        <v>444</v>
      </c>
      <c r="O831" s="275" t="s">
        <v>445</v>
      </c>
      <c r="P831" s="275" t="s">
        <v>446</v>
      </c>
      <c r="Q831" s="275" t="s">
        <v>447</v>
      </c>
      <c r="R831" s="275" t="s">
        <v>448</v>
      </c>
      <c r="S831" s="275" t="s">
        <v>449</v>
      </c>
      <c r="T831" s="275" t="s">
        <v>450</v>
      </c>
      <c r="U831" s="275"/>
      <c r="V831" s="275"/>
      <c r="W831" s="275"/>
      <c r="X831" s="275"/>
      <c r="Y831" s="275"/>
      <c r="Z831" s="275"/>
      <c r="AA831" s="275"/>
    </row>
    <row r="832" spans="1:27">
      <c r="A832" s="273"/>
      <c r="B832" s="274"/>
      <c r="C832" s="278"/>
      <c r="D832" s="275">
        <v>8.0000000000000002E-3</v>
      </c>
      <c r="E832" s="275">
        <v>4.8000000000000001E-2</v>
      </c>
      <c r="F832" s="275">
        <v>3.5000000000000003E-2</v>
      </c>
      <c r="G832" s="275">
        <v>4.3999999999999997E-2</v>
      </c>
      <c r="H832" s="275">
        <v>0.13700000000000001</v>
      </c>
      <c r="I832" s="275">
        <v>0.127</v>
      </c>
      <c r="J832" s="275">
        <v>0.14399999999999999</v>
      </c>
      <c r="K832" s="275">
        <v>0.112</v>
      </c>
      <c r="L832" s="275">
        <v>0.11600000000000001</v>
      </c>
      <c r="M832" s="275">
        <v>0.30499999999999999</v>
      </c>
      <c r="N832" s="275">
        <v>0.30099999999999999</v>
      </c>
      <c r="O832" s="275">
        <v>0.33400000000000002</v>
      </c>
      <c r="P832" s="275">
        <v>0.32300000000000001</v>
      </c>
      <c r="Q832" s="275">
        <v>0.33300000000000002</v>
      </c>
      <c r="R832" s="275">
        <v>0.63500000000000001</v>
      </c>
      <c r="S832" s="275">
        <v>0.65400000000000003</v>
      </c>
      <c r="T832" s="275">
        <v>0.72099999999999997</v>
      </c>
      <c r="U832" s="275"/>
      <c r="V832" s="275"/>
      <c r="W832" s="275"/>
      <c r="X832" s="275"/>
      <c r="Y832" s="275"/>
      <c r="Z832" s="275"/>
      <c r="AA832" s="275"/>
    </row>
    <row r="833" spans="1:27">
      <c r="A833" s="273"/>
      <c r="B833" s="274"/>
      <c r="C833" s="278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</row>
    <row r="834" spans="1:27">
      <c r="A834" s="273">
        <v>282</v>
      </c>
      <c r="B834" s="274">
        <v>93</v>
      </c>
      <c r="C834" s="278" t="s">
        <v>402</v>
      </c>
      <c r="D834" s="275" t="s">
        <v>434</v>
      </c>
      <c r="E834" s="275" t="s">
        <v>435</v>
      </c>
      <c r="F834" s="275" t="s">
        <v>436</v>
      </c>
      <c r="G834" s="275" t="s">
        <v>437</v>
      </c>
      <c r="H834" s="275" t="s">
        <v>438</v>
      </c>
      <c r="I834" s="275" t="s">
        <v>439</v>
      </c>
      <c r="J834" s="275" t="s">
        <v>440</v>
      </c>
      <c r="K834" s="275" t="s">
        <v>441</v>
      </c>
      <c r="L834" s="275" t="s">
        <v>442</v>
      </c>
      <c r="M834" s="275" t="s">
        <v>443</v>
      </c>
      <c r="N834" s="275" t="s">
        <v>444</v>
      </c>
      <c r="O834" s="275" t="s">
        <v>445</v>
      </c>
      <c r="P834" s="275" t="s">
        <v>446</v>
      </c>
      <c r="Q834" s="275" t="s">
        <v>447</v>
      </c>
      <c r="R834" s="275" t="s">
        <v>451</v>
      </c>
      <c r="S834" s="275" t="s">
        <v>452</v>
      </c>
      <c r="T834" s="275" t="s">
        <v>448</v>
      </c>
      <c r="U834" s="275" t="s">
        <v>449</v>
      </c>
      <c r="V834" s="275" t="s">
        <v>450</v>
      </c>
      <c r="W834" s="275" t="s">
        <v>453</v>
      </c>
      <c r="X834" s="275" t="s">
        <v>454</v>
      </c>
      <c r="Y834" s="275" t="s">
        <v>455</v>
      </c>
      <c r="Z834" s="275" t="s">
        <v>456</v>
      </c>
      <c r="AA834" s="275" t="s">
        <v>457</v>
      </c>
    </row>
    <row r="835" spans="1:27">
      <c r="A835" s="273"/>
      <c r="B835" s="274"/>
      <c r="C835" s="278"/>
      <c r="D835" s="275">
        <v>8.0000000000000002E-3</v>
      </c>
      <c r="E835" s="275">
        <v>4.8000000000000001E-2</v>
      </c>
      <c r="F835" s="275">
        <v>3.5000000000000003E-2</v>
      </c>
      <c r="G835" s="275">
        <v>4.2999999999999997E-2</v>
      </c>
      <c r="H835" s="275">
        <v>0.13500000000000001</v>
      </c>
      <c r="I835" s="275">
        <v>0.125</v>
      </c>
      <c r="J835" s="275">
        <v>0.14199999999999999</v>
      </c>
      <c r="K835" s="275">
        <v>0.11</v>
      </c>
      <c r="L835" s="275">
        <v>0.115</v>
      </c>
      <c r="M835" s="275">
        <v>0.3</v>
      </c>
      <c r="N835" s="275">
        <v>0.29599999999999999</v>
      </c>
      <c r="O835" s="275">
        <v>0.33</v>
      </c>
      <c r="P835" s="275">
        <v>0.318</v>
      </c>
      <c r="Q835" s="275">
        <v>0.32800000000000001</v>
      </c>
      <c r="R835" s="275">
        <v>0.27900000000000003</v>
      </c>
      <c r="S835" s="275">
        <v>0.28299999999999997</v>
      </c>
      <c r="T835" s="275">
        <v>0.624</v>
      </c>
      <c r="U835" s="275">
        <v>0.64100000000000001</v>
      </c>
      <c r="V835" s="275">
        <v>0.71</v>
      </c>
      <c r="W835" s="275">
        <v>0.76600000000000001</v>
      </c>
      <c r="X835" s="275">
        <v>0.79</v>
      </c>
      <c r="Y835" s="275">
        <v>1.335</v>
      </c>
      <c r="Z835" s="275">
        <v>1.4450000000000001</v>
      </c>
      <c r="AA835" s="275">
        <v>1.6259999999999999</v>
      </c>
    </row>
    <row r="836" spans="1:27">
      <c r="A836" s="273"/>
      <c r="B836" s="274"/>
      <c r="C836" s="278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</row>
    <row r="837" spans="1:27">
      <c r="A837" s="273">
        <v>283</v>
      </c>
      <c r="B837" s="274">
        <v>93</v>
      </c>
      <c r="C837" s="278" t="s">
        <v>206</v>
      </c>
      <c r="D837" s="275" t="s">
        <v>434</v>
      </c>
      <c r="E837" s="275" t="s">
        <v>435</v>
      </c>
      <c r="F837" s="275" t="s">
        <v>436</v>
      </c>
      <c r="G837" s="275" t="s">
        <v>437</v>
      </c>
      <c r="H837" s="275" t="s">
        <v>438</v>
      </c>
      <c r="I837" s="275" t="s">
        <v>439</v>
      </c>
      <c r="J837" s="275" t="s">
        <v>440</v>
      </c>
      <c r="K837" s="275" t="s">
        <v>441</v>
      </c>
      <c r="L837" s="275" t="s">
        <v>442</v>
      </c>
      <c r="M837" s="275" t="s">
        <v>443</v>
      </c>
      <c r="N837" s="275" t="s">
        <v>444</v>
      </c>
      <c r="O837" s="275" t="s">
        <v>445</v>
      </c>
      <c r="P837" s="275" t="s">
        <v>446</v>
      </c>
      <c r="Q837" s="275" t="s">
        <v>447</v>
      </c>
      <c r="R837" s="275" t="s">
        <v>451</v>
      </c>
      <c r="S837" s="275" t="s">
        <v>452</v>
      </c>
      <c r="T837" s="275" t="s">
        <v>448</v>
      </c>
      <c r="U837" s="275" t="s">
        <v>449</v>
      </c>
      <c r="V837" s="275" t="s">
        <v>450</v>
      </c>
      <c r="W837" s="275" t="s">
        <v>453</v>
      </c>
      <c r="X837" s="275" t="s">
        <v>454</v>
      </c>
      <c r="Y837" s="275" t="s">
        <v>455</v>
      </c>
      <c r="Z837" s="275" t="s">
        <v>456</v>
      </c>
      <c r="AA837" s="275" t="s">
        <v>457</v>
      </c>
    </row>
    <row r="838" spans="1:27">
      <c r="A838" s="273"/>
      <c r="B838" s="274"/>
      <c r="C838" s="278"/>
      <c r="D838" s="275">
        <v>8.0000000000000002E-3</v>
      </c>
      <c r="E838" s="275">
        <v>4.8000000000000001E-2</v>
      </c>
      <c r="F838" s="275">
        <v>3.5000000000000003E-2</v>
      </c>
      <c r="G838" s="275">
        <v>4.2999999999999997E-2</v>
      </c>
      <c r="H838" s="275">
        <v>0.13500000000000001</v>
      </c>
      <c r="I838" s="275">
        <v>0.125</v>
      </c>
      <c r="J838" s="275">
        <v>0.14199999999999999</v>
      </c>
      <c r="K838" s="275">
        <v>0.11</v>
      </c>
      <c r="L838" s="275">
        <v>0.115</v>
      </c>
      <c r="M838" s="275">
        <v>0.3</v>
      </c>
      <c r="N838" s="275">
        <v>0.29599999999999999</v>
      </c>
      <c r="O838" s="275">
        <v>0.33</v>
      </c>
      <c r="P838" s="275">
        <v>0.318</v>
      </c>
      <c r="Q838" s="275">
        <v>0.32800000000000001</v>
      </c>
      <c r="R838" s="275">
        <v>0.27900000000000003</v>
      </c>
      <c r="S838" s="275">
        <v>0.28299999999999997</v>
      </c>
      <c r="T838" s="275">
        <v>0.624</v>
      </c>
      <c r="U838" s="275">
        <v>0.64100000000000001</v>
      </c>
      <c r="V838" s="275">
        <v>0.70899999999999996</v>
      </c>
      <c r="W838" s="275">
        <v>0.76500000000000001</v>
      </c>
      <c r="X838" s="275">
        <v>0.78800000000000003</v>
      </c>
      <c r="Y838" s="275">
        <v>1.3240000000000001</v>
      </c>
      <c r="Z838" s="275">
        <v>1.427</v>
      </c>
      <c r="AA838" s="275">
        <v>1.5960000000000001</v>
      </c>
    </row>
    <row r="839" spans="1:27">
      <c r="A839" s="273"/>
      <c r="B839" s="274"/>
      <c r="C839" s="278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</row>
    <row r="840" spans="1:27">
      <c r="A840" s="273">
        <v>284</v>
      </c>
      <c r="B840" s="274">
        <v>93</v>
      </c>
      <c r="C840" s="278" t="s">
        <v>207</v>
      </c>
      <c r="D840" s="275" t="s">
        <v>434</v>
      </c>
      <c r="E840" s="275" t="s">
        <v>435</v>
      </c>
      <c r="F840" s="275" t="s">
        <v>436</v>
      </c>
      <c r="G840" s="275" t="s">
        <v>437</v>
      </c>
      <c r="H840" s="275" t="s">
        <v>438</v>
      </c>
      <c r="I840" s="275" t="s">
        <v>439</v>
      </c>
      <c r="J840" s="275" t="s">
        <v>440</v>
      </c>
      <c r="K840" s="275" t="s">
        <v>441</v>
      </c>
      <c r="L840" s="275" t="s">
        <v>442</v>
      </c>
      <c r="M840" s="275" t="s">
        <v>443</v>
      </c>
      <c r="N840" s="275" t="s">
        <v>444</v>
      </c>
      <c r="O840" s="275" t="s">
        <v>445</v>
      </c>
      <c r="P840" s="275" t="s">
        <v>446</v>
      </c>
      <c r="Q840" s="275" t="s">
        <v>447</v>
      </c>
      <c r="R840" s="275" t="s">
        <v>451</v>
      </c>
      <c r="S840" s="275" t="s">
        <v>452</v>
      </c>
      <c r="T840" s="275" t="s">
        <v>448</v>
      </c>
      <c r="U840" s="275" t="s">
        <v>449</v>
      </c>
      <c r="V840" s="275" t="s">
        <v>450</v>
      </c>
      <c r="W840" s="275" t="s">
        <v>453</v>
      </c>
      <c r="X840" s="275" t="s">
        <v>454</v>
      </c>
      <c r="Y840" s="275" t="s">
        <v>455</v>
      </c>
      <c r="Z840" s="275" t="s">
        <v>456</v>
      </c>
      <c r="AA840" s="275" t="s">
        <v>457</v>
      </c>
    </row>
    <row r="841" spans="1:27">
      <c r="A841" s="273"/>
      <c r="B841" s="274"/>
      <c r="C841" s="278"/>
      <c r="D841" s="275">
        <v>8.0000000000000002E-3</v>
      </c>
      <c r="E841" s="275">
        <v>4.8000000000000001E-2</v>
      </c>
      <c r="F841" s="275">
        <v>3.5000000000000003E-2</v>
      </c>
      <c r="G841" s="275">
        <v>4.2999999999999997E-2</v>
      </c>
      <c r="H841" s="275">
        <v>0.13500000000000001</v>
      </c>
      <c r="I841" s="275">
        <v>0.125</v>
      </c>
      <c r="J841" s="275">
        <v>0.14199999999999999</v>
      </c>
      <c r="K841" s="275">
        <v>0.11</v>
      </c>
      <c r="L841" s="275">
        <v>0.115</v>
      </c>
      <c r="M841" s="275">
        <v>0.3</v>
      </c>
      <c r="N841" s="275">
        <v>0.29599999999999999</v>
      </c>
      <c r="O841" s="275">
        <v>0.33</v>
      </c>
      <c r="P841" s="275">
        <v>0.318</v>
      </c>
      <c r="Q841" s="275">
        <v>0.32800000000000001</v>
      </c>
      <c r="R841" s="275">
        <v>0.27900000000000003</v>
      </c>
      <c r="S841" s="275">
        <v>0.28299999999999997</v>
      </c>
      <c r="T841" s="275">
        <v>0.623</v>
      </c>
      <c r="U841" s="275">
        <v>0.64100000000000001</v>
      </c>
      <c r="V841" s="275">
        <v>0.70899999999999996</v>
      </c>
      <c r="W841" s="275">
        <v>0.76400000000000001</v>
      </c>
      <c r="X841" s="275">
        <v>0.78700000000000003</v>
      </c>
      <c r="Y841" s="275">
        <v>1.3109999999999999</v>
      </c>
      <c r="Z841" s="275">
        <v>1.4079999999999999</v>
      </c>
      <c r="AA841" s="275">
        <v>1.5669999999999999</v>
      </c>
    </row>
    <row r="842" spans="1:27">
      <c r="A842" s="273"/>
      <c r="B842" s="274"/>
      <c r="C842" s="278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</row>
    <row r="843" spans="1:27">
      <c r="A843" s="273">
        <v>285</v>
      </c>
      <c r="B843" s="274">
        <v>93</v>
      </c>
      <c r="C843" s="278" t="s">
        <v>208</v>
      </c>
      <c r="D843" s="275" t="s">
        <v>434</v>
      </c>
      <c r="E843" s="275" t="s">
        <v>435</v>
      </c>
      <c r="F843" s="275" t="s">
        <v>436</v>
      </c>
      <c r="G843" s="275" t="s">
        <v>437</v>
      </c>
      <c r="H843" s="275" t="s">
        <v>438</v>
      </c>
      <c r="I843" s="275" t="s">
        <v>439</v>
      </c>
      <c r="J843" s="275" t="s">
        <v>440</v>
      </c>
      <c r="K843" s="275" t="s">
        <v>441</v>
      </c>
      <c r="L843" s="275" t="s">
        <v>442</v>
      </c>
      <c r="M843" s="275" t="s">
        <v>443</v>
      </c>
      <c r="N843" s="275" t="s">
        <v>444</v>
      </c>
      <c r="O843" s="275" t="s">
        <v>445</v>
      </c>
      <c r="P843" s="275" t="s">
        <v>446</v>
      </c>
      <c r="Q843" s="275" t="s">
        <v>447</v>
      </c>
      <c r="R843" s="275" t="s">
        <v>451</v>
      </c>
      <c r="S843" s="275" t="s">
        <v>452</v>
      </c>
      <c r="T843" s="275" t="s">
        <v>448</v>
      </c>
      <c r="U843" s="275" t="s">
        <v>449</v>
      </c>
      <c r="V843" s="275" t="s">
        <v>450</v>
      </c>
      <c r="W843" s="275" t="s">
        <v>453</v>
      </c>
      <c r="X843" s="275" t="s">
        <v>454</v>
      </c>
      <c r="Y843" s="275" t="s">
        <v>455</v>
      </c>
      <c r="Z843" s="275" t="s">
        <v>456</v>
      </c>
      <c r="AA843" s="275" t="s">
        <v>457</v>
      </c>
    </row>
    <row r="844" spans="1:27">
      <c r="A844" s="273"/>
      <c r="B844" s="274"/>
      <c r="C844" s="278"/>
      <c r="D844" s="275">
        <v>8.0000000000000002E-3</v>
      </c>
      <c r="E844" s="275">
        <v>4.8000000000000001E-2</v>
      </c>
      <c r="F844" s="275">
        <v>3.5000000000000003E-2</v>
      </c>
      <c r="G844" s="275">
        <v>4.2999999999999997E-2</v>
      </c>
      <c r="H844" s="275">
        <v>0.13500000000000001</v>
      </c>
      <c r="I844" s="275">
        <v>0.125</v>
      </c>
      <c r="J844" s="275">
        <v>0.14199999999999999</v>
      </c>
      <c r="K844" s="275">
        <v>0.11</v>
      </c>
      <c r="L844" s="275">
        <v>0.115</v>
      </c>
      <c r="M844" s="275">
        <v>0.3</v>
      </c>
      <c r="N844" s="275">
        <v>0.29599999999999999</v>
      </c>
      <c r="O844" s="275">
        <v>0.33</v>
      </c>
      <c r="P844" s="275">
        <v>0.318</v>
      </c>
      <c r="Q844" s="275">
        <v>0.32800000000000001</v>
      </c>
      <c r="R844" s="275">
        <v>0.27900000000000003</v>
      </c>
      <c r="S844" s="275">
        <v>0.28299999999999997</v>
      </c>
      <c r="T844" s="275">
        <v>0.623</v>
      </c>
      <c r="U844" s="275">
        <v>0.64</v>
      </c>
      <c r="V844" s="275">
        <v>0.70799999999999996</v>
      </c>
      <c r="W844" s="275">
        <v>0.76200000000000001</v>
      </c>
      <c r="X844" s="275">
        <v>0.78500000000000003</v>
      </c>
      <c r="Y844" s="275">
        <v>1.298</v>
      </c>
      <c r="Z844" s="275">
        <v>1.3879999999999999</v>
      </c>
      <c r="AA844" s="275">
        <v>1.5389999999999999</v>
      </c>
    </row>
    <row r="845" spans="1:27">
      <c r="A845" s="273"/>
      <c r="B845" s="274"/>
      <c r="C845" s="278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</row>
    <row r="846" spans="1:27">
      <c r="A846" s="273">
        <v>286</v>
      </c>
      <c r="B846" s="274">
        <v>93</v>
      </c>
      <c r="C846" s="278" t="s">
        <v>209</v>
      </c>
      <c r="D846" s="275" t="s">
        <v>434</v>
      </c>
      <c r="E846" s="275" t="s">
        <v>435</v>
      </c>
      <c r="F846" s="275" t="s">
        <v>436</v>
      </c>
      <c r="G846" s="275" t="s">
        <v>437</v>
      </c>
      <c r="H846" s="275" t="s">
        <v>438</v>
      </c>
      <c r="I846" s="275" t="s">
        <v>439</v>
      </c>
      <c r="J846" s="275" t="s">
        <v>440</v>
      </c>
      <c r="K846" s="275" t="s">
        <v>441</v>
      </c>
      <c r="L846" s="275" t="s">
        <v>442</v>
      </c>
      <c r="M846" s="275" t="s">
        <v>443</v>
      </c>
      <c r="N846" s="275" t="s">
        <v>444</v>
      </c>
      <c r="O846" s="275" t="s">
        <v>445</v>
      </c>
      <c r="P846" s="275" t="s">
        <v>446</v>
      </c>
      <c r="Q846" s="275" t="s">
        <v>447</v>
      </c>
      <c r="R846" s="275" t="s">
        <v>448</v>
      </c>
      <c r="S846" s="275" t="s">
        <v>449</v>
      </c>
      <c r="T846" s="275" t="s">
        <v>450</v>
      </c>
      <c r="U846" s="275"/>
      <c r="V846" s="275"/>
      <c r="W846" s="275"/>
      <c r="X846" s="275"/>
      <c r="Y846" s="275"/>
      <c r="Z846" s="275"/>
      <c r="AA846" s="275"/>
    </row>
    <row r="847" spans="1:27">
      <c r="A847" s="273"/>
      <c r="B847" s="274"/>
      <c r="C847" s="278"/>
      <c r="D847" s="275">
        <v>8.0000000000000002E-3</v>
      </c>
      <c r="E847" s="275">
        <v>4.8000000000000001E-2</v>
      </c>
      <c r="F847" s="275">
        <v>3.5000000000000003E-2</v>
      </c>
      <c r="G847" s="275">
        <v>4.2999999999999997E-2</v>
      </c>
      <c r="H847" s="275">
        <v>0.13500000000000001</v>
      </c>
      <c r="I847" s="275">
        <v>0.125</v>
      </c>
      <c r="J847" s="275">
        <v>0.14199999999999999</v>
      </c>
      <c r="K847" s="275">
        <v>0.11</v>
      </c>
      <c r="L847" s="275">
        <v>0.115</v>
      </c>
      <c r="M847" s="275">
        <v>0.3</v>
      </c>
      <c r="N847" s="275">
        <v>0.29599999999999999</v>
      </c>
      <c r="O847" s="275">
        <v>0.33</v>
      </c>
      <c r="P847" s="275">
        <v>0.318</v>
      </c>
      <c r="Q847" s="275">
        <v>0.32800000000000001</v>
      </c>
      <c r="R847" s="275">
        <v>0.622</v>
      </c>
      <c r="S847" s="275">
        <v>0.64</v>
      </c>
      <c r="T847" s="275">
        <v>0.70699999999999996</v>
      </c>
      <c r="U847" s="275"/>
      <c r="V847" s="275"/>
      <c r="W847" s="275"/>
      <c r="X847" s="275"/>
      <c r="Y847" s="275"/>
      <c r="Z847" s="275"/>
      <c r="AA847" s="275"/>
    </row>
    <row r="848" spans="1:27">
      <c r="A848" s="273"/>
      <c r="B848" s="274"/>
      <c r="C848" s="278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</row>
    <row r="849" spans="1:27">
      <c r="A849" s="273">
        <v>287</v>
      </c>
      <c r="B849" s="274">
        <v>94</v>
      </c>
      <c r="C849" s="278" t="s">
        <v>403</v>
      </c>
      <c r="D849" s="275" t="s">
        <v>434</v>
      </c>
      <c r="E849" s="275" t="s">
        <v>435</v>
      </c>
      <c r="F849" s="275" t="s">
        <v>436</v>
      </c>
      <c r="G849" s="275" t="s">
        <v>437</v>
      </c>
      <c r="H849" s="275" t="s">
        <v>438</v>
      </c>
      <c r="I849" s="275" t="s">
        <v>439</v>
      </c>
      <c r="J849" s="275" t="s">
        <v>440</v>
      </c>
      <c r="K849" s="275" t="s">
        <v>441</v>
      </c>
      <c r="L849" s="275" t="s">
        <v>442</v>
      </c>
      <c r="M849" s="275" t="s">
        <v>443</v>
      </c>
      <c r="N849" s="275" t="s">
        <v>444</v>
      </c>
      <c r="O849" s="275" t="s">
        <v>445</v>
      </c>
      <c r="P849" s="275" t="s">
        <v>446</v>
      </c>
      <c r="Q849" s="275" t="s">
        <v>447</v>
      </c>
      <c r="R849" s="275" t="s">
        <v>451</v>
      </c>
      <c r="S849" s="275" t="s">
        <v>452</v>
      </c>
      <c r="T849" s="275" t="s">
        <v>448</v>
      </c>
      <c r="U849" s="275" t="s">
        <v>449</v>
      </c>
      <c r="V849" s="275" t="s">
        <v>450</v>
      </c>
      <c r="W849" s="275" t="s">
        <v>453</v>
      </c>
      <c r="X849" s="275" t="s">
        <v>454</v>
      </c>
      <c r="Y849" s="275" t="s">
        <v>455</v>
      </c>
      <c r="Z849" s="275" t="s">
        <v>456</v>
      </c>
      <c r="AA849" s="275" t="s">
        <v>457</v>
      </c>
    </row>
    <row r="850" spans="1:27">
      <c r="A850" s="273"/>
      <c r="B850" s="274"/>
      <c r="C850" s="278"/>
      <c r="D850" s="275">
        <v>8.0000000000000002E-3</v>
      </c>
      <c r="E850" s="275">
        <v>4.7E-2</v>
      </c>
      <c r="F850" s="275">
        <v>3.4000000000000002E-2</v>
      </c>
      <c r="G850" s="275">
        <v>4.2999999999999997E-2</v>
      </c>
      <c r="H850" s="275">
        <v>0.13300000000000001</v>
      </c>
      <c r="I850" s="275">
        <v>0.123</v>
      </c>
      <c r="J850" s="275">
        <v>0.14099999999999999</v>
      </c>
      <c r="K850" s="275">
        <v>0.109</v>
      </c>
      <c r="L850" s="275">
        <v>0.113</v>
      </c>
      <c r="M850" s="275">
        <v>0.29499999999999998</v>
      </c>
      <c r="N850" s="275">
        <v>0.29099999999999998</v>
      </c>
      <c r="O850" s="275">
        <v>0.32500000000000001</v>
      </c>
      <c r="P850" s="275">
        <v>0.313</v>
      </c>
      <c r="Q850" s="275">
        <v>0.32300000000000001</v>
      </c>
      <c r="R850" s="275">
        <v>0.27400000000000002</v>
      </c>
      <c r="S850" s="275">
        <v>0.27800000000000002</v>
      </c>
      <c r="T850" s="275">
        <v>0.61199999999999999</v>
      </c>
      <c r="U850" s="275">
        <v>0.628</v>
      </c>
      <c r="V850" s="275">
        <v>0.69699999999999995</v>
      </c>
      <c r="W850" s="275">
        <v>0.75</v>
      </c>
      <c r="X850" s="275">
        <v>0.77300000000000002</v>
      </c>
      <c r="Y850" s="275">
        <v>1.304</v>
      </c>
      <c r="Z850" s="275">
        <v>1.41</v>
      </c>
      <c r="AA850" s="275">
        <v>1.593</v>
      </c>
    </row>
    <row r="851" spans="1:27">
      <c r="A851" s="273"/>
      <c r="B851" s="274"/>
      <c r="C851" s="278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</row>
    <row r="852" spans="1:27">
      <c r="A852" s="273">
        <v>288</v>
      </c>
      <c r="B852" s="274">
        <v>94</v>
      </c>
      <c r="C852" s="278" t="s">
        <v>210</v>
      </c>
      <c r="D852" s="275" t="s">
        <v>434</v>
      </c>
      <c r="E852" s="275" t="s">
        <v>435</v>
      </c>
      <c r="F852" s="275" t="s">
        <v>436</v>
      </c>
      <c r="G852" s="275" t="s">
        <v>437</v>
      </c>
      <c r="H852" s="275" t="s">
        <v>438</v>
      </c>
      <c r="I852" s="275" t="s">
        <v>439</v>
      </c>
      <c r="J852" s="275" t="s">
        <v>440</v>
      </c>
      <c r="K852" s="275" t="s">
        <v>441</v>
      </c>
      <c r="L852" s="275" t="s">
        <v>442</v>
      </c>
      <c r="M852" s="275" t="s">
        <v>443</v>
      </c>
      <c r="N852" s="275" t="s">
        <v>444</v>
      </c>
      <c r="O852" s="275" t="s">
        <v>445</v>
      </c>
      <c r="P852" s="275" t="s">
        <v>446</v>
      </c>
      <c r="Q852" s="275" t="s">
        <v>447</v>
      </c>
      <c r="R852" s="275" t="s">
        <v>451</v>
      </c>
      <c r="S852" s="275" t="s">
        <v>452</v>
      </c>
      <c r="T852" s="275" t="s">
        <v>448</v>
      </c>
      <c r="U852" s="275" t="s">
        <v>449</v>
      </c>
      <c r="V852" s="275" t="s">
        <v>450</v>
      </c>
      <c r="W852" s="275" t="s">
        <v>453</v>
      </c>
      <c r="X852" s="275" t="s">
        <v>454</v>
      </c>
      <c r="Y852" s="275" t="s">
        <v>455</v>
      </c>
      <c r="Z852" s="275" t="s">
        <v>456</v>
      </c>
      <c r="AA852" s="275" t="s">
        <v>457</v>
      </c>
    </row>
    <row r="853" spans="1:27">
      <c r="A853" s="273"/>
      <c r="B853" s="274"/>
      <c r="C853" s="278"/>
      <c r="D853" s="275">
        <v>8.0000000000000002E-3</v>
      </c>
      <c r="E853" s="275">
        <v>4.7E-2</v>
      </c>
      <c r="F853" s="275">
        <v>3.4000000000000002E-2</v>
      </c>
      <c r="G853" s="275">
        <v>4.2999999999999997E-2</v>
      </c>
      <c r="H853" s="275">
        <v>0.13300000000000001</v>
      </c>
      <c r="I853" s="275">
        <v>0.123</v>
      </c>
      <c r="J853" s="275">
        <v>0.14099999999999999</v>
      </c>
      <c r="K853" s="275">
        <v>0.109</v>
      </c>
      <c r="L853" s="275">
        <v>0.113</v>
      </c>
      <c r="M853" s="275">
        <v>0.29499999999999998</v>
      </c>
      <c r="N853" s="275">
        <v>0.29099999999999998</v>
      </c>
      <c r="O853" s="275">
        <v>0.32500000000000001</v>
      </c>
      <c r="P853" s="275">
        <v>0.313</v>
      </c>
      <c r="Q853" s="275">
        <v>0.32300000000000001</v>
      </c>
      <c r="R853" s="275">
        <v>0.27400000000000002</v>
      </c>
      <c r="S853" s="275">
        <v>0.27800000000000002</v>
      </c>
      <c r="T853" s="275">
        <v>0.61099999999999999</v>
      </c>
      <c r="U853" s="275">
        <v>0.628</v>
      </c>
      <c r="V853" s="275">
        <v>0.69599999999999995</v>
      </c>
      <c r="W853" s="275">
        <v>0.749</v>
      </c>
      <c r="X853" s="275">
        <v>0.77200000000000002</v>
      </c>
      <c r="Y853" s="275">
        <v>1.294</v>
      </c>
      <c r="Z853" s="275">
        <v>1.393</v>
      </c>
      <c r="AA853" s="275">
        <v>1.5649999999999999</v>
      </c>
    </row>
    <row r="854" spans="1:27">
      <c r="A854" s="273"/>
      <c r="B854" s="274"/>
      <c r="C854" s="278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</row>
    <row r="855" spans="1:27">
      <c r="A855" s="273">
        <v>289</v>
      </c>
      <c r="B855" s="274">
        <v>94</v>
      </c>
      <c r="C855" s="278" t="s">
        <v>211</v>
      </c>
      <c r="D855" s="275" t="s">
        <v>434</v>
      </c>
      <c r="E855" s="275" t="s">
        <v>435</v>
      </c>
      <c r="F855" s="275" t="s">
        <v>436</v>
      </c>
      <c r="G855" s="275" t="s">
        <v>437</v>
      </c>
      <c r="H855" s="275" t="s">
        <v>438</v>
      </c>
      <c r="I855" s="275" t="s">
        <v>439</v>
      </c>
      <c r="J855" s="275" t="s">
        <v>440</v>
      </c>
      <c r="K855" s="275" t="s">
        <v>441</v>
      </c>
      <c r="L855" s="275" t="s">
        <v>442</v>
      </c>
      <c r="M855" s="275" t="s">
        <v>443</v>
      </c>
      <c r="N855" s="275" t="s">
        <v>444</v>
      </c>
      <c r="O855" s="275" t="s">
        <v>445</v>
      </c>
      <c r="P855" s="275" t="s">
        <v>446</v>
      </c>
      <c r="Q855" s="275" t="s">
        <v>447</v>
      </c>
      <c r="R855" s="275" t="s">
        <v>451</v>
      </c>
      <c r="S855" s="275" t="s">
        <v>452</v>
      </c>
      <c r="T855" s="275" t="s">
        <v>448</v>
      </c>
      <c r="U855" s="275" t="s">
        <v>449</v>
      </c>
      <c r="V855" s="275" t="s">
        <v>450</v>
      </c>
      <c r="W855" s="275" t="s">
        <v>453</v>
      </c>
      <c r="X855" s="275" t="s">
        <v>454</v>
      </c>
      <c r="Y855" s="275" t="s">
        <v>455</v>
      </c>
      <c r="Z855" s="275" t="s">
        <v>456</v>
      </c>
      <c r="AA855" s="275" t="s">
        <v>457</v>
      </c>
    </row>
    <row r="856" spans="1:27">
      <c r="A856" s="273"/>
      <c r="B856" s="274"/>
      <c r="C856" s="278"/>
      <c r="D856" s="275">
        <v>8.0000000000000002E-3</v>
      </c>
      <c r="E856" s="275">
        <v>4.7E-2</v>
      </c>
      <c r="F856" s="275">
        <v>3.4000000000000002E-2</v>
      </c>
      <c r="G856" s="275">
        <v>4.2999999999999997E-2</v>
      </c>
      <c r="H856" s="275">
        <v>0.13300000000000001</v>
      </c>
      <c r="I856" s="275">
        <v>0.123</v>
      </c>
      <c r="J856" s="275">
        <v>0.14099999999999999</v>
      </c>
      <c r="K856" s="275">
        <v>0.109</v>
      </c>
      <c r="L856" s="275">
        <v>0.113</v>
      </c>
      <c r="M856" s="275">
        <v>0.29499999999999998</v>
      </c>
      <c r="N856" s="275">
        <v>0.29099999999999998</v>
      </c>
      <c r="O856" s="275">
        <v>0.32500000000000001</v>
      </c>
      <c r="P856" s="275">
        <v>0.313</v>
      </c>
      <c r="Q856" s="275">
        <v>0.32300000000000001</v>
      </c>
      <c r="R856" s="275">
        <v>0.27400000000000002</v>
      </c>
      <c r="S856" s="275">
        <v>0.27800000000000002</v>
      </c>
      <c r="T856" s="275">
        <v>0.61099999999999999</v>
      </c>
      <c r="U856" s="275">
        <v>0.627</v>
      </c>
      <c r="V856" s="275">
        <v>0.69599999999999995</v>
      </c>
      <c r="W856" s="275">
        <v>0.747</v>
      </c>
      <c r="X856" s="275">
        <v>0.77</v>
      </c>
      <c r="Y856" s="275">
        <v>1.282</v>
      </c>
      <c r="Z856" s="275">
        <v>1.375</v>
      </c>
      <c r="AA856" s="275">
        <v>1.5369999999999999</v>
      </c>
    </row>
    <row r="857" spans="1:27">
      <c r="A857" s="273"/>
      <c r="B857" s="274"/>
      <c r="C857" s="278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</row>
    <row r="858" spans="1:27">
      <c r="A858" s="273">
        <v>290</v>
      </c>
      <c r="B858" s="274">
        <v>94</v>
      </c>
      <c r="C858" s="278" t="s">
        <v>212</v>
      </c>
      <c r="D858" s="275" t="s">
        <v>434</v>
      </c>
      <c r="E858" s="275" t="s">
        <v>435</v>
      </c>
      <c r="F858" s="275" t="s">
        <v>436</v>
      </c>
      <c r="G858" s="275" t="s">
        <v>437</v>
      </c>
      <c r="H858" s="275" t="s">
        <v>438</v>
      </c>
      <c r="I858" s="275" t="s">
        <v>439</v>
      </c>
      <c r="J858" s="275" t="s">
        <v>440</v>
      </c>
      <c r="K858" s="275" t="s">
        <v>441</v>
      </c>
      <c r="L858" s="275" t="s">
        <v>442</v>
      </c>
      <c r="M858" s="275" t="s">
        <v>443</v>
      </c>
      <c r="N858" s="275" t="s">
        <v>444</v>
      </c>
      <c r="O858" s="275" t="s">
        <v>445</v>
      </c>
      <c r="P858" s="275" t="s">
        <v>446</v>
      </c>
      <c r="Q858" s="275" t="s">
        <v>447</v>
      </c>
      <c r="R858" s="275" t="s">
        <v>451</v>
      </c>
      <c r="S858" s="275" t="s">
        <v>452</v>
      </c>
      <c r="T858" s="275" t="s">
        <v>448</v>
      </c>
      <c r="U858" s="275" t="s">
        <v>449</v>
      </c>
      <c r="V858" s="275" t="s">
        <v>450</v>
      </c>
      <c r="W858" s="275" t="s">
        <v>453</v>
      </c>
      <c r="X858" s="275" t="s">
        <v>454</v>
      </c>
      <c r="Y858" s="275" t="s">
        <v>455</v>
      </c>
      <c r="Z858" s="275" t="s">
        <v>456</v>
      </c>
      <c r="AA858" s="275" t="s">
        <v>457</v>
      </c>
    </row>
    <row r="859" spans="1:27">
      <c r="A859" s="273"/>
      <c r="B859" s="274"/>
      <c r="C859" s="278"/>
      <c r="D859" s="275">
        <v>8.0000000000000002E-3</v>
      </c>
      <c r="E859" s="275">
        <v>4.7E-2</v>
      </c>
      <c r="F859" s="275">
        <v>3.4000000000000002E-2</v>
      </c>
      <c r="G859" s="275">
        <v>4.2999999999999997E-2</v>
      </c>
      <c r="H859" s="275">
        <v>0.13300000000000001</v>
      </c>
      <c r="I859" s="275">
        <v>0.123</v>
      </c>
      <c r="J859" s="275">
        <v>0.14099999999999999</v>
      </c>
      <c r="K859" s="275">
        <v>0.109</v>
      </c>
      <c r="L859" s="275">
        <v>0.113</v>
      </c>
      <c r="M859" s="275">
        <v>0.29499999999999998</v>
      </c>
      <c r="N859" s="275">
        <v>0.29099999999999998</v>
      </c>
      <c r="O859" s="275">
        <v>0.32500000000000001</v>
      </c>
      <c r="P859" s="275">
        <v>0.313</v>
      </c>
      <c r="Q859" s="275">
        <v>0.32300000000000001</v>
      </c>
      <c r="R859" s="275">
        <v>0.27400000000000002</v>
      </c>
      <c r="S859" s="275">
        <v>0.27800000000000002</v>
      </c>
      <c r="T859" s="275">
        <v>0.61099999999999999</v>
      </c>
      <c r="U859" s="275">
        <v>0.627</v>
      </c>
      <c r="V859" s="275">
        <v>0.69499999999999995</v>
      </c>
      <c r="W859" s="275">
        <v>0.746</v>
      </c>
      <c r="X859" s="275">
        <v>0.76800000000000002</v>
      </c>
      <c r="Y859" s="275">
        <v>1.27</v>
      </c>
      <c r="Z859" s="275">
        <v>1.357</v>
      </c>
      <c r="AA859" s="275">
        <v>1.51</v>
      </c>
    </row>
    <row r="860" spans="1:27">
      <c r="A860" s="273"/>
      <c r="B860" s="274"/>
      <c r="C860" s="278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</row>
    <row r="861" spans="1:27">
      <c r="A861" s="273">
        <v>291</v>
      </c>
      <c r="B861" s="274">
        <v>94</v>
      </c>
      <c r="C861" s="278" t="s">
        <v>213</v>
      </c>
      <c r="D861" s="275" t="s">
        <v>434</v>
      </c>
      <c r="E861" s="275" t="s">
        <v>435</v>
      </c>
      <c r="F861" s="275" t="s">
        <v>436</v>
      </c>
      <c r="G861" s="275" t="s">
        <v>437</v>
      </c>
      <c r="H861" s="275" t="s">
        <v>438</v>
      </c>
      <c r="I861" s="275" t="s">
        <v>439</v>
      </c>
      <c r="J861" s="275" t="s">
        <v>440</v>
      </c>
      <c r="K861" s="275" t="s">
        <v>441</v>
      </c>
      <c r="L861" s="275" t="s">
        <v>442</v>
      </c>
      <c r="M861" s="275" t="s">
        <v>443</v>
      </c>
      <c r="N861" s="275" t="s">
        <v>444</v>
      </c>
      <c r="O861" s="275" t="s">
        <v>445</v>
      </c>
      <c r="P861" s="275" t="s">
        <v>446</v>
      </c>
      <c r="Q861" s="275" t="s">
        <v>447</v>
      </c>
      <c r="R861" s="275" t="s">
        <v>451</v>
      </c>
      <c r="S861" s="275" t="s">
        <v>452</v>
      </c>
      <c r="T861" s="275" t="s">
        <v>448</v>
      </c>
      <c r="U861" s="275" t="s">
        <v>449</v>
      </c>
      <c r="V861" s="275" t="s">
        <v>450</v>
      </c>
      <c r="W861" s="275" t="s">
        <v>453</v>
      </c>
      <c r="X861" s="275" t="s">
        <v>454</v>
      </c>
      <c r="Y861" s="275" t="s">
        <v>455</v>
      </c>
      <c r="Z861" s="275" t="s">
        <v>456</v>
      </c>
      <c r="AA861" s="275" t="s">
        <v>457</v>
      </c>
    </row>
    <row r="862" spans="1:27">
      <c r="A862" s="273"/>
      <c r="B862" s="274"/>
      <c r="C862" s="278"/>
      <c r="D862" s="275">
        <v>8.0000000000000002E-3</v>
      </c>
      <c r="E862" s="275">
        <v>4.7E-2</v>
      </c>
      <c r="F862" s="275">
        <v>3.4000000000000002E-2</v>
      </c>
      <c r="G862" s="275">
        <v>4.2999999999999997E-2</v>
      </c>
      <c r="H862" s="275">
        <v>0.13300000000000001</v>
      </c>
      <c r="I862" s="275">
        <v>0.123</v>
      </c>
      <c r="J862" s="275">
        <v>0.14099999999999999</v>
      </c>
      <c r="K862" s="275">
        <v>0.109</v>
      </c>
      <c r="L862" s="275">
        <v>0.113</v>
      </c>
      <c r="M862" s="275">
        <v>0.29499999999999998</v>
      </c>
      <c r="N862" s="275">
        <v>0.29099999999999998</v>
      </c>
      <c r="O862" s="275">
        <v>0.32500000000000001</v>
      </c>
      <c r="P862" s="275">
        <v>0.313</v>
      </c>
      <c r="Q862" s="275">
        <v>0.32300000000000001</v>
      </c>
      <c r="R862" s="275">
        <v>0.27400000000000002</v>
      </c>
      <c r="S862" s="275">
        <v>0.27800000000000002</v>
      </c>
      <c r="T862" s="275">
        <v>0.61</v>
      </c>
      <c r="U862" s="275">
        <v>0.626</v>
      </c>
      <c r="V862" s="275">
        <v>0.69399999999999995</v>
      </c>
      <c r="W862" s="275">
        <v>0.74399999999999999</v>
      </c>
      <c r="X862" s="275">
        <v>0.76600000000000001</v>
      </c>
      <c r="Y862" s="275">
        <v>1.2569999999999999</v>
      </c>
      <c r="Z862" s="275">
        <v>1.339</v>
      </c>
      <c r="AA862" s="275">
        <v>1.4830000000000001</v>
      </c>
    </row>
    <row r="863" spans="1:27">
      <c r="A863" s="273"/>
      <c r="B863" s="274"/>
      <c r="C863" s="278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</row>
    <row r="864" spans="1:27">
      <c r="A864" s="273">
        <v>292</v>
      </c>
      <c r="B864" s="274">
        <v>95</v>
      </c>
      <c r="C864" s="278" t="s">
        <v>404</v>
      </c>
      <c r="D864" s="275" t="s">
        <v>434</v>
      </c>
      <c r="E864" s="275" t="s">
        <v>435</v>
      </c>
      <c r="F864" s="275" t="s">
        <v>436</v>
      </c>
      <c r="G864" s="275" t="s">
        <v>437</v>
      </c>
      <c r="H864" s="275" t="s">
        <v>438</v>
      </c>
      <c r="I864" s="275" t="s">
        <v>439</v>
      </c>
      <c r="J864" s="275" t="s">
        <v>440</v>
      </c>
      <c r="K864" s="275" t="s">
        <v>441</v>
      </c>
      <c r="L864" s="275" t="s">
        <v>442</v>
      </c>
      <c r="M864" s="275" t="s">
        <v>443</v>
      </c>
      <c r="N864" s="275" t="s">
        <v>444</v>
      </c>
      <c r="O864" s="275" t="s">
        <v>445</v>
      </c>
      <c r="P864" s="275" t="s">
        <v>446</v>
      </c>
      <c r="Q864" s="275" t="s">
        <v>447</v>
      </c>
      <c r="R864" s="275" t="s">
        <v>451</v>
      </c>
      <c r="S864" s="275" t="s">
        <v>452</v>
      </c>
      <c r="T864" s="275" t="s">
        <v>448</v>
      </c>
      <c r="U864" s="275" t="s">
        <v>449</v>
      </c>
      <c r="V864" s="275" t="s">
        <v>450</v>
      </c>
      <c r="W864" s="275" t="s">
        <v>453</v>
      </c>
      <c r="X864" s="275" t="s">
        <v>454</v>
      </c>
      <c r="Y864" s="275" t="s">
        <v>455</v>
      </c>
      <c r="Z864" s="275" t="s">
        <v>456</v>
      </c>
      <c r="AA864" s="275" t="s">
        <v>457</v>
      </c>
    </row>
    <row r="865" spans="1:27">
      <c r="A865" s="273"/>
      <c r="B865" s="274"/>
      <c r="C865" s="278"/>
      <c r="D865" s="275">
        <v>8.0000000000000002E-3</v>
      </c>
      <c r="E865" s="275">
        <v>4.5999999999999999E-2</v>
      </c>
      <c r="F865" s="275">
        <v>3.3000000000000002E-2</v>
      </c>
      <c r="G865" s="275">
        <v>4.2000000000000003E-2</v>
      </c>
      <c r="H865" s="275">
        <v>0.13</v>
      </c>
      <c r="I865" s="275">
        <v>0.121</v>
      </c>
      <c r="J865" s="275">
        <v>0.13900000000000001</v>
      </c>
      <c r="K865" s="275">
        <v>0.107</v>
      </c>
      <c r="L865" s="275">
        <v>0.112</v>
      </c>
      <c r="M865" s="275">
        <v>0.28999999999999998</v>
      </c>
      <c r="N865" s="275">
        <v>0.28599999999999998</v>
      </c>
      <c r="O865" s="275">
        <v>0.32</v>
      </c>
      <c r="P865" s="275">
        <v>0.308</v>
      </c>
      <c r="Q865" s="275">
        <v>0.318</v>
      </c>
      <c r="R865" s="275">
        <v>0.27</v>
      </c>
      <c r="S865" s="275">
        <v>0.27400000000000002</v>
      </c>
      <c r="T865" s="275">
        <v>0.6</v>
      </c>
      <c r="U865" s="275">
        <v>0.61499999999999999</v>
      </c>
      <c r="V865" s="275">
        <v>0.68500000000000005</v>
      </c>
      <c r="W865" s="275">
        <v>0.73499999999999999</v>
      </c>
      <c r="X865" s="275">
        <v>0.75800000000000001</v>
      </c>
      <c r="Y865" s="275">
        <v>1.284</v>
      </c>
      <c r="Z865" s="275">
        <v>1.391</v>
      </c>
      <c r="AA865" s="275">
        <v>1.589</v>
      </c>
    </row>
    <row r="866" spans="1:27">
      <c r="A866" s="273"/>
      <c r="B866" s="274"/>
      <c r="C866" s="278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</row>
    <row r="867" spans="1:27">
      <c r="A867" s="273">
        <v>293</v>
      </c>
      <c r="B867" s="274">
        <v>95</v>
      </c>
      <c r="C867" s="278" t="s">
        <v>214</v>
      </c>
      <c r="D867" s="275" t="s">
        <v>434</v>
      </c>
      <c r="E867" s="275" t="s">
        <v>435</v>
      </c>
      <c r="F867" s="275" t="s">
        <v>436</v>
      </c>
      <c r="G867" s="275" t="s">
        <v>437</v>
      </c>
      <c r="H867" s="275" t="s">
        <v>438</v>
      </c>
      <c r="I867" s="275" t="s">
        <v>439</v>
      </c>
      <c r="J867" s="275" t="s">
        <v>440</v>
      </c>
      <c r="K867" s="275" t="s">
        <v>441</v>
      </c>
      <c r="L867" s="275" t="s">
        <v>442</v>
      </c>
      <c r="M867" s="275" t="s">
        <v>443</v>
      </c>
      <c r="N867" s="275" t="s">
        <v>444</v>
      </c>
      <c r="O867" s="275" t="s">
        <v>445</v>
      </c>
      <c r="P867" s="275" t="s">
        <v>446</v>
      </c>
      <c r="Q867" s="275" t="s">
        <v>447</v>
      </c>
      <c r="R867" s="275" t="s">
        <v>451</v>
      </c>
      <c r="S867" s="275" t="s">
        <v>452</v>
      </c>
      <c r="T867" s="275" t="s">
        <v>448</v>
      </c>
      <c r="U867" s="275" t="s">
        <v>449</v>
      </c>
      <c r="V867" s="275" t="s">
        <v>450</v>
      </c>
      <c r="W867" s="275" t="s">
        <v>453</v>
      </c>
      <c r="X867" s="275" t="s">
        <v>454</v>
      </c>
      <c r="Y867" s="275" t="s">
        <v>455</v>
      </c>
      <c r="Z867" s="275" t="s">
        <v>456</v>
      </c>
      <c r="AA867" s="275" t="s">
        <v>457</v>
      </c>
    </row>
    <row r="868" spans="1:27">
      <c r="A868" s="273"/>
      <c r="B868" s="274"/>
      <c r="C868" s="278"/>
      <c r="D868" s="275">
        <v>8.0000000000000002E-3</v>
      </c>
      <c r="E868" s="275">
        <v>4.5999999999999999E-2</v>
      </c>
      <c r="F868" s="275">
        <v>3.3000000000000002E-2</v>
      </c>
      <c r="G868" s="275">
        <v>4.2000000000000003E-2</v>
      </c>
      <c r="H868" s="275">
        <v>0.13</v>
      </c>
      <c r="I868" s="275">
        <v>0.121</v>
      </c>
      <c r="J868" s="275">
        <v>0.13900000000000001</v>
      </c>
      <c r="K868" s="275">
        <v>0.107</v>
      </c>
      <c r="L868" s="275">
        <v>0.112</v>
      </c>
      <c r="M868" s="275">
        <v>0.28999999999999998</v>
      </c>
      <c r="N868" s="275">
        <v>0.28599999999999998</v>
      </c>
      <c r="O868" s="275">
        <v>0.32</v>
      </c>
      <c r="P868" s="275">
        <v>0.308</v>
      </c>
      <c r="Q868" s="275">
        <v>0.318</v>
      </c>
      <c r="R868" s="275">
        <v>0.27</v>
      </c>
      <c r="S868" s="275">
        <v>0.27400000000000002</v>
      </c>
      <c r="T868" s="275">
        <v>0.6</v>
      </c>
      <c r="U868" s="275">
        <v>0.61499999999999999</v>
      </c>
      <c r="V868" s="275">
        <v>0.68400000000000005</v>
      </c>
      <c r="W868" s="275">
        <v>0.73399999999999999</v>
      </c>
      <c r="X868" s="275">
        <v>0.75700000000000001</v>
      </c>
      <c r="Y868" s="275">
        <v>1.276</v>
      </c>
      <c r="Z868" s="275">
        <v>1.3779999999999999</v>
      </c>
      <c r="AA868" s="275">
        <v>1.5629999999999999</v>
      </c>
    </row>
    <row r="869" spans="1:27">
      <c r="A869" s="273"/>
      <c r="B869" s="274"/>
      <c r="C869" s="278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</row>
    <row r="870" spans="1:27">
      <c r="A870" s="273">
        <v>294</v>
      </c>
      <c r="B870" s="274">
        <v>95</v>
      </c>
      <c r="C870" s="278" t="s">
        <v>215</v>
      </c>
      <c r="D870" s="275" t="s">
        <v>434</v>
      </c>
      <c r="E870" s="275" t="s">
        <v>435</v>
      </c>
      <c r="F870" s="275" t="s">
        <v>436</v>
      </c>
      <c r="G870" s="275" t="s">
        <v>437</v>
      </c>
      <c r="H870" s="275" t="s">
        <v>438</v>
      </c>
      <c r="I870" s="275" t="s">
        <v>439</v>
      </c>
      <c r="J870" s="275" t="s">
        <v>440</v>
      </c>
      <c r="K870" s="275" t="s">
        <v>441</v>
      </c>
      <c r="L870" s="275" t="s">
        <v>442</v>
      </c>
      <c r="M870" s="275" t="s">
        <v>443</v>
      </c>
      <c r="N870" s="275" t="s">
        <v>444</v>
      </c>
      <c r="O870" s="275" t="s">
        <v>445</v>
      </c>
      <c r="P870" s="275" t="s">
        <v>446</v>
      </c>
      <c r="Q870" s="275" t="s">
        <v>447</v>
      </c>
      <c r="R870" s="275" t="s">
        <v>451</v>
      </c>
      <c r="S870" s="275" t="s">
        <v>452</v>
      </c>
      <c r="T870" s="275" t="s">
        <v>448</v>
      </c>
      <c r="U870" s="275" t="s">
        <v>449</v>
      </c>
      <c r="V870" s="275" t="s">
        <v>450</v>
      </c>
      <c r="W870" s="275" t="s">
        <v>453</v>
      </c>
      <c r="X870" s="275" t="s">
        <v>454</v>
      </c>
      <c r="Y870" s="275" t="s">
        <v>455</v>
      </c>
      <c r="Z870" s="275" t="s">
        <v>456</v>
      </c>
      <c r="AA870" s="275" t="s">
        <v>457</v>
      </c>
    </row>
    <row r="871" spans="1:27">
      <c r="A871" s="273"/>
      <c r="B871" s="274"/>
      <c r="C871" s="278"/>
      <c r="D871" s="275">
        <v>8.0000000000000002E-3</v>
      </c>
      <c r="E871" s="275">
        <v>4.5999999999999999E-2</v>
      </c>
      <c r="F871" s="275">
        <v>3.3000000000000002E-2</v>
      </c>
      <c r="G871" s="275">
        <v>4.2000000000000003E-2</v>
      </c>
      <c r="H871" s="275">
        <v>0.13</v>
      </c>
      <c r="I871" s="275">
        <v>0.121</v>
      </c>
      <c r="J871" s="275">
        <v>0.13900000000000001</v>
      </c>
      <c r="K871" s="275">
        <v>0.107</v>
      </c>
      <c r="L871" s="275">
        <v>0.112</v>
      </c>
      <c r="M871" s="275">
        <v>0.28999999999999998</v>
      </c>
      <c r="N871" s="275">
        <v>0.28599999999999998</v>
      </c>
      <c r="O871" s="275">
        <v>0.32</v>
      </c>
      <c r="P871" s="275">
        <v>0.308</v>
      </c>
      <c r="Q871" s="275">
        <v>0.318</v>
      </c>
      <c r="R871" s="275">
        <v>0.27</v>
      </c>
      <c r="S871" s="275">
        <v>0.27400000000000002</v>
      </c>
      <c r="T871" s="275">
        <v>0.6</v>
      </c>
      <c r="U871" s="275">
        <v>0.61499999999999999</v>
      </c>
      <c r="V871" s="275">
        <v>0.68400000000000005</v>
      </c>
      <c r="W871" s="275">
        <v>0.73299999999999998</v>
      </c>
      <c r="X871" s="275">
        <v>0.75600000000000001</v>
      </c>
      <c r="Y871" s="275">
        <v>1.266</v>
      </c>
      <c r="Z871" s="275">
        <v>1.3620000000000001</v>
      </c>
      <c r="AA871" s="275">
        <v>1.536</v>
      </c>
    </row>
    <row r="872" spans="1:27">
      <c r="A872" s="273"/>
      <c r="B872" s="274"/>
      <c r="C872" s="278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</row>
    <row r="873" spans="1:27">
      <c r="A873" s="273">
        <v>295</v>
      </c>
      <c r="B873" s="274">
        <v>95</v>
      </c>
      <c r="C873" s="278" t="s">
        <v>216</v>
      </c>
      <c r="D873" s="275" t="s">
        <v>434</v>
      </c>
      <c r="E873" s="275" t="s">
        <v>435</v>
      </c>
      <c r="F873" s="275" t="s">
        <v>436</v>
      </c>
      <c r="G873" s="275" t="s">
        <v>437</v>
      </c>
      <c r="H873" s="275" t="s">
        <v>438</v>
      </c>
      <c r="I873" s="275" t="s">
        <v>439</v>
      </c>
      <c r="J873" s="275" t="s">
        <v>440</v>
      </c>
      <c r="K873" s="275" t="s">
        <v>441</v>
      </c>
      <c r="L873" s="275" t="s">
        <v>442</v>
      </c>
      <c r="M873" s="275" t="s">
        <v>443</v>
      </c>
      <c r="N873" s="275" t="s">
        <v>444</v>
      </c>
      <c r="O873" s="275" t="s">
        <v>445</v>
      </c>
      <c r="P873" s="275" t="s">
        <v>446</v>
      </c>
      <c r="Q873" s="275" t="s">
        <v>447</v>
      </c>
      <c r="R873" s="275" t="s">
        <v>451</v>
      </c>
      <c r="S873" s="275" t="s">
        <v>452</v>
      </c>
      <c r="T873" s="275" t="s">
        <v>448</v>
      </c>
      <c r="U873" s="275" t="s">
        <v>449</v>
      </c>
      <c r="V873" s="275" t="s">
        <v>450</v>
      </c>
      <c r="W873" s="275" t="s">
        <v>453</v>
      </c>
      <c r="X873" s="275" t="s">
        <v>454</v>
      </c>
      <c r="Y873" s="275" t="s">
        <v>455</v>
      </c>
      <c r="Z873" s="275" t="s">
        <v>456</v>
      </c>
      <c r="AA873" s="275" t="s">
        <v>457</v>
      </c>
    </row>
    <row r="874" spans="1:27">
      <c r="A874" s="273"/>
      <c r="B874" s="274"/>
      <c r="C874" s="278"/>
      <c r="D874" s="275">
        <v>8.0000000000000002E-3</v>
      </c>
      <c r="E874" s="275">
        <v>4.5999999999999999E-2</v>
      </c>
      <c r="F874" s="275">
        <v>3.3000000000000002E-2</v>
      </c>
      <c r="G874" s="275">
        <v>4.2000000000000003E-2</v>
      </c>
      <c r="H874" s="275">
        <v>0.13</v>
      </c>
      <c r="I874" s="275">
        <v>0.121</v>
      </c>
      <c r="J874" s="275">
        <v>0.13900000000000001</v>
      </c>
      <c r="K874" s="275">
        <v>0.107</v>
      </c>
      <c r="L874" s="275">
        <v>0.112</v>
      </c>
      <c r="M874" s="275">
        <v>0.28999999999999998</v>
      </c>
      <c r="N874" s="275">
        <v>0.28599999999999998</v>
      </c>
      <c r="O874" s="275">
        <v>0.32</v>
      </c>
      <c r="P874" s="275">
        <v>0.308</v>
      </c>
      <c r="Q874" s="275">
        <v>0.318</v>
      </c>
      <c r="R874" s="275">
        <v>0.27</v>
      </c>
      <c r="S874" s="275">
        <v>0.27400000000000002</v>
      </c>
      <c r="T874" s="275">
        <v>0.59899999999999998</v>
      </c>
      <c r="U874" s="275">
        <v>0.61499999999999999</v>
      </c>
      <c r="V874" s="275">
        <v>0.68300000000000005</v>
      </c>
      <c r="W874" s="275">
        <v>0.73199999999999998</v>
      </c>
      <c r="X874" s="275">
        <v>0.755</v>
      </c>
      <c r="Y874" s="275">
        <v>1.2549999999999999</v>
      </c>
      <c r="Z874" s="275">
        <v>1.345</v>
      </c>
      <c r="AA874" s="275">
        <v>1.5089999999999999</v>
      </c>
    </row>
    <row r="875" spans="1:27">
      <c r="A875" s="273"/>
      <c r="B875" s="274"/>
      <c r="C875" s="278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</row>
    <row r="876" spans="1:27">
      <c r="A876" s="273">
        <v>296</v>
      </c>
      <c r="B876" s="274">
        <v>95</v>
      </c>
      <c r="C876" s="278" t="s">
        <v>217</v>
      </c>
      <c r="D876" s="275" t="s">
        <v>434</v>
      </c>
      <c r="E876" s="275" t="s">
        <v>435</v>
      </c>
      <c r="F876" s="275" t="s">
        <v>436</v>
      </c>
      <c r="G876" s="275" t="s">
        <v>437</v>
      </c>
      <c r="H876" s="275" t="s">
        <v>438</v>
      </c>
      <c r="I876" s="275" t="s">
        <v>439</v>
      </c>
      <c r="J876" s="275" t="s">
        <v>440</v>
      </c>
      <c r="K876" s="275" t="s">
        <v>441</v>
      </c>
      <c r="L876" s="275" t="s">
        <v>442</v>
      </c>
      <c r="M876" s="275" t="s">
        <v>443</v>
      </c>
      <c r="N876" s="275" t="s">
        <v>444</v>
      </c>
      <c r="O876" s="275" t="s">
        <v>445</v>
      </c>
      <c r="P876" s="275" t="s">
        <v>446</v>
      </c>
      <c r="Q876" s="275" t="s">
        <v>447</v>
      </c>
      <c r="R876" s="275" t="s">
        <v>451</v>
      </c>
      <c r="S876" s="275" t="s">
        <v>452</v>
      </c>
      <c r="T876" s="275" t="s">
        <v>448</v>
      </c>
      <c r="U876" s="275" t="s">
        <v>449</v>
      </c>
      <c r="V876" s="275" t="s">
        <v>450</v>
      </c>
      <c r="W876" s="275" t="s">
        <v>453</v>
      </c>
      <c r="X876" s="275" t="s">
        <v>454</v>
      </c>
      <c r="Y876" s="275" t="s">
        <v>455</v>
      </c>
      <c r="Z876" s="275" t="s">
        <v>456</v>
      </c>
      <c r="AA876" s="275" t="s">
        <v>457</v>
      </c>
    </row>
    <row r="877" spans="1:27">
      <c r="A877" s="273"/>
      <c r="B877" s="274"/>
      <c r="C877" s="278"/>
      <c r="D877" s="275">
        <v>8.0000000000000002E-3</v>
      </c>
      <c r="E877" s="275">
        <v>4.5999999999999999E-2</v>
      </c>
      <c r="F877" s="275">
        <v>3.3000000000000002E-2</v>
      </c>
      <c r="G877" s="275">
        <v>4.2000000000000003E-2</v>
      </c>
      <c r="H877" s="275">
        <v>0.13</v>
      </c>
      <c r="I877" s="275">
        <v>0.121</v>
      </c>
      <c r="J877" s="275">
        <v>0.13900000000000001</v>
      </c>
      <c r="K877" s="275">
        <v>0.107</v>
      </c>
      <c r="L877" s="275">
        <v>0.112</v>
      </c>
      <c r="M877" s="275">
        <v>0.28999999999999998</v>
      </c>
      <c r="N877" s="275">
        <v>0.28599999999999998</v>
      </c>
      <c r="O877" s="275">
        <v>0.32</v>
      </c>
      <c r="P877" s="275">
        <v>0.308</v>
      </c>
      <c r="Q877" s="275">
        <v>0.318</v>
      </c>
      <c r="R877" s="275">
        <v>0.26900000000000002</v>
      </c>
      <c r="S877" s="275">
        <v>0.27400000000000002</v>
      </c>
      <c r="T877" s="275">
        <v>0.59899999999999998</v>
      </c>
      <c r="U877" s="275">
        <v>0.61399999999999999</v>
      </c>
      <c r="V877" s="275">
        <v>0.68300000000000005</v>
      </c>
      <c r="W877" s="275">
        <v>0.73</v>
      </c>
      <c r="X877" s="275">
        <v>0.753</v>
      </c>
      <c r="Y877" s="275">
        <v>1.2430000000000001</v>
      </c>
      <c r="Z877" s="275">
        <v>1.327</v>
      </c>
      <c r="AA877" s="275">
        <v>1.482</v>
      </c>
    </row>
    <row r="878" spans="1:27">
      <c r="A878" s="273"/>
      <c r="B878" s="274"/>
      <c r="C878" s="278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</row>
    <row r="879" spans="1:27">
      <c r="A879" s="273">
        <v>297</v>
      </c>
      <c r="B879" s="274">
        <v>96</v>
      </c>
      <c r="C879" s="278" t="s">
        <v>405</v>
      </c>
      <c r="D879" s="275" t="s">
        <v>434</v>
      </c>
      <c r="E879" s="275" t="s">
        <v>435</v>
      </c>
      <c r="F879" s="275" t="s">
        <v>436</v>
      </c>
      <c r="G879" s="275" t="s">
        <v>437</v>
      </c>
      <c r="H879" s="275" t="s">
        <v>438</v>
      </c>
      <c r="I879" s="275" t="s">
        <v>439</v>
      </c>
      <c r="J879" s="275" t="s">
        <v>440</v>
      </c>
      <c r="K879" s="275" t="s">
        <v>441</v>
      </c>
      <c r="L879" s="275" t="s">
        <v>442</v>
      </c>
      <c r="M879" s="275" t="s">
        <v>443</v>
      </c>
      <c r="N879" s="275" t="s">
        <v>444</v>
      </c>
      <c r="O879" s="275" t="s">
        <v>445</v>
      </c>
      <c r="P879" s="275" t="s">
        <v>446</v>
      </c>
      <c r="Q879" s="275" t="s">
        <v>447</v>
      </c>
      <c r="R879" s="275" t="s">
        <v>451</v>
      </c>
      <c r="S879" s="275" t="s">
        <v>452</v>
      </c>
      <c r="T879" s="275" t="s">
        <v>448</v>
      </c>
      <c r="U879" s="275" t="s">
        <v>449</v>
      </c>
      <c r="V879" s="275" t="s">
        <v>450</v>
      </c>
      <c r="W879" s="275" t="s">
        <v>453</v>
      </c>
      <c r="X879" s="275" t="s">
        <v>454</v>
      </c>
      <c r="Y879" s="275" t="s">
        <v>455</v>
      </c>
      <c r="Z879" s="275" t="s">
        <v>456</v>
      </c>
      <c r="AA879" s="275" t="s">
        <v>457</v>
      </c>
    </row>
    <row r="880" spans="1:27">
      <c r="A880" s="273"/>
      <c r="B880" s="274"/>
      <c r="C880" s="278"/>
      <c r="D880" s="275">
        <v>8.0000000000000002E-3</v>
      </c>
      <c r="E880" s="275">
        <v>4.4999999999999998E-2</v>
      </c>
      <c r="F880" s="275">
        <v>3.3000000000000002E-2</v>
      </c>
      <c r="G880" s="275">
        <v>4.2000000000000003E-2</v>
      </c>
      <c r="H880" s="275">
        <v>0.128</v>
      </c>
      <c r="I880" s="275">
        <v>0.11899999999999999</v>
      </c>
      <c r="J880" s="275">
        <v>0.13700000000000001</v>
      </c>
      <c r="K880" s="275">
        <v>0.106</v>
      </c>
      <c r="L880" s="275">
        <v>0.11</v>
      </c>
      <c r="M880" s="275">
        <v>0.28499999999999998</v>
      </c>
      <c r="N880" s="275">
        <v>0.28100000000000003</v>
      </c>
      <c r="O880" s="275">
        <v>0.316</v>
      </c>
      <c r="P880" s="275">
        <v>0.30399999999999999</v>
      </c>
      <c r="Q880" s="275">
        <v>0.313</v>
      </c>
      <c r="R880" s="275">
        <v>0.26500000000000001</v>
      </c>
      <c r="S880" s="275">
        <v>0.26900000000000002</v>
      </c>
      <c r="T880" s="275">
        <v>0.58799999999999997</v>
      </c>
      <c r="U880" s="275">
        <v>0.60299999999999998</v>
      </c>
      <c r="V880" s="275">
        <v>0.67200000000000004</v>
      </c>
      <c r="W880" s="275">
        <v>0.71899999999999997</v>
      </c>
      <c r="X880" s="275">
        <v>0.74199999999999999</v>
      </c>
      <c r="Y880" s="275">
        <v>1.248</v>
      </c>
      <c r="Z880" s="275">
        <v>1.347</v>
      </c>
      <c r="AA880" s="275">
        <v>1.5349999999999999</v>
      </c>
    </row>
    <row r="881" spans="1:27">
      <c r="A881" s="273"/>
      <c r="B881" s="274"/>
      <c r="C881" s="278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</row>
    <row r="882" spans="1:27">
      <c r="A882" s="273">
        <v>298</v>
      </c>
      <c r="B882" s="274">
        <v>96</v>
      </c>
      <c r="C882" s="278" t="s">
        <v>218</v>
      </c>
      <c r="D882" s="275" t="s">
        <v>434</v>
      </c>
      <c r="E882" s="275" t="s">
        <v>435</v>
      </c>
      <c r="F882" s="275" t="s">
        <v>436</v>
      </c>
      <c r="G882" s="275" t="s">
        <v>437</v>
      </c>
      <c r="H882" s="275" t="s">
        <v>438</v>
      </c>
      <c r="I882" s="275" t="s">
        <v>439</v>
      </c>
      <c r="J882" s="275" t="s">
        <v>440</v>
      </c>
      <c r="K882" s="275" t="s">
        <v>441</v>
      </c>
      <c r="L882" s="275" t="s">
        <v>442</v>
      </c>
      <c r="M882" s="275" t="s">
        <v>443</v>
      </c>
      <c r="N882" s="275" t="s">
        <v>444</v>
      </c>
      <c r="O882" s="275" t="s">
        <v>445</v>
      </c>
      <c r="P882" s="275" t="s">
        <v>446</v>
      </c>
      <c r="Q882" s="275" t="s">
        <v>447</v>
      </c>
      <c r="R882" s="275" t="s">
        <v>451</v>
      </c>
      <c r="S882" s="275" t="s">
        <v>452</v>
      </c>
      <c r="T882" s="275" t="s">
        <v>448</v>
      </c>
      <c r="U882" s="275" t="s">
        <v>449</v>
      </c>
      <c r="V882" s="275" t="s">
        <v>450</v>
      </c>
      <c r="W882" s="275" t="s">
        <v>453</v>
      </c>
      <c r="X882" s="275" t="s">
        <v>454</v>
      </c>
      <c r="Y882" s="275" t="s">
        <v>455</v>
      </c>
      <c r="Z882" s="275" t="s">
        <v>456</v>
      </c>
      <c r="AA882" s="275" t="s">
        <v>457</v>
      </c>
    </row>
    <row r="883" spans="1:27">
      <c r="A883" s="273"/>
      <c r="B883" s="274"/>
      <c r="C883" s="278"/>
      <c r="D883" s="275">
        <v>8.0000000000000002E-3</v>
      </c>
      <c r="E883" s="275">
        <v>4.4999999999999998E-2</v>
      </c>
      <c r="F883" s="275">
        <v>3.3000000000000002E-2</v>
      </c>
      <c r="G883" s="275">
        <v>4.2000000000000003E-2</v>
      </c>
      <c r="H883" s="275">
        <v>0.128</v>
      </c>
      <c r="I883" s="275">
        <v>0.11899999999999999</v>
      </c>
      <c r="J883" s="275">
        <v>0.13700000000000001</v>
      </c>
      <c r="K883" s="275">
        <v>0.106</v>
      </c>
      <c r="L883" s="275">
        <v>0.11</v>
      </c>
      <c r="M883" s="275">
        <v>0.28499999999999998</v>
      </c>
      <c r="N883" s="275">
        <v>0.28100000000000003</v>
      </c>
      <c r="O883" s="275">
        <v>0.316</v>
      </c>
      <c r="P883" s="275">
        <v>0.30399999999999999</v>
      </c>
      <c r="Q883" s="275">
        <v>0.313</v>
      </c>
      <c r="R883" s="275">
        <v>0.26500000000000001</v>
      </c>
      <c r="S883" s="275">
        <v>0.26900000000000002</v>
      </c>
      <c r="T883" s="275">
        <v>0.58799999999999997</v>
      </c>
      <c r="U883" s="275">
        <v>0.60299999999999998</v>
      </c>
      <c r="V883" s="275">
        <v>0.67200000000000004</v>
      </c>
      <c r="W883" s="275">
        <v>0.71799999999999997</v>
      </c>
      <c r="X883" s="275">
        <v>0.74099999999999999</v>
      </c>
      <c r="Y883" s="275">
        <v>1.2390000000000001</v>
      </c>
      <c r="Z883" s="275">
        <v>1.331</v>
      </c>
      <c r="AA883" s="275">
        <v>1.508</v>
      </c>
    </row>
    <row r="884" spans="1:27">
      <c r="A884" s="273"/>
      <c r="B884" s="274"/>
      <c r="C884" s="278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</row>
    <row r="885" spans="1:27">
      <c r="A885" s="273">
        <v>299</v>
      </c>
      <c r="B885" s="274">
        <v>97</v>
      </c>
      <c r="C885" s="278" t="s">
        <v>406</v>
      </c>
      <c r="D885" s="275" t="s">
        <v>434</v>
      </c>
      <c r="E885" s="275" t="s">
        <v>435</v>
      </c>
      <c r="F885" s="275" t="s">
        <v>436</v>
      </c>
      <c r="G885" s="275" t="s">
        <v>437</v>
      </c>
      <c r="H885" s="275" t="s">
        <v>438</v>
      </c>
      <c r="I885" s="275" t="s">
        <v>439</v>
      </c>
      <c r="J885" s="275" t="s">
        <v>440</v>
      </c>
      <c r="K885" s="275" t="s">
        <v>441</v>
      </c>
      <c r="L885" s="275" t="s">
        <v>442</v>
      </c>
      <c r="M885" s="275" t="s">
        <v>443</v>
      </c>
      <c r="N885" s="275" t="s">
        <v>444</v>
      </c>
      <c r="O885" s="275" t="s">
        <v>445</v>
      </c>
      <c r="P885" s="275" t="s">
        <v>446</v>
      </c>
      <c r="Q885" s="275" t="s">
        <v>447</v>
      </c>
      <c r="R885" s="275" t="s">
        <v>451</v>
      </c>
      <c r="S885" s="275" t="s">
        <v>452</v>
      </c>
      <c r="T885" s="275" t="s">
        <v>448</v>
      </c>
      <c r="U885" s="275" t="s">
        <v>449</v>
      </c>
      <c r="V885" s="275" t="s">
        <v>450</v>
      </c>
      <c r="W885" s="275" t="s">
        <v>453</v>
      </c>
      <c r="X885" s="275" t="s">
        <v>454</v>
      </c>
      <c r="Y885" s="275" t="s">
        <v>455</v>
      </c>
      <c r="Z885" s="275" t="s">
        <v>456</v>
      </c>
      <c r="AA885" s="275" t="s">
        <v>457</v>
      </c>
    </row>
    <row r="886" spans="1:27">
      <c r="A886" s="273"/>
      <c r="B886" s="274"/>
      <c r="C886" s="278"/>
      <c r="D886" s="275">
        <v>7.0000000000000001E-3</v>
      </c>
      <c r="E886" s="275">
        <v>4.4999999999999998E-2</v>
      </c>
      <c r="F886" s="275">
        <v>3.2000000000000001E-2</v>
      </c>
      <c r="G886" s="275">
        <v>4.1000000000000002E-2</v>
      </c>
      <c r="H886" s="275">
        <v>0.126</v>
      </c>
      <c r="I886" s="275">
        <v>0.11700000000000001</v>
      </c>
      <c r="J886" s="275">
        <v>0.13500000000000001</v>
      </c>
      <c r="K886" s="275">
        <v>0.104</v>
      </c>
      <c r="L886" s="275">
        <v>0.109</v>
      </c>
      <c r="M886" s="275">
        <v>0.28100000000000003</v>
      </c>
      <c r="N886" s="275">
        <v>0.27700000000000002</v>
      </c>
      <c r="O886" s="275">
        <v>0.312</v>
      </c>
      <c r="P886" s="275">
        <v>0.29899999999999999</v>
      </c>
      <c r="Q886" s="275">
        <v>0.309</v>
      </c>
      <c r="R886" s="275">
        <v>0.26100000000000001</v>
      </c>
      <c r="S886" s="275">
        <v>0.26500000000000001</v>
      </c>
      <c r="T886" s="275">
        <v>0.57699999999999996</v>
      </c>
      <c r="U886" s="275">
        <v>0.59099999999999997</v>
      </c>
      <c r="V886" s="275">
        <v>0.66100000000000003</v>
      </c>
      <c r="W886" s="275">
        <v>0.70499999999999996</v>
      </c>
      <c r="X886" s="275">
        <v>0.72799999999999998</v>
      </c>
      <c r="Y886" s="275">
        <v>1.222</v>
      </c>
      <c r="Z886" s="275">
        <v>1.3169999999999999</v>
      </c>
      <c r="AA886" s="275">
        <v>1.508</v>
      </c>
    </row>
    <row r="887" spans="1:27">
      <c r="A887" s="273"/>
      <c r="B887" s="274"/>
      <c r="C887" s="278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</row>
    <row r="888" spans="1:27">
      <c r="A888" s="273">
        <v>300</v>
      </c>
      <c r="B888" s="274">
        <v>97</v>
      </c>
      <c r="C888" s="278" t="s">
        <v>219</v>
      </c>
      <c r="D888" s="275" t="s">
        <v>434</v>
      </c>
      <c r="E888" s="275" t="s">
        <v>435</v>
      </c>
      <c r="F888" s="275" t="s">
        <v>436</v>
      </c>
      <c r="G888" s="275" t="s">
        <v>437</v>
      </c>
      <c r="H888" s="275" t="s">
        <v>438</v>
      </c>
      <c r="I888" s="275" t="s">
        <v>439</v>
      </c>
      <c r="J888" s="275" t="s">
        <v>440</v>
      </c>
      <c r="K888" s="275" t="s">
        <v>441</v>
      </c>
      <c r="L888" s="275" t="s">
        <v>442</v>
      </c>
      <c r="M888" s="275" t="s">
        <v>443</v>
      </c>
      <c r="N888" s="275" t="s">
        <v>444</v>
      </c>
      <c r="O888" s="275" t="s">
        <v>445</v>
      </c>
      <c r="P888" s="275" t="s">
        <v>446</v>
      </c>
      <c r="Q888" s="275" t="s">
        <v>447</v>
      </c>
      <c r="R888" s="275" t="s">
        <v>451</v>
      </c>
      <c r="S888" s="275" t="s">
        <v>452</v>
      </c>
      <c r="T888" s="275" t="s">
        <v>448</v>
      </c>
      <c r="U888" s="275" t="s">
        <v>449</v>
      </c>
      <c r="V888" s="275" t="s">
        <v>450</v>
      </c>
      <c r="W888" s="275" t="s">
        <v>453</v>
      </c>
      <c r="X888" s="275" t="s">
        <v>454</v>
      </c>
      <c r="Y888" s="275" t="s">
        <v>455</v>
      </c>
      <c r="Z888" s="275" t="s">
        <v>456</v>
      </c>
      <c r="AA888" s="275" t="s">
        <v>457</v>
      </c>
    </row>
    <row r="889" spans="1:27">
      <c r="A889" s="273"/>
      <c r="B889" s="274"/>
      <c r="C889" s="278"/>
      <c r="D889" s="275">
        <v>7.0000000000000001E-3</v>
      </c>
      <c r="E889" s="275">
        <v>4.4999999999999998E-2</v>
      </c>
      <c r="F889" s="275">
        <v>3.2000000000000001E-2</v>
      </c>
      <c r="G889" s="275">
        <v>4.1000000000000002E-2</v>
      </c>
      <c r="H889" s="275">
        <v>0.126</v>
      </c>
      <c r="I889" s="275">
        <v>0.11700000000000001</v>
      </c>
      <c r="J889" s="275">
        <v>0.13500000000000001</v>
      </c>
      <c r="K889" s="275">
        <v>0.104</v>
      </c>
      <c r="L889" s="275">
        <v>0.109</v>
      </c>
      <c r="M889" s="275">
        <v>0.28100000000000003</v>
      </c>
      <c r="N889" s="275">
        <v>0.27700000000000002</v>
      </c>
      <c r="O889" s="275">
        <v>0.312</v>
      </c>
      <c r="P889" s="275">
        <v>0.29899999999999999</v>
      </c>
      <c r="Q889" s="275">
        <v>0.309</v>
      </c>
      <c r="R889" s="275">
        <v>0.26100000000000001</v>
      </c>
      <c r="S889" s="275">
        <v>0.26500000000000001</v>
      </c>
      <c r="T889" s="275">
        <v>0.57699999999999996</v>
      </c>
      <c r="U889" s="275">
        <v>0.59099999999999997</v>
      </c>
      <c r="V889" s="275">
        <v>0.66</v>
      </c>
      <c r="W889" s="275">
        <v>0.70399999999999996</v>
      </c>
      <c r="X889" s="275">
        <v>0.72699999999999998</v>
      </c>
      <c r="Y889" s="275">
        <v>1.2130000000000001</v>
      </c>
      <c r="Z889" s="275">
        <v>1.3029999999999999</v>
      </c>
      <c r="AA889" s="275">
        <v>1.482</v>
      </c>
    </row>
    <row r="890" spans="1:27">
      <c r="A890" s="273"/>
      <c r="B890" s="274"/>
      <c r="C890" s="278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</row>
    <row r="891" spans="1:27">
      <c r="A891" s="273">
        <v>301</v>
      </c>
      <c r="B891" s="274">
        <v>98</v>
      </c>
      <c r="C891" s="278" t="s">
        <v>407</v>
      </c>
      <c r="D891" s="275" t="s">
        <v>434</v>
      </c>
      <c r="E891" s="275" t="s">
        <v>435</v>
      </c>
      <c r="F891" s="275" t="s">
        <v>436</v>
      </c>
      <c r="G891" s="275" t="s">
        <v>437</v>
      </c>
      <c r="H891" s="275" t="s">
        <v>438</v>
      </c>
      <c r="I891" s="275" t="s">
        <v>439</v>
      </c>
      <c r="J891" s="275" t="s">
        <v>440</v>
      </c>
      <c r="K891" s="275" t="s">
        <v>441</v>
      </c>
      <c r="L891" s="275" t="s">
        <v>442</v>
      </c>
      <c r="M891" s="275" t="s">
        <v>443</v>
      </c>
      <c r="N891" s="275" t="s">
        <v>444</v>
      </c>
      <c r="O891" s="275" t="s">
        <v>445</v>
      </c>
      <c r="P891" s="275" t="s">
        <v>446</v>
      </c>
      <c r="Q891" s="275" t="s">
        <v>447</v>
      </c>
      <c r="R891" s="275" t="s">
        <v>451</v>
      </c>
      <c r="S891" s="275" t="s">
        <v>452</v>
      </c>
      <c r="T891" s="275" t="s">
        <v>448</v>
      </c>
      <c r="U891" s="275" t="s">
        <v>449</v>
      </c>
      <c r="V891" s="275" t="s">
        <v>450</v>
      </c>
      <c r="W891" s="275" t="s">
        <v>453</v>
      </c>
      <c r="X891" s="275" t="s">
        <v>454</v>
      </c>
      <c r="Y891" s="275" t="s">
        <v>455</v>
      </c>
      <c r="Z891" s="275" t="s">
        <v>456</v>
      </c>
      <c r="AA891" s="275" t="s">
        <v>457</v>
      </c>
    </row>
    <row r="892" spans="1:27">
      <c r="A892" s="273"/>
      <c r="B892" s="274"/>
      <c r="C892" s="278"/>
      <c r="D892" s="275">
        <v>7.0000000000000001E-3</v>
      </c>
      <c r="E892" s="275">
        <v>4.3999999999999997E-2</v>
      </c>
      <c r="F892" s="275">
        <v>3.1E-2</v>
      </c>
      <c r="G892" s="275">
        <v>4.1000000000000002E-2</v>
      </c>
      <c r="H892" s="275">
        <v>0.124</v>
      </c>
      <c r="I892" s="275">
        <v>0.115</v>
      </c>
      <c r="J892" s="275">
        <v>0.13400000000000001</v>
      </c>
      <c r="K892" s="275">
        <v>0.10299999999999999</v>
      </c>
      <c r="L892" s="275">
        <v>0.108</v>
      </c>
      <c r="M892" s="275">
        <v>0.27600000000000002</v>
      </c>
      <c r="N892" s="275">
        <v>0.27200000000000002</v>
      </c>
      <c r="O892" s="275">
        <v>0.307</v>
      </c>
      <c r="P892" s="275">
        <v>0.29499999999999998</v>
      </c>
      <c r="Q892" s="275">
        <v>0.30499999999999999</v>
      </c>
      <c r="R892" s="275">
        <v>0.25600000000000001</v>
      </c>
      <c r="S892" s="275">
        <v>0.26</v>
      </c>
      <c r="T892" s="275">
        <v>0.56699999999999995</v>
      </c>
      <c r="U892" s="275">
        <v>0.57999999999999996</v>
      </c>
      <c r="V892" s="275">
        <v>0.65</v>
      </c>
      <c r="W892" s="275">
        <v>0.69199999999999995</v>
      </c>
      <c r="X892" s="275">
        <v>0.71499999999999997</v>
      </c>
      <c r="Y892" s="275">
        <v>1.204</v>
      </c>
      <c r="Z892" s="275">
        <v>1.3009999999999999</v>
      </c>
      <c r="AA892" s="275">
        <v>1.5069999999999999</v>
      </c>
    </row>
    <row r="893" spans="1:27">
      <c r="A893" s="273"/>
      <c r="B893" s="274"/>
      <c r="C893" s="278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</row>
    <row r="894" spans="1:27">
      <c r="A894" s="273">
        <v>302</v>
      </c>
      <c r="B894" s="274">
        <v>98</v>
      </c>
      <c r="C894" s="278" t="s">
        <v>220</v>
      </c>
      <c r="D894" s="275" t="s">
        <v>434</v>
      </c>
      <c r="E894" s="275" t="s">
        <v>435</v>
      </c>
      <c r="F894" s="275" t="s">
        <v>436</v>
      </c>
      <c r="G894" s="275" t="s">
        <v>437</v>
      </c>
      <c r="H894" s="275" t="s">
        <v>438</v>
      </c>
      <c r="I894" s="275" t="s">
        <v>439</v>
      </c>
      <c r="J894" s="275" t="s">
        <v>440</v>
      </c>
      <c r="K894" s="275" t="s">
        <v>441</v>
      </c>
      <c r="L894" s="275" t="s">
        <v>442</v>
      </c>
      <c r="M894" s="275" t="s">
        <v>443</v>
      </c>
      <c r="N894" s="275" t="s">
        <v>444</v>
      </c>
      <c r="O894" s="275" t="s">
        <v>445</v>
      </c>
      <c r="P894" s="275" t="s">
        <v>446</v>
      </c>
      <c r="Q894" s="275" t="s">
        <v>447</v>
      </c>
      <c r="R894" s="275" t="s">
        <v>451</v>
      </c>
      <c r="S894" s="275" t="s">
        <v>452</v>
      </c>
      <c r="T894" s="275" t="s">
        <v>448</v>
      </c>
      <c r="U894" s="275" t="s">
        <v>449</v>
      </c>
      <c r="V894" s="275" t="s">
        <v>450</v>
      </c>
      <c r="W894" s="275" t="s">
        <v>453</v>
      </c>
      <c r="X894" s="275" t="s">
        <v>454</v>
      </c>
      <c r="Y894" s="275" t="s">
        <v>455</v>
      </c>
      <c r="Z894" s="275" t="s">
        <v>456</v>
      </c>
      <c r="AA894" s="275" t="s">
        <v>457</v>
      </c>
    </row>
    <row r="895" spans="1:27">
      <c r="A895" s="273"/>
      <c r="B895" s="274"/>
      <c r="C895" s="278"/>
      <c r="D895" s="275">
        <v>7.0000000000000001E-3</v>
      </c>
      <c r="E895" s="275">
        <v>4.3999999999999997E-2</v>
      </c>
      <c r="F895" s="275">
        <v>3.1E-2</v>
      </c>
      <c r="G895" s="275">
        <v>4.1000000000000002E-2</v>
      </c>
      <c r="H895" s="275">
        <v>0.124</v>
      </c>
      <c r="I895" s="275">
        <v>0.115</v>
      </c>
      <c r="J895" s="275">
        <v>0.13400000000000001</v>
      </c>
      <c r="K895" s="275">
        <v>0.10299999999999999</v>
      </c>
      <c r="L895" s="275">
        <v>0.108</v>
      </c>
      <c r="M895" s="275">
        <v>0.27600000000000002</v>
      </c>
      <c r="N895" s="275">
        <v>0.27200000000000002</v>
      </c>
      <c r="O895" s="275">
        <v>0.307</v>
      </c>
      <c r="P895" s="275">
        <v>0.29499999999999998</v>
      </c>
      <c r="Q895" s="275">
        <v>0.30499999999999999</v>
      </c>
      <c r="R895" s="275">
        <v>0.25600000000000001</v>
      </c>
      <c r="S895" s="275">
        <v>0.26</v>
      </c>
      <c r="T895" s="275">
        <v>0.56699999999999995</v>
      </c>
      <c r="U895" s="275">
        <v>0.57899999999999996</v>
      </c>
      <c r="V895" s="275">
        <v>0.65</v>
      </c>
      <c r="W895" s="275">
        <v>0.69099999999999995</v>
      </c>
      <c r="X895" s="275">
        <v>0.71499999999999997</v>
      </c>
      <c r="Y895" s="275">
        <v>1.1970000000000001</v>
      </c>
      <c r="Z895" s="275">
        <v>1.2889999999999999</v>
      </c>
      <c r="AA895" s="275">
        <v>1.4830000000000001</v>
      </c>
    </row>
    <row r="896" spans="1:27">
      <c r="A896" s="273"/>
      <c r="B896" s="274"/>
      <c r="C896" s="278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</row>
    <row r="897" spans="1:27">
      <c r="A897" s="273">
        <v>303</v>
      </c>
      <c r="B897" s="274">
        <v>98</v>
      </c>
      <c r="C897" s="278" t="s">
        <v>221</v>
      </c>
      <c r="D897" s="275" t="s">
        <v>434</v>
      </c>
      <c r="E897" s="275" t="s">
        <v>435</v>
      </c>
      <c r="F897" s="275" t="s">
        <v>436</v>
      </c>
      <c r="G897" s="275" t="s">
        <v>437</v>
      </c>
      <c r="H897" s="275" t="s">
        <v>438</v>
      </c>
      <c r="I897" s="275" t="s">
        <v>439</v>
      </c>
      <c r="J897" s="275" t="s">
        <v>440</v>
      </c>
      <c r="K897" s="275" t="s">
        <v>441</v>
      </c>
      <c r="L897" s="275" t="s">
        <v>442</v>
      </c>
      <c r="M897" s="275" t="s">
        <v>443</v>
      </c>
      <c r="N897" s="275" t="s">
        <v>444</v>
      </c>
      <c r="O897" s="275" t="s">
        <v>445</v>
      </c>
      <c r="P897" s="275" t="s">
        <v>446</v>
      </c>
      <c r="Q897" s="275" t="s">
        <v>447</v>
      </c>
      <c r="R897" s="275" t="s">
        <v>451</v>
      </c>
      <c r="S897" s="275" t="s">
        <v>452</v>
      </c>
      <c r="T897" s="275" t="s">
        <v>448</v>
      </c>
      <c r="U897" s="275" t="s">
        <v>449</v>
      </c>
      <c r="V897" s="275" t="s">
        <v>450</v>
      </c>
      <c r="W897" s="275" t="s">
        <v>453</v>
      </c>
      <c r="X897" s="275" t="s">
        <v>454</v>
      </c>
      <c r="Y897" s="275" t="s">
        <v>455</v>
      </c>
      <c r="Z897" s="275" t="s">
        <v>456</v>
      </c>
      <c r="AA897" s="275" t="s">
        <v>457</v>
      </c>
    </row>
    <row r="898" spans="1:27">
      <c r="A898" s="273"/>
      <c r="B898" s="274"/>
      <c r="C898" s="278"/>
      <c r="D898" s="275">
        <v>7.0000000000000001E-3</v>
      </c>
      <c r="E898" s="275">
        <v>4.3999999999999997E-2</v>
      </c>
      <c r="F898" s="275">
        <v>3.1E-2</v>
      </c>
      <c r="G898" s="275">
        <v>4.1000000000000002E-2</v>
      </c>
      <c r="H898" s="275">
        <v>0.124</v>
      </c>
      <c r="I898" s="275">
        <v>0.115</v>
      </c>
      <c r="J898" s="275">
        <v>0.13400000000000001</v>
      </c>
      <c r="K898" s="275">
        <v>0.10299999999999999</v>
      </c>
      <c r="L898" s="275">
        <v>0.108</v>
      </c>
      <c r="M898" s="275">
        <v>0.27600000000000002</v>
      </c>
      <c r="N898" s="275">
        <v>0.27200000000000002</v>
      </c>
      <c r="O898" s="275">
        <v>0.307</v>
      </c>
      <c r="P898" s="275">
        <v>0.29499999999999998</v>
      </c>
      <c r="Q898" s="275">
        <v>0.30499999999999999</v>
      </c>
      <c r="R898" s="275">
        <v>0.25600000000000001</v>
      </c>
      <c r="S898" s="275">
        <v>0.26</v>
      </c>
      <c r="T898" s="275">
        <v>0.56599999999999995</v>
      </c>
      <c r="U898" s="275">
        <v>0.57899999999999996</v>
      </c>
      <c r="V898" s="275">
        <v>0.64900000000000002</v>
      </c>
      <c r="W898" s="275">
        <v>0.69099999999999995</v>
      </c>
      <c r="X898" s="275">
        <v>0.71399999999999997</v>
      </c>
      <c r="Y898" s="275">
        <v>1.1890000000000001</v>
      </c>
      <c r="Z898" s="275">
        <v>1.2749999999999999</v>
      </c>
      <c r="AA898" s="275">
        <v>1.458</v>
      </c>
    </row>
    <row r="899" spans="1:27">
      <c r="A899" s="273"/>
      <c r="B899" s="274"/>
      <c r="C899" s="278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</row>
    <row r="900" spans="1:27">
      <c r="A900" s="273">
        <v>304</v>
      </c>
      <c r="B900" s="274">
        <v>99</v>
      </c>
      <c r="C900" s="278" t="s">
        <v>408</v>
      </c>
      <c r="D900" s="275" t="s">
        <v>434</v>
      </c>
      <c r="E900" s="275" t="s">
        <v>435</v>
      </c>
      <c r="F900" s="275" t="s">
        <v>436</v>
      </c>
      <c r="G900" s="275" t="s">
        <v>437</v>
      </c>
      <c r="H900" s="275" t="s">
        <v>438</v>
      </c>
      <c r="I900" s="275" t="s">
        <v>439</v>
      </c>
      <c r="J900" s="275" t="s">
        <v>440</v>
      </c>
      <c r="K900" s="275" t="s">
        <v>441</v>
      </c>
      <c r="L900" s="275" t="s">
        <v>442</v>
      </c>
      <c r="M900" s="275" t="s">
        <v>443</v>
      </c>
      <c r="N900" s="275" t="s">
        <v>444</v>
      </c>
      <c r="O900" s="275" t="s">
        <v>445</v>
      </c>
      <c r="P900" s="275" t="s">
        <v>446</v>
      </c>
      <c r="Q900" s="275" t="s">
        <v>447</v>
      </c>
      <c r="R900" s="275" t="s">
        <v>451</v>
      </c>
      <c r="S900" s="275" t="s">
        <v>452</v>
      </c>
      <c r="T900" s="275" t="s">
        <v>448</v>
      </c>
      <c r="U900" s="275" t="s">
        <v>449</v>
      </c>
      <c r="V900" s="275" t="s">
        <v>450</v>
      </c>
      <c r="W900" s="275" t="s">
        <v>453</v>
      </c>
      <c r="X900" s="275" t="s">
        <v>454</v>
      </c>
      <c r="Y900" s="275" t="s">
        <v>455</v>
      </c>
      <c r="Z900" s="275" t="s">
        <v>456</v>
      </c>
      <c r="AA900" s="275" t="s">
        <v>457</v>
      </c>
    </row>
    <row r="901" spans="1:27">
      <c r="A901" s="273"/>
      <c r="B901" s="274"/>
      <c r="C901" s="278"/>
      <c r="D901" s="275">
        <v>7.0000000000000001E-3</v>
      </c>
      <c r="E901" s="275">
        <v>4.2999999999999997E-2</v>
      </c>
      <c r="F901" s="275">
        <v>3.1E-2</v>
      </c>
      <c r="G901" s="275">
        <v>0.04</v>
      </c>
      <c r="H901" s="275">
        <v>0.122</v>
      </c>
      <c r="I901" s="275">
        <v>0.113</v>
      </c>
      <c r="J901" s="275">
        <v>0.13200000000000001</v>
      </c>
      <c r="K901" s="275">
        <v>0.10199999999999999</v>
      </c>
      <c r="L901" s="275">
        <v>0.106</v>
      </c>
      <c r="M901" s="275">
        <v>0.27200000000000002</v>
      </c>
      <c r="N901" s="275">
        <v>0.26700000000000002</v>
      </c>
      <c r="O901" s="275">
        <v>0.30299999999999999</v>
      </c>
      <c r="P901" s="275">
        <v>0.28999999999999998</v>
      </c>
      <c r="Q901" s="275">
        <v>0.3</v>
      </c>
      <c r="R901" s="275">
        <v>0.252</v>
      </c>
      <c r="S901" s="275">
        <v>0.25600000000000001</v>
      </c>
      <c r="T901" s="275">
        <v>0.55600000000000005</v>
      </c>
      <c r="U901" s="275">
        <v>0.56799999999999995</v>
      </c>
      <c r="V901" s="275">
        <v>0.63900000000000001</v>
      </c>
      <c r="W901" s="275">
        <v>0.67900000000000005</v>
      </c>
      <c r="X901" s="275">
        <v>0.70199999999999996</v>
      </c>
      <c r="Y901" s="275">
        <v>1.18</v>
      </c>
      <c r="Z901" s="275">
        <v>1.2729999999999999</v>
      </c>
      <c r="AA901" s="275">
        <v>1.4830000000000001</v>
      </c>
    </row>
    <row r="902" spans="1:27">
      <c r="A902" s="273"/>
      <c r="B902" s="274"/>
      <c r="C902" s="278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</row>
    <row r="903" spans="1:27">
      <c r="A903" s="273">
        <v>305</v>
      </c>
      <c r="B903" s="274">
        <v>99</v>
      </c>
      <c r="C903" s="278" t="s">
        <v>222</v>
      </c>
      <c r="D903" s="275" t="s">
        <v>434</v>
      </c>
      <c r="E903" s="275" t="s">
        <v>435</v>
      </c>
      <c r="F903" s="275" t="s">
        <v>436</v>
      </c>
      <c r="G903" s="275" t="s">
        <v>437</v>
      </c>
      <c r="H903" s="275" t="s">
        <v>438</v>
      </c>
      <c r="I903" s="275" t="s">
        <v>439</v>
      </c>
      <c r="J903" s="275" t="s">
        <v>440</v>
      </c>
      <c r="K903" s="275" t="s">
        <v>441</v>
      </c>
      <c r="L903" s="275" t="s">
        <v>442</v>
      </c>
      <c r="M903" s="275" t="s">
        <v>443</v>
      </c>
      <c r="N903" s="275" t="s">
        <v>444</v>
      </c>
      <c r="O903" s="275" t="s">
        <v>445</v>
      </c>
      <c r="P903" s="275" t="s">
        <v>446</v>
      </c>
      <c r="Q903" s="275" t="s">
        <v>447</v>
      </c>
      <c r="R903" s="275" t="s">
        <v>451</v>
      </c>
      <c r="S903" s="275" t="s">
        <v>452</v>
      </c>
      <c r="T903" s="275" t="s">
        <v>448</v>
      </c>
      <c r="U903" s="275" t="s">
        <v>449</v>
      </c>
      <c r="V903" s="275" t="s">
        <v>450</v>
      </c>
      <c r="W903" s="275" t="s">
        <v>453</v>
      </c>
      <c r="X903" s="275" t="s">
        <v>454</v>
      </c>
      <c r="Y903" s="275" t="s">
        <v>455</v>
      </c>
      <c r="Z903" s="275" t="s">
        <v>456</v>
      </c>
      <c r="AA903" s="275" t="s">
        <v>457</v>
      </c>
    </row>
    <row r="904" spans="1:27">
      <c r="A904" s="273"/>
      <c r="B904" s="274"/>
      <c r="C904" s="278"/>
      <c r="D904" s="275">
        <v>7.0000000000000001E-3</v>
      </c>
      <c r="E904" s="275">
        <v>4.2999999999999997E-2</v>
      </c>
      <c r="F904" s="275">
        <v>3.1E-2</v>
      </c>
      <c r="G904" s="275">
        <v>0.04</v>
      </c>
      <c r="H904" s="275">
        <v>0.122</v>
      </c>
      <c r="I904" s="275">
        <v>0.113</v>
      </c>
      <c r="J904" s="275">
        <v>0.13200000000000001</v>
      </c>
      <c r="K904" s="275">
        <v>0.10199999999999999</v>
      </c>
      <c r="L904" s="275">
        <v>0.106</v>
      </c>
      <c r="M904" s="275">
        <v>0.27200000000000002</v>
      </c>
      <c r="N904" s="275">
        <v>0.26700000000000002</v>
      </c>
      <c r="O904" s="275">
        <v>0.30299999999999999</v>
      </c>
      <c r="P904" s="275">
        <v>0.28999999999999998</v>
      </c>
      <c r="Q904" s="275">
        <v>0.3</v>
      </c>
      <c r="R904" s="275">
        <v>0.252</v>
      </c>
      <c r="S904" s="275">
        <v>0.25600000000000001</v>
      </c>
      <c r="T904" s="275">
        <v>0.55600000000000005</v>
      </c>
      <c r="U904" s="275">
        <v>0.56799999999999995</v>
      </c>
      <c r="V904" s="275">
        <v>0.63900000000000001</v>
      </c>
      <c r="W904" s="275">
        <v>0.67900000000000005</v>
      </c>
      <c r="X904" s="275">
        <v>0.70199999999999996</v>
      </c>
      <c r="Y904" s="275">
        <v>1.173</v>
      </c>
      <c r="Z904" s="275">
        <v>1.262</v>
      </c>
      <c r="AA904" s="275">
        <v>1.4590000000000001</v>
      </c>
    </row>
    <row r="905" spans="1:27">
      <c r="A905" s="273"/>
      <c r="B905" s="274"/>
      <c r="C905" s="278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</row>
    <row r="906" spans="1:27">
      <c r="A906" s="273">
        <v>306</v>
      </c>
      <c r="B906" s="274">
        <v>100</v>
      </c>
      <c r="C906" s="278" t="s">
        <v>409</v>
      </c>
      <c r="D906" s="275" t="s">
        <v>434</v>
      </c>
      <c r="E906" s="275" t="s">
        <v>435</v>
      </c>
      <c r="F906" s="275" t="s">
        <v>436</v>
      </c>
      <c r="G906" s="275" t="s">
        <v>437</v>
      </c>
      <c r="H906" s="275" t="s">
        <v>438</v>
      </c>
      <c r="I906" s="275" t="s">
        <v>439</v>
      </c>
      <c r="J906" s="275" t="s">
        <v>440</v>
      </c>
      <c r="K906" s="275" t="s">
        <v>441</v>
      </c>
      <c r="L906" s="275" t="s">
        <v>442</v>
      </c>
      <c r="M906" s="275" t="s">
        <v>443</v>
      </c>
      <c r="N906" s="275" t="s">
        <v>444</v>
      </c>
      <c r="O906" s="275" t="s">
        <v>445</v>
      </c>
      <c r="P906" s="275" t="s">
        <v>446</v>
      </c>
      <c r="Q906" s="275" t="s">
        <v>447</v>
      </c>
      <c r="R906" s="275" t="s">
        <v>451</v>
      </c>
      <c r="S906" s="275" t="s">
        <v>452</v>
      </c>
      <c r="T906" s="275" t="s">
        <v>448</v>
      </c>
      <c r="U906" s="275" t="s">
        <v>449</v>
      </c>
      <c r="V906" s="275" t="s">
        <v>450</v>
      </c>
      <c r="W906" s="275" t="s">
        <v>453</v>
      </c>
      <c r="X906" s="275" t="s">
        <v>454</v>
      </c>
      <c r="Y906" s="275" t="s">
        <v>455</v>
      </c>
      <c r="Z906" s="275" t="s">
        <v>456</v>
      </c>
      <c r="AA906" s="275" t="s">
        <v>457</v>
      </c>
    </row>
    <row r="907" spans="1:27">
      <c r="A907" s="273"/>
      <c r="B907" s="274"/>
      <c r="C907" s="278"/>
      <c r="D907" s="275">
        <v>7.0000000000000001E-3</v>
      </c>
      <c r="E907" s="275">
        <v>4.2000000000000003E-2</v>
      </c>
      <c r="F907" s="275">
        <v>0.03</v>
      </c>
      <c r="G907" s="275">
        <v>0.04</v>
      </c>
      <c r="H907" s="275">
        <v>0.121</v>
      </c>
      <c r="I907" s="275">
        <v>0.111</v>
      </c>
      <c r="J907" s="275">
        <v>0.13100000000000001</v>
      </c>
      <c r="K907" s="275">
        <v>0.1</v>
      </c>
      <c r="L907" s="275">
        <v>0.105</v>
      </c>
      <c r="M907" s="275">
        <v>0.26700000000000002</v>
      </c>
      <c r="N907" s="275">
        <v>0.26300000000000001</v>
      </c>
      <c r="O907" s="275">
        <v>0.29899999999999999</v>
      </c>
      <c r="P907" s="275">
        <v>0.28599999999999998</v>
      </c>
      <c r="Q907" s="275">
        <v>0.29599999999999999</v>
      </c>
      <c r="R907" s="275">
        <v>0.248</v>
      </c>
      <c r="S907" s="275">
        <v>0.252</v>
      </c>
      <c r="T907" s="275">
        <v>0.54600000000000004</v>
      </c>
      <c r="U907" s="275">
        <v>0.55800000000000005</v>
      </c>
      <c r="V907" s="275">
        <v>0.629</v>
      </c>
      <c r="W907" s="275">
        <v>0.66700000000000004</v>
      </c>
      <c r="X907" s="275">
        <v>0.69</v>
      </c>
      <c r="Y907" s="275">
        <v>1.1559999999999999</v>
      </c>
      <c r="Z907" s="275">
        <v>1.2470000000000001</v>
      </c>
      <c r="AA907" s="275">
        <v>1.46</v>
      </c>
    </row>
    <row r="908" spans="1:27">
      <c r="A908" s="273"/>
      <c r="B908" s="274"/>
      <c r="C908" s="278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</row>
    <row r="909" spans="1:27">
      <c r="A909" s="273">
        <v>307</v>
      </c>
      <c r="B909" s="274">
        <v>100</v>
      </c>
      <c r="C909" s="278" t="s">
        <v>223</v>
      </c>
      <c r="D909" s="275" t="s">
        <v>434</v>
      </c>
      <c r="E909" s="275" t="s">
        <v>435</v>
      </c>
      <c r="F909" s="275" t="s">
        <v>436</v>
      </c>
      <c r="G909" s="275" t="s">
        <v>437</v>
      </c>
      <c r="H909" s="275" t="s">
        <v>438</v>
      </c>
      <c r="I909" s="275" t="s">
        <v>439</v>
      </c>
      <c r="J909" s="275" t="s">
        <v>440</v>
      </c>
      <c r="K909" s="275" t="s">
        <v>441</v>
      </c>
      <c r="L909" s="275" t="s">
        <v>442</v>
      </c>
      <c r="M909" s="275" t="s">
        <v>443</v>
      </c>
      <c r="N909" s="275" t="s">
        <v>444</v>
      </c>
      <c r="O909" s="275" t="s">
        <v>445</v>
      </c>
      <c r="P909" s="275" t="s">
        <v>446</v>
      </c>
      <c r="Q909" s="275" t="s">
        <v>447</v>
      </c>
      <c r="R909" s="275" t="s">
        <v>451</v>
      </c>
      <c r="S909" s="275" t="s">
        <v>452</v>
      </c>
      <c r="T909" s="275" t="s">
        <v>448</v>
      </c>
      <c r="U909" s="275" t="s">
        <v>449</v>
      </c>
      <c r="V909" s="275" t="s">
        <v>450</v>
      </c>
      <c r="W909" s="275" t="s">
        <v>453</v>
      </c>
      <c r="X909" s="275" t="s">
        <v>454</v>
      </c>
      <c r="Y909" s="275" t="s">
        <v>455</v>
      </c>
      <c r="Z909" s="275" t="s">
        <v>456</v>
      </c>
      <c r="AA909" s="275" t="s">
        <v>457</v>
      </c>
    </row>
    <row r="910" spans="1:27">
      <c r="A910" s="273"/>
      <c r="B910" s="274"/>
      <c r="C910" s="278"/>
      <c r="D910" s="275">
        <v>7.0000000000000001E-3</v>
      </c>
      <c r="E910" s="275">
        <v>4.2000000000000003E-2</v>
      </c>
      <c r="F910" s="275">
        <v>0.03</v>
      </c>
      <c r="G910" s="275">
        <v>0.04</v>
      </c>
      <c r="H910" s="275">
        <v>0.121</v>
      </c>
      <c r="I910" s="275">
        <v>0.111</v>
      </c>
      <c r="J910" s="275">
        <v>0.13100000000000001</v>
      </c>
      <c r="K910" s="275">
        <v>0.1</v>
      </c>
      <c r="L910" s="275">
        <v>0.105</v>
      </c>
      <c r="M910" s="275">
        <v>0.26700000000000002</v>
      </c>
      <c r="N910" s="275">
        <v>0.26300000000000001</v>
      </c>
      <c r="O910" s="275">
        <v>0.29899999999999999</v>
      </c>
      <c r="P910" s="275">
        <v>0.28599999999999998</v>
      </c>
      <c r="Q910" s="275">
        <v>0.29599999999999999</v>
      </c>
      <c r="R910" s="275">
        <v>0.248</v>
      </c>
      <c r="S910" s="275">
        <v>0.252</v>
      </c>
      <c r="T910" s="275">
        <v>0.54600000000000004</v>
      </c>
      <c r="U910" s="275">
        <v>0.55700000000000005</v>
      </c>
      <c r="V910" s="275">
        <v>0.629</v>
      </c>
      <c r="W910" s="275">
        <v>0.66600000000000004</v>
      </c>
      <c r="X910" s="275">
        <v>0.68899999999999995</v>
      </c>
      <c r="Y910" s="275">
        <v>1.1499999999999999</v>
      </c>
      <c r="Z910" s="275">
        <v>1.236</v>
      </c>
      <c r="AA910" s="275">
        <v>1.4359999999999999</v>
      </c>
    </row>
    <row r="911" spans="1:27">
      <c r="A911" s="273"/>
      <c r="B911" s="274"/>
      <c r="C911" s="278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</row>
    <row r="912" spans="1:27">
      <c r="A912" s="273">
        <v>308</v>
      </c>
      <c r="B912" s="274">
        <v>101</v>
      </c>
      <c r="C912" s="278" t="s">
        <v>410</v>
      </c>
      <c r="D912" s="275" t="s">
        <v>434</v>
      </c>
      <c r="E912" s="275" t="s">
        <v>435</v>
      </c>
      <c r="F912" s="275" t="s">
        <v>436</v>
      </c>
      <c r="G912" s="275" t="s">
        <v>437</v>
      </c>
      <c r="H912" s="275" t="s">
        <v>438</v>
      </c>
      <c r="I912" s="275" t="s">
        <v>439</v>
      </c>
      <c r="J912" s="275" t="s">
        <v>440</v>
      </c>
      <c r="K912" s="275" t="s">
        <v>441</v>
      </c>
      <c r="L912" s="275" t="s">
        <v>442</v>
      </c>
      <c r="M912" s="275" t="s">
        <v>443</v>
      </c>
      <c r="N912" s="275" t="s">
        <v>444</v>
      </c>
      <c r="O912" s="275" t="s">
        <v>445</v>
      </c>
      <c r="P912" s="275" t="s">
        <v>446</v>
      </c>
      <c r="Q912" s="275" t="s">
        <v>447</v>
      </c>
      <c r="R912" s="275" t="s">
        <v>451</v>
      </c>
      <c r="S912" s="275" t="s">
        <v>452</v>
      </c>
      <c r="T912" s="275" t="s">
        <v>448</v>
      </c>
      <c r="U912" s="275" t="s">
        <v>449</v>
      </c>
      <c r="V912" s="275" t="s">
        <v>450</v>
      </c>
      <c r="W912" s="275" t="s">
        <v>453</v>
      </c>
      <c r="X912" s="275" t="s">
        <v>454</v>
      </c>
      <c r="Y912" s="275" t="s">
        <v>455</v>
      </c>
      <c r="Z912" s="275" t="s">
        <v>456</v>
      </c>
      <c r="AA912" s="275" t="s">
        <v>457</v>
      </c>
    </row>
    <row r="913" spans="1:27">
      <c r="A913" s="273"/>
      <c r="B913" s="274"/>
      <c r="C913" s="278"/>
      <c r="D913" s="275">
        <v>7.0000000000000001E-3</v>
      </c>
      <c r="E913" s="275">
        <v>4.2000000000000003E-2</v>
      </c>
      <c r="F913" s="275">
        <v>0.03</v>
      </c>
      <c r="G913" s="275">
        <v>3.9E-2</v>
      </c>
      <c r="H913" s="275">
        <v>0.11899999999999999</v>
      </c>
      <c r="I913" s="275">
        <v>0.109</v>
      </c>
      <c r="J913" s="275">
        <v>0.129</v>
      </c>
      <c r="K913" s="275">
        <v>9.9000000000000005E-2</v>
      </c>
      <c r="L913" s="275">
        <v>0.104</v>
      </c>
      <c r="M913" s="275">
        <v>0.26300000000000001</v>
      </c>
      <c r="N913" s="275">
        <v>0.25900000000000001</v>
      </c>
      <c r="O913" s="275">
        <v>0.29499999999999998</v>
      </c>
      <c r="P913" s="275">
        <v>0.28199999999999997</v>
      </c>
      <c r="Q913" s="275">
        <v>0.29199999999999998</v>
      </c>
      <c r="R913" s="275">
        <v>0.24399999999999999</v>
      </c>
      <c r="S913" s="275">
        <v>0.248</v>
      </c>
      <c r="T913" s="275">
        <v>0.53600000000000003</v>
      </c>
      <c r="U913" s="275">
        <v>0.54700000000000004</v>
      </c>
      <c r="V913" s="275">
        <v>0.61899999999999999</v>
      </c>
      <c r="W913" s="275">
        <v>0.65500000000000003</v>
      </c>
      <c r="X913" s="275">
        <v>0.67800000000000005</v>
      </c>
      <c r="Y913" s="275">
        <v>1.133</v>
      </c>
      <c r="Z913" s="275">
        <v>1.2210000000000001</v>
      </c>
      <c r="AA913" s="275">
        <v>1.4379999999999999</v>
      </c>
    </row>
    <row r="914" spans="1:27">
      <c r="A914" s="273"/>
      <c r="B914" s="274"/>
      <c r="C914" s="278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</row>
    <row r="915" spans="1:27">
      <c r="A915" s="273">
        <v>309</v>
      </c>
      <c r="B915" s="274">
        <v>101</v>
      </c>
      <c r="C915" s="278" t="s">
        <v>224</v>
      </c>
      <c r="D915" s="275" t="s">
        <v>434</v>
      </c>
      <c r="E915" s="275" t="s">
        <v>435</v>
      </c>
      <c r="F915" s="275" t="s">
        <v>436</v>
      </c>
      <c r="G915" s="275" t="s">
        <v>437</v>
      </c>
      <c r="H915" s="275" t="s">
        <v>438</v>
      </c>
      <c r="I915" s="275" t="s">
        <v>439</v>
      </c>
      <c r="J915" s="275" t="s">
        <v>440</v>
      </c>
      <c r="K915" s="275" t="s">
        <v>441</v>
      </c>
      <c r="L915" s="275" t="s">
        <v>442</v>
      </c>
      <c r="M915" s="275" t="s">
        <v>443</v>
      </c>
      <c r="N915" s="275" t="s">
        <v>444</v>
      </c>
      <c r="O915" s="275" t="s">
        <v>445</v>
      </c>
      <c r="P915" s="275" t="s">
        <v>446</v>
      </c>
      <c r="Q915" s="275" t="s">
        <v>447</v>
      </c>
      <c r="R915" s="275" t="s">
        <v>451</v>
      </c>
      <c r="S915" s="275" t="s">
        <v>452</v>
      </c>
      <c r="T915" s="275" t="s">
        <v>448</v>
      </c>
      <c r="U915" s="275" t="s">
        <v>449</v>
      </c>
      <c r="V915" s="275" t="s">
        <v>450</v>
      </c>
      <c r="W915" s="275" t="s">
        <v>453</v>
      </c>
      <c r="X915" s="275" t="s">
        <v>454</v>
      </c>
      <c r="Y915" s="275" t="s">
        <v>455</v>
      </c>
      <c r="Z915" s="275" t="s">
        <v>456</v>
      </c>
      <c r="AA915" s="275" t="s">
        <v>457</v>
      </c>
    </row>
    <row r="916" spans="1:27">
      <c r="A916" s="273"/>
      <c r="B916" s="274"/>
      <c r="C916" s="278"/>
      <c r="D916" s="275">
        <v>7.0000000000000001E-3</v>
      </c>
      <c r="E916" s="275">
        <v>4.2000000000000003E-2</v>
      </c>
      <c r="F916" s="275">
        <v>0.03</v>
      </c>
      <c r="G916" s="275">
        <v>3.9E-2</v>
      </c>
      <c r="H916" s="275">
        <v>0.11899999999999999</v>
      </c>
      <c r="I916" s="275">
        <v>0.109</v>
      </c>
      <c r="J916" s="275">
        <v>0.129</v>
      </c>
      <c r="K916" s="275">
        <v>9.9000000000000005E-2</v>
      </c>
      <c r="L916" s="275">
        <v>0.104</v>
      </c>
      <c r="M916" s="275">
        <v>0.26300000000000001</v>
      </c>
      <c r="N916" s="275">
        <v>0.25900000000000001</v>
      </c>
      <c r="O916" s="275">
        <v>0.29499999999999998</v>
      </c>
      <c r="P916" s="275">
        <v>0.28199999999999997</v>
      </c>
      <c r="Q916" s="275">
        <v>0.29199999999999998</v>
      </c>
      <c r="R916" s="275">
        <v>0.24399999999999999</v>
      </c>
      <c r="S916" s="275">
        <v>0.248</v>
      </c>
      <c r="T916" s="275">
        <v>0.53600000000000003</v>
      </c>
      <c r="U916" s="275">
        <v>0.54700000000000004</v>
      </c>
      <c r="V916" s="275">
        <v>0.61899999999999999</v>
      </c>
      <c r="W916" s="275">
        <v>0.65400000000000003</v>
      </c>
      <c r="X916" s="275">
        <v>0.67700000000000005</v>
      </c>
      <c r="Y916" s="275">
        <v>1.127</v>
      </c>
      <c r="Z916" s="275">
        <v>1.2110000000000001</v>
      </c>
      <c r="AA916" s="275">
        <v>1.415</v>
      </c>
    </row>
    <row r="917" spans="1:27">
      <c r="A917" s="273"/>
      <c r="B917" s="274"/>
      <c r="C917" s="278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</row>
    <row r="918" spans="1:27">
      <c r="A918" s="273">
        <v>310</v>
      </c>
      <c r="B918" s="274">
        <v>102</v>
      </c>
      <c r="C918" s="278" t="s">
        <v>411</v>
      </c>
      <c r="D918" s="275" t="s">
        <v>434</v>
      </c>
      <c r="E918" s="275" t="s">
        <v>435</v>
      </c>
      <c r="F918" s="275" t="s">
        <v>436</v>
      </c>
      <c r="G918" s="275" t="s">
        <v>437</v>
      </c>
      <c r="H918" s="275" t="s">
        <v>438</v>
      </c>
      <c r="I918" s="275" t="s">
        <v>439</v>
      </c>
      <c r="J918" s="275" t="s">
        <v>440</v>
      </c>
      <c r="K918" s="275" t="s">
        <v>441</v>
      </c>
      <c r="L918" s="275" t="s">
        <v>442</v>
      </c>
      <c r="M918" s="275" t="s">
        <v>443</v>
      </c>
      <c r="N918" s="275" t="s">
        <v>444</v>
      </c>
      <c r="O918" s="275" t="s">
        <v>445</v>
      </c>
      <c r="P918" s="275" t="s">
        <v>446</v>
      </c>
      <c r="Q918" s="275" t="s">
        <v>447</v>
      </c>
      <c r="R918" s="275" t="s">
        <v>451</v>
      </c>
      <c r="S918" s="275" t="s">
        <v>452</v>
      </c>
      <c r="T918" s="275" t="s">
        <v>448</v>
      </c>
      <c r="U918" s="275" t="s">
        <v>449</v>
      </c>
      <c r="V918" s="275" t="s">
        <v>450</v>
      </c>
      <c r="W918" s="275" t="s">
        <v>453</v>
      </c>
      <c r="X918" s="275" t="s">
        <v>454</v>
      </c>
      <c r="Y918" s="275" t="s">
        <v>455</v>
      </c>
      <c r="Z918" s="275" t="s">
        <v>456</v>
      </c>
      <c r="AA918" s="275" t="s">
        <v>457</v>
      </c>
    </row>
    <row r="919" spans="1:27">
      <c r="A919" s="273"/>
      <c r="B919" s="274"/>
      <c r="C919" s="278"/>
      <c r="D919" s="275">
        <v>7.0000000000000001E-3</v>
      </c>
      <c r="E919" s="275">
        <v>4.1000000000000002E-2</v>
      </c>
      <c r="F919" s="275">
        <v>2.9000000000000001E-2</v>
      </c>
      <c r="G919" s="275">
        <v>3.9E-2</v>
      </c>
      <c r="H919" s="275">
        <v>0.11700000000000001</v>
      </c>
      <c r="I919" s="275">
        <v>0.108</v>
      </c>
      <c r="J919" s="275">
        <v>0.127</v>
      </c>
      <c r="K919" s="275">
        <v>9.8000000000000004E-2</v>
      </c>
      <c r="L919" s="275">
        <v>0.10299999999999999</v>
      </c>
      <c r="M919" s="275">
        <v>0.25900000000000001</v>
      </c>
      <c r="N919" s="275">
        <v>0.254</v>
      </c>
      <c r="O919" s="275">
        <v>0.29099999999999998</v>
      </c>
      <c r="P919" s="275">
        <v>0.27800000000000002</v>
      </c>
      <c r="Q919" s="275">
        <v>0.28799999999999998</v>
      </c>
      <c r="R919" s="275">
        <v>0.24</v>
      </c>
      <c r="S919" s="275">
        <v>0.245</v>
      </c>
      <c r="T919" s="275">
        <v>0.52700000000000002</v>
      </c>
      <c r="U919" s="275">
        <v>0.53700000000000003</v>
      </c>
      <c r="V919" s="275">
        <v>0.60899999999999999</v>
      </c>
      <c r="W919" s="275">
        <v>0.64300000000000002</v>
      </c>
      <c r="X919" s="275">
        <v>0.66600000000000004</v>
      </c>
      <c r="Y919" s="275">
        <v>1.1120000000000001</v>
      </c>
      <c r="Z919" s="275">
        <v>1.196</v>
      </c>
      <c r="AA919" s="275">
        <v>1.417</v>
      </c>
    </row>
    <row r="920" spans="1:27">
      <c r="A920" s="273"/>
      <c r="B920" s="274"/>
      <c r="C920" s="278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</row>
    <row r="921" spans="1:27">
      <c r="A921" s="273">
        <v>311</v>
      </c>
      <c r="B921" s="274">
        <v>102</v>
      </c>
      <c r="C921" s="278" t="s">
        <v>225</v>
      </c>
      <c r="D921" s="275" t="s">
        <v>434</v>
      </c>
      <c r="E921" s="275" t="s">
        <v>435</v>
      </c>
      <c r="F921" s="275" t="s">
        <v>436</v>
      </c>
      <c r="G921" s="275" t="s">
        <v>437</v>
      </c>
      <c r="H921" s="275" t="s">
        <v>438</v>
      </c>
      <c r="I921" s="275" t="s">
        <v>439</v>
      </c>
      <c r="J921" s="275" t="s">
        <v>440</v>
      </c>
      <c r="K921" s="275" t="s">
        <v>441</v>
      </c>
      <c r="L921" s="275" t="s">
        <v>442</v>
      </c>
      <c r="M921" s="275" t="s">
        <v>443</v>
      </c>
      <c r="N921" s="275" t="s">
        <v>444</v>
      </c>
      <c r="O921" s="275" t="s">
        <v>445</v>
      </c>
      <c r="P921" s="275" t="s">
        <v>446</v>
      </c>
      <c r="Q921" s="275" t="s">
        <v>447</v>
      </c>
      <c r="R921" s="275" t="s">
        <v>451</v>
      </c>
      <c r="S921" s="275" t="s">
        <v>452</v>
      </c>
      <c r="T921" s="275" t="s">
        <v>448</v>
      </c>
      <c r="U921" s="275" t="s">
        <v>449</v>
      </c>
      <c r="V921" s="275" t="s">
        <v>450</v>
      </c>
      <c r="W921" s="275" t="s">
        <v>453</v>
      </c>
      <c r="X921" s="275" t="s">
        <v>454</v>
      </c>
      <c r="Y921" s="275" t="s">
        <v>455</v>
      </c>
      <c r="Z921" s="275" t="s">
        <v>456</v>
      </c>
      <c r="AA921" s="275" t="s">
        <v>457</v>
      </c>
    </row>
    <row r="922" spans="1:27">
      <c r="A922" s="273"/>
      <c r="B922" s="274"/>
      <c r="C922" s="278"/>
      <c r="D922" s="275">
        <v>7.0000000000000001E-3</v>
      </c>
      <c r="E922" s="275">
        <v>4.1000000000000002E-2</v>
      </c>
      <c r="F922" s="275">
        <v>2.9000000000000001E-2</v>
      </c>
      <c r="G922" s="275">
        <v>3.9E-2</v>
      </c>
      <c r="H922" s="275">
        <v>0.11700000000000001</v>
      </c>
      <c r="I922" s="275">
        <v>0.108</v>
      </c>
      <c r="J922" s="275">
        <v>0.127</v>
      </c>
      <c r="K922" s="275">
        <v>9.8000000000000004E-2</v>
      </c>
      <c r="L922" s="275">
        <v>0.10299999999999999</v>
      </c>
      <c r="M922" s="275">
        <v>0.25900000000000001</v>
      </c>
      <c r="N922" s="275">
        <v>0.254</v>
      </c>
      <c r="O922" s="275">
        <v>0.29099999999999998</v>
      </c>
      <c r="P922" s="275">
        <v>0.27800000000000002</v>
      </c>
      <c r="Q922" s="275">
        <v>0.28799999999999998</v>
      </c>
      <c r="R922" s="275">
        <v>0.24099999999999999</v>
      </c>
      <c r="S922" s="275">
        <v>0.245</v>
      </c>
      <c r="T922" s="275">
        <v>0.52700000000000002</v>
      </c>
      <c r="U922" s="275">
        <v>0.53700000000000003</v>
      </c>
      <c r="V922" s="275">
        <v>0.60899999999999999</v>
      </c>
      <c r="W922" s="275">
        <v>0.64300000000000002</v>
      </c>
      <c r="X922" s="275">
        <v>0.66600000000000004</v>
      </c>
      <c r="Y922" s="275">
        <v>1.1060000000000001</v>
      </c>
      <c r="Z922" s="275">
        <v>1.1859999999999999</v>
      </c>
      <c r="AA922" s="275">
        <v>1.3939999999999999</v>
      </c>
    </row>
    <row r="923" spans="1:27">
      <c r="A923" s="273"/>
      <c r="B923" s="274"/>
      <c r="C923" s="278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</row>
    <row r="924" spans="1:27">
      <c r="A924" s="273">
        <v>312</v>
      </c>
      <c r="B924" s="274">
        <v>103</v>
      </c>
      <c r="C924" s="278" t="s">
        <v>412</v>
      </c>
      <c r="D924" s="275" t="s">
        <v>434</v>
      </c>
      <c r="E924" s="275" t="s">
        <v>435</v>
      </c>
      <c r="F924" s="275" t="s">
        <v>436</v>
      </c>
      <c r="G924" s="275" t="s">
        <v>437</v>
      </c>
      <c r="H924" s="275" t="s">
        <v>438</v>
      </c>
      <c r="I924" s="275" t="s">
        <v>439</v>
      </c>
      <c r="J924" s="275" t="s">
        <v>440</v>
      </c>
      <c r="K924" s="275" t="s">
        <v>441</v>
      </c>
      <c r="L924" s="275" t="s">
        <v>442</v>
      </c>
      <c r="M924" s="275" t="s">
        <v>443</v>
      </c>
      <c r="N924" s="275" t="s">
        <v>444</v>
      </c>
      <c r="O924" s="275" t="s">
        <v>445</v>
      </c>
      <c r="P924" s="275" t="s">
        <v>446</v>
      </c>
      <c r="Q924" s="275" t="s">
        <v>447</v>
      </c>
      <c r="R924" s="275" t="s">
        <v>451</v>
      </c>
      <c r="S924" s="275" t="s">
        <v>452</v>
      </c>
      <c r="T924" s="275" t="s">
        <v>448</v>
      </c>
      <c r="U924" s="275" t="s">
        <v>449</v>
      </c>
      <c r="V924" s="275" t="s">
        <v>450</v>
      </c>
      <c r="W924" s="275" t="s">
        <v>453</v>
      </c>
      <c r="X924" s="275" t="s">
        <v>454</v>
      </c>
      <c r="Y924" s="275" t="s">
        <v>455</v>
      </c>
      <c r="Z924" s="275" t="s">
        <v>456</v>
      </c>
      <c r="AA924" s="275" t="s">
        <v>457</v>
      </c>
    </row>
    <row r="925" spans="1:27">
      <c r="A925" s="273"/>
      <c r="B925" s="274"/>
      <c r="C925" s="278"/>
      <c r="D925" s="275">
        <v>7.0000000000000001E-3</v>
      </c>
      <c r="E925" s="275">
        <v>0.04</v>
      </c>
      <c r="F925" s="275">
        <v>2.9000000000000001E-2</v>
      </c>
      <c r="G925" s="275">
        <v>3.7999999999999999E-2</v>
      </c>
      <c r="H925" s="275">
        <v>0.115</v>
      </c>
      <c r="I925" s="275">
        <v>0.106</v>
      </c>
      <c r="J925" s="275">
        <v>0.126</v>
      </c>
      <c r="K925" s="275">
        <v>9.7000000000000003E-2</v>
      </c>
      <c r="L925" s="275">
        <v>0.10100000000000001</v>
      </c>
      <c r="M925" s="275">
        <v>0.255</v>
      </c>
      <c r="N925" s="275">
        <v>0.25</v>
      </c>
      <c r="O925" s="275">
        <v>0.28799999999999998</v>
      </c>
      <c r="P925" s="275">
        <v>0.27400000000000002</v>
      </c>
      <c r="Q925" s="275">
        <v>0.28499999999999998</v>
      </c>
      <c r="R925" s="275">
        <v>0.23699999999999999</v>
      </c>
      <c r="S925" s="275">
        <v>0.24099999999999999</v>
      </c>
      <c r="T925" s="275">
        <v>0.51700000000000002</v>
      </c>
      <c r="U925" s="275">
        <v>0.52700000000000002</v>
      </c>
      <c r="V925" s="275">
        <v>0.6</v>
      </c>
      <c r="W925" s="275">
        <v>0.63200000000000001</v>
      </c>
      <c r="X925" s="275">
        <v>0.65500000000000003</v>
      </c>
      <c r="Y925" s="275">
        <v>1.085</v>
      </c>
      <c r="Z925" s="275">
        <v>1.163</v>
      </c>
      <c r="AA925" s="275">
        <v>1.3740000000000001</v>
      </c>
    </row>
    <row r="926" spans="1:27">
      <c r="A926" s="273"/>
      <c r="B926" s="274"/>
      <c r="C926" s="278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</row>
    <row r="927" spans="1:27">
      <c r="A927" s="273">
        <v>313</v>
      </c>
      <c r="B927" s="274">
        <v>104</v>
      </c>
      <c r="C927" s="278" t="s">
        <v>413</v>
      </c>
      <c r="D927" s="275" t="s">
        <v>434</v>
      </c>
      <c r="E927" s="275" t="s">
        <v>435</v>
      </c>
      <c r="F927" s="275" t="s">
        <v>436</v>
      </c>
      <c r="G927" s="275" t="s">
        <v>437</v>
      </c>
      <c r="H927" s="275" t="s">
        <v>438</v>
      </c>
      <c r="I927" s="275" t="s">
        <v>439</v>
      </c>
      <c r="J927" s="275" t="s">
        <v>440</v>
      </c>
      <c r="K927" s="275" t="s">
        <v>441</v>
      </c>
      <c r="L927" s="275" t="s">
        <v>442</v>
      </c>
      <c r="M927" s="275" t="s">
        <v>443</v>
      </c>
      <c r="N927" s="275" t="s">
        <v>444</v>
      </c>
      <c r="O927" s="275" t="s">
        <v>445</v>
      </c>
      <c r="P927" s="275" t="s">
        <v>446</v>
      </c>
      <c r="Q927" s="275" t="s">
        <v>447</v>
      </c>
      <c r="R927" s="275" t="s">
        <v>451</v>
      </c>
      <c r="S927" s="275" t="s">
        <v>452</v>
      </c>
      <c r="T927" s="275" t="s">
        <v>448</v>
      </c>
      <c r="U927" s="275" t="s">
        <v>449</v>
      </c>
      <c r="V927" s="275" t="s">
        <v>450</v>
      </c>
      <c r="W927" s="275" t="s">
        <v>453</v>
      </c>
      <c r="X927" s="275" t="s">
        <v>454</v>
      </c>
      <c r="Y927" s="275" t="s">
        <v>455</v>
      </c>
      <c r="Z927" s="275" t="s">
        <v>456</v>
      </c>
      <c r="AA927" s="275" t="s">
        <v>457</v>
      </c>
    </row>
    <row r="928" spans="1:27">
      <c r="A928" s="273"/>
      <c r="B928" s="274"/>
      <c r="C928" s="278"/>
      <c r="D928" s="275">
        <v>6.0000000000000001E-3</v>
      </c>
      <c r="E928" s="275">
        <v>0.04</v>
      </c>
      <c r="F928" s="275">
        <v>2.8000000000000001E-2</v>
      </c>
      <c r="G928" s="275">
        <v>3.7999999999999999E-2</v>
      </c>
      <c r="H928" s="275">
        <v>0.113</v>
      </c>
      <c r="I928" s="275">
        <v>0.104</v>
      </c>
      <c r="J928" s="275">
        <v>0.124</v>
      </c>
      <c r="K928" s="275">
        <v>9.5000000000000001E-2</v>
      </c>
      <c r="L928" s="275">
        <v>0.1</v>
      </c>
      <c r="M928" s="275">
        <v>0.251</v>
      </c>
      <c r="N928" s="275">
        <v>0.246</v>
      </c>
      <c r="O928" s="275">
        <v>0.28399999999999997</v>
      </c>
      <c r="P928" s="275">
        <v>0.27100000000000002</v>
      </c>
      <c r="Q928" s="275">
        <v>0.28100000000000003</v>
      </c>
      <c r="R928" s="275">
        <v>0.23300000000000001</v>
      </c>
      <c r="S928" s="275">
        <v>0.23799999999999999</v>
      </c>
      <c r="T928" s="275">
        <v>0.50800000000000001</v>
      </c>
      <c r="U928" s="275">
        <v>0.51700000000000002</v>
      </c>
      <c r="V928" s="275">
        <v>0.59</v>
      </c>
      <c r="W928" s="275">
        <v>0.621</v>
      </c>
      <c r="X928" s="275">
        <v>0.64400000000000002</v>
      </c>
      <c r="Y928" s="275">
        <v>1.0580000000000001</v>
      </c>
      <c r="Z928" s="275">
        <v>1.1299999999999999</v>
      </c>
      <c r="AA928" s="275">
        <v>1.3320000000000001</v>
      </c>
    </row>
    <row r="929" spans="1:27">
      <c r="A929" s="273"/>
      <c r="B929" s="274"/>
      <c r="C929" s="278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</row>
    <row r="930" spans="1:27">
      <c r="A930" s="273">
        <v>314</v>
      </c>
      <c r="B930" s="274">
        <v>105</v>
      </c>
      <c r="C930" s="278" t="s">
        <v>414</v>
      </c>
      <c r="D930" s="275" t="s">
        <v>434</v>
      </c>
      <c r="E930" s="275" t="s">
        <v>435</v>
      </c>
      <c r="F930" s="275" t="s">
        <v>436</v>
      </c>
      <c r="G930" s="275" t="s">
        <v>437</v>
      </c>
      <c r="H930" s="275" t="s">
        <v>438</v>
      </c>
      <c r="I930" s="275" t="s">
        <v>439</v>
      </c>
      <c r="J930" s="275" t="s">
        <v>440</v>
      </c>
      <c r="K930" s="275" t="s">
        <v>441</v>
      </c>
      <c r="L930" s="275" t="s">
        <v>442</v>
      </c>
      <c r="M930" s="275" t="s">
        <v>443</v>
      </c>
      <c r="N930" s="275" t="s">
        <v>444</v>
      </c>
      <c r="O930" s="275" t="s">
        <v>445</v>
      </c>
      <c r="P930" s="275" t="s">
        <v>446</v>
      </c>
      <c r="Q930" s="275" t="s">
        <v>447</v>
      </c>
      <c r="R930" s="275" t="s">
        <v>451</v>
      </c>
      <c r="S930" s="275" t="s">
        <v>452</v>
      </c>
      <c r="T930" s="275" t="s">
        <v>448</v>
      </c>
      <c r="U930" s="275" t="s">
        <v>449</v>
      </c>
      <c r="V930" s="275" t="s">
        <v>450</v>
      </c>
      <c r="W930" s="275" t="s">
        <v>453</v>
      </c>
      <c r="X930" s="275" t="s">
        <v>454</v>
      </c>
      <c r="Y930" s="275" t="s">
        <v>455</v>
      </c>
      <c r="Z930" s="275" t="s">
        <v>456</v>
      </c>
      <c r="AA930" s="275" t="s">
        <v>457</v>
      </c>
    </row>
    <row r="931" spans="1:27">
      <c r="A931" s="273"/>
      <c r="B931" s="274"/>
      <c r="C931" s="278"/>
      <c r="D931" s="275">
        <v>6.0000000000000001E-3</v>
      </c>
      <c r="E931" s="275">
        <v>3.9E-2</v>
      </c>
      <c r="F931" s="275">
        <v>2.7E-2</v>
      </c>
      <c r="G931" s="275">
        <v>3.6999999999999998E-2</v>
      </c>
      <c r="H931" s="275">
        <v>0.111</v>
      </c>
      <c r="I931" s="275">
        <v>0.10199999999999999</v>
      </c>
      <c r="J931" s="275">
        <v>0.123</v>
      </c>
      <c r="K931" s="275">
        <v>9.4E-2</v>
      </c>
      <c r="L931" s="275">
        <v>9.9000000000000005E-2</v>
      </c>
      <c r="M931" s="275">
        <v>0.247</v>
      </c>
      <c r="N931" s="275">
        <v>0.24199999999999999</v>
      </c>
      <c r="O931" s="275">
        <v>0.28000000000000003</v>
      </c>
      <c r="P931" s="275">
        <v>0.26700000000000002</v>
      </c>
      <c r="Q931" s="275">
        <v>0.27700000000000002</v>
      </c>
      <c r="R931" s="275">
        <v>0.23</v>
      </c>
      <c r="S931" s="275">
        <v>0.23400000000000001</v>
      </c>
      <c r="T931" s="275">
        <v>0.499</v>
      </c>
      <c r="U931" s="275">
        <v>0.50700000000000001</v>
      </c>
      <c r="V931" s="275">
        <v>0.58099999999999996</v>
      </c>
      <c r="W931" s="275">
        <v>0.61</v>
      </c>
      <c r="X931" s="275">
        <v>0.63300000000000001</v>
      </c>
      <c r="Y931" s="275">
        <v>1.032</v>
      </c>
      <c r="Z931" s="275">
        <v>1.0980000000000001</v>
      </c>
      <c r="AA931" s="275">
        <v>1.2929999999999999</v>
      </c>
    </row>
    <row r="932" spans="1:27">
      <c r="A932" s="273"/>
      <c r="B932" s="274"/>
      <c r="C932" s="278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</row>
    <row r="933" spans="1:27">
      <c r="A933" s="273">
        <v>315</v>
      </c>
      <c r="B933" s="274">
        <v>106</v>
      </c>
      <c r="C933" s="278" t="s">
        <v>415</v>
      </c>
      <c r="D933" s="275" t="s">
        <v>434</v>
      </c>
      <c r="E933" s="275" t="s">
        <v>435</v>
      </c>
      <c r="F933" s="275" t="s">
        <v>436</v>
      </c>
      <c r="G933" s="275" t="s">
        <v>437</v>
      </c>
      <c r="H933" s="275" t="s">
        <v>438</v>
      </c>
      <c r="I933" s="275" t="s">
        <v>439</v>
      </c>
      <c r="J933" s="275" t="s">
        <v>440</v>
      </c>
      <c r="K933" s="275" t="s">
        <v>441</v>
      </c>
      <c r="L933" s="275" t="s">
        <v>442</v>
      </c>
      <c r="M933" s="275" t="s">
        <v>443</v>
      </c>
      <c r="N933" s="275" t="s">
        <v>444</v>
      </c>
      <c r="O933" s="275" t="s">
        <v>445</v>
      </c>
      <c r="P933" s="275" t="s">
        <v>446</v>
      </c>
      <c r="Q933" s="275" t="s">
        <v>447</v>
      </c>
      <c r="R933" s="275" t="s">
        <v>451</v>
      </c>
      <c r="S933" s="275" t="s">
        <v>452</v>
      </c>
      <c r="T933" s="275" t="s">
        <v>448</v>
      </c>
      <c r="U933" s="275" t="s">
        <v>449</v>
      </c>
      <c r="V933" s="275" t="s">
        <v>450</v>
      </c>
      <c r="W933" s="275" t="s">
        <v>453</v>
      </c>
      <c r="X933" s="275" t="s">
        <v>454</v>
      </c>
      <c r="Y933" s="275" t="s">
        <v>455</v>
      </c>
      <c r="Z933" s="275" t="s">
        <v>456</v>
      </c>
      <c r="AA933" s="275" t="s">
        <v>457</v>
      </c>
    </row>
    <row r="934" spans="1:27">
      <c r="A934" s="273"/>
      <c r="B934" s="274"/>
      <c r="C934" s="278"/>
      <c r="D934" s="275">
        <v>6.0000000000000001E-3</v>
      </c>
      <c r="E934" s="275">
        <v>3.7999999999999999E-2</v>
      </c>
      <c r="F934" s="275">
        <v>2.7E-2</v>
      </c>
      <c r="G934" s="275">
        <v>3.6999999999999998E-2</v>
      </c>
      <c r="H934" s="275">
        <v>0.11</v>
      </c>
      <c r="I934" s="275">
        <v>0.10100000000000001</v>
      </c>
      <c r="J934" s="275">
        <v>0.122</v>
      </c>
      <c r="K934" s="275">
        <v>9.2999999999999999E-2</v>
      </c>
      <c r="L934" s="275">
        <v>9.8000000000000004E-2</v>
      </c>
      <c r="M934" s="275">
        <v>0.24299999999999999</v>
      </c>
      <c r="N934" s="275">
        <v>0.23799999999999999</v>
      </c>
      <c r="O934" s="275">
        <v>0.27700000000000002</v>
      </c>
      <c r="P934" s="275">
        <v>0.26300000000000001</v>
      </c>
      <c r="Q934" s="275">
        <v>0.27400000000000002</v>
      </c>
      <c r="R934" s="275">
        <v>0.22700000000000001</v>
      </c>
      <c r="S934" s="275">
        <v>0.23100000000000001</v>
      </c>
      <c r="T934" s="275">
        <v>0.49</v>
      </c>
      <c r="U934" s="275">
        <v>0.498</v>
      </c>
      <c r="V934" s="275">
        <v>0.57199999999999995</v>
      </c>
      <c r="W934" s="275">
        <v>0.59899999999999998</v>
      </c>
      <c r="X934" s="275">
        <v>0.622</v>
      </c>
      <c r="Y934" s="275">
        <v>1.0069999999999999</v>
      </c>
      <c r="Z934" s="275">
        <v>1.0669999999999999</v>
      </c>
      <c r="AA934" s="275">
        <v>1.2549999999999999</v>
      </c>
    </row>
    <row r="935" spans="1:27">
      <c r="A935" s="273"/>
      <c r="B935" s="274"/>
      <c r="C935" s="278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</row>
    <row r="936" spans="1:27">
      <c r="A936" s="273">
        <v>316</v>
      </c>
      <c r="B936" s="274">
        <v>107</v>
      </c>
      <c r="C936" s="278" t="s">
        <v>416</v>
      </c>
      <c r="D936" s="275" t="s">
        <v>434</v>
      </c>
      <c r="E936" s="275" t="s">
        <v>435</v>
      </c>
      <c r="F936" s="275" t="s">
        <v>436</v>
      </c>
      <c r="G936" s="275" t="s">
        <v>437</v>
      </c>
      <c r="H936" s="275" t="s">
        <v>438</v>
      </c>
      <c r="I936" s="275" t="s">
        <v>439</v>
      </c>
      <c r="J936" s="275" t="s">
        <v>440</v>
      </c>
      <c r="K936" s="275" t="s">
        <v>441</v>
      </c>
      <c r="L936" s="275" t="s">
        <v>442</v>
      </c>
      <c r="M936" s="275" t="s">
        <v>443</v>
      </c>
      <c r="N936" s="275" t="s">
        <v>444</v>
      </c>
      <c r="O936" s="275" t="s">
        <v>445</v>
      </c>
      <c r="P936" s="275" t="s">
        <v>446</v>
      </c>
      <c r="Q936" s="275" t="s">
        <v>447</v>
      </c>
      <c r="R936" s="275" t="s">
        <v>451</v>
      </c>
      <c r="S936" s="275" t="s">
        <v>452</v>
      </c>
      <c r="T936" s="275" t="s">
        <v>448</v>
      </c>
      <c r="U936" s="275" t="s">
        <v>449</v>
      </c>
      <c r="V936" s="275" t="s">
        <v>450</v>
      </c>
      <c r="W936" s="275" t="s">
        <v>453</v>
      </c>
      <c r="X936" s="275" t="s">
        <v>454</v>
      </c>
      <c r="Y936" s="275" t="s">
        <v>455</v>
      </c>
      <c r="Z936" s="275" t="s">
        <v>456</v>
      </c>
      <c r="AA936" s="275" t="s">
        <v>457</v>
      </c>
    </row>
    <row r="937" spans="1:27">
      <c r="A937" s="273"/>
      <c r="B937" s="274"/>
      <c r="C937" s="278"/>
      <c r="D937" s="275">
        <v>6.0000000000000001E-3</v>
      </c>
      <c r="E937" s="275">
        <v>3.7999999999999999E-2</v>
      </c>
      <c r="F937" s="275">
        <v>2.5999999999999999E-2</v>
      </c>
      <c r="G937" s="275">
        <v>3.6999999999999998E-2</v>
      </c>
      <c r="H937" s="275">
        <v>0.108</v>
      </c>
      <c r="I937" s="275">
        <v>9.9000000000000005E-2</v>
      </c>
      <c r="J937" s="275">
        <v>0.12</v>
      </c>
      <c r="K937" s="275">
        <v>9.1999999999999998E-2</v>
      </c>
      <c r="L937" s="275">
        <v>9.7000000000000003E-2</v>
      </c>
      <c r="M937" s="275">
        <v>0.23899999999999999</v>
      </c>
      <c r="N937" s="275">
        <v>0.23400000000000001</v>
      </c>
      <c r="O937" s="275">
        <v>0.27300000000000002</v>
      </c>
      <c r="P937" s="275">
        <v>0.26</v>
      </c>
      <c r="Q937" s="275">
        <v>0.27</v>
      </c>
      <c r="R937" s="275">
        <v>0.223</v>
      </c>
      <c r="S937" s="275">
        <v>0.22800000000000001</v>
      </c>
      <c r="T937" s="275">
        <v>0.48199999999999998</v>
      </c>
      <c r="U937" s="275">
        <v>0.48899999999999999</v>
      </c>
      <c r="V937" s="275">
        <v>0.56399999999999995</v>
      </c>
      <c r="W937" s="275">
        <v>0.58899999999999997</v>
      </c>
      <c r="X937" s="275">
        <v>0.61199999999999999</v>
      </c>
      <c r="Y937" s="275">
        <v>0.98199999999999998</v>
      </c>
      <c r="Z937" s="275">
        <v>1.0369999999999999</v>
      </c>
      <c r="AA937" s="275">
        <v>1.22</v>
      </c>
    </row>
    <row r="938" spans="1:27">
      <c r="A938" s="273"/>
      <c r="B938" s="274"/>
      <c r="C938" s="278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</row>
    <row r="939" spans="1:27">
      <c r="A939" s="273">
        <v>317</v>
      </c>
      <c r="B939" s="274">
        <v>108</v>
      </c>
      <c r="C939" s="278" t="s">
        <v>417</v>
      </c>
      <c r="D939" s="275" t="s">
        <v>434</v>
      </c>
      <c r="E939" s="275" t="s">
        <v>435</v>
      </c>
      <c r="F939" s="275" t="s">
        <v>436</v>
      </c>
      <c r="G939" s="275" t="s">
        <v>437</v>
      </c>
      <c r="H939" s="275" t="s">
        <v>438</v>
      </c>
      <c r="I939" s="275" t="s">
        <v>439</v>
      </c>
      <c r="J939" s="275" t="s">
        <v>440</v>
      </c>
      <c r="K939" s="275" t="s">
        <v>441</v>
      </c>
      <c r="L939" s="275" t="s">
        <v>442</v>
      </c>
      <c r="M939" s="275" t="s">
        <v>443</v>
      </c>
      <c r="N939" s="275" t="s">
        <v>444</v>
      </c>
      <c r="O939" s="275" t="s">
        <v>445</v>
      </c>
      <c r="P939" s="275" t="s">
        <v>446</v>
      </c>
      <c r="Q939" s="275" t="s">
        <v>447</v>
      </c>
      <c r="R939" s="275" t="s">
        <v>451</v>
      </c>
      <c r="S939" s="275" t="s">
        <v>452</v>
      </c>
      <c r="T939" s="275" t="s">
        <v>448</v>
      </c>
      <c r="U939" s="275" t="s">
        <v>449</v>
      </c>
      <c r="V939" s="275" t="s">
        <v>450</v>
      </c>
      <c r="W939" s="275" t="s">
        <v>453</v>
      </c>
      <c r="X939" s="275" t="s">
        <v>454</v>
      </c>
      <c r="Y939" s="275" t="s">
        <v>455</v>
      </c>
      <c r="Z939" s="275" t="s">
        <v>456</v>
      </c>
      <c r="AA939" s="275" t="s">
        <v>457</v>
      </c>
    </row>
    <row r="940" spans="1:27">
      <c r="A940" s="273"/>
      <c r="B940" s="274"/>
      <c r="C940" s="278"/>
      <c r="D940" s="275">
        <v>6.0000000000000001E-3</v>
      </c>
      <c r="E940" s="275">
        <v>3.6999999999999998E-2</v>
      </c>
      <c r="F940" s="275">
        <v>2.5999999999999999E-2</v>
      </c>
      <c r="G940" s="275">
        <v>3.5999999999999997E-2</v>
      </c>
      <c r="H940" s="275">
        <v>0.106</v>
      </c>
      <c r="I940" s="275">
        <v>9.7000000000000003E-2</v>
      </c>
      <c r="J940" s="275">
        <v>0.11899999999999999</v>
      </c>
      <c r="K940" s="275">
        <v>9.0999999999999998E-2</v>
      </c>
      <c r="L940" s="275">
        <v>9.6000000000000002E-2</v>
      </c>
      <c r="M940" s="275">
        <v>0.23599999999999999</v>
      </c>
      <c r="N940" s="275">
        <v>0.23</v>
      </c>
      <c r="O940" s="275">
        <v>0.27</v>
      </c>
      <c r="P940" s="275">
        <v>0.25700000000000001</v>
      </c>
      <c r="Q940" s="275">
        <v>0.26700000000000002</v>
      </c>
      <c r="R940" s="275">
        <v>0.22</v>
      </c>
      <c r="S940" s="275">
        <v>0.22500000000000001</v>
      </c>
      <c r="T940" s="275">
        <v>0.47299999999999998</v>
      </c>
      <c r="U940" s="275">
        <v>0.48</v>
      </c>
      <c r="V940" s="275">
        <v>0.55500000000000005</v>
      </c>
      <c r="W940" s="275">
        <v>0.57899999999999996</v>
      </c>
      <c r="X940" s="275">
        <v>0.60099999999999998</v>
      </c>
      <c r="Y940" s="275">
        <v>0.95799999999999996</v>
      </c>
      <c r="Z940" s="275">
        <v>1.0089999999999999</v>
      </c>
      <c r="AA940" s="275">
        <v>1.1879999999999999</v>
      </c>
    </row>
    <row r="941" spans="1:27">
      <c r="A941" s="273"/>
      <c r="B941" s="274"/>
      <c r="C941" s="278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</row>
    <row r="942" spans="1:27">
      <c r="A942" s="273">
        <v>318</v>
      </c>
      <c r="B942" s="274">
        <v>112</v>
      </c>
      <c r="C942" s="278" t="s">
        <v>418</v>
      </c>
      <c r="D942" s="275" t="s">
        <v>434</v>
      </c>
      <c r="E942" s="275" t="s">
        <v>435</v>
      </c>
      <c r="F942" s="275" t="s">
        <v>436</v>
      </c>
      <c r="G942" s="275" t="s">
        <v>437</v>
      </c>
      <c r="H942" s="275" t="s">
        <v>438</v>
      </c>
      <c r="I942" s="275" t="s">
        <v>439</v>
      </c>
      <c r="J942" s="275" t="s">
        <v>440</v>
      </c>
      <c r="K942" s="275" t="s">
        <v>441</v>
      </c>
      <c r="L942" s="275" t="s">
        <v>442</v>
      </c>
      <c r="M942" s="275" t="s">
        <v>443</v>
      </c>
      <c r="N942" s="275" t="s">
        <v>444</v>
      </c>
      <c r="O942" s="275" t="s">
        <v>445</v>
      </c>
      <c r="P942" s="275" t="s">
        <v>446</v>
      </c>
      <c r="Q942" s="275" t="s">
        <v>447</v>
      </c>
      <c r="R942" s="275" t="s">
        <v>451</v>
      </c>
      <c r="S942" s="275" t="s">
        <v>452</v>
      </c>
      <c r="T942" s="275" t="s">
        <v>448</v>
      </c>
      <c r="U942" s="275" t="s">
        <v>449</v>
      </c>
      <c r="V942" s="275" t="s">
        <v>450</v>
      </c>
      <c r="W942" s="275" t="s">
        <v>453</v>
      </c>
      <c r="X942" s="275" t="s">
        <v>454</v>
      </c>
      <c r="Y942" s="275" t="s">
        <v>455</v>
      </c>
      <c r="Z942" s="275" t="s">
        <v>456</v>
      </c>
      <c r="AA942" s="275" t="s">
        <v>457</v>
      </c>
    </row>
    <row r="943" spans="1:27">
      <c r="A943" s="273"/>
      <c r="B943" s="274"/>
      <c r="C943" s="278"/>
      <c r="D943" s="275">
        <v>5.0000000000000001E-3</v>
      </c>
      <c r="E943" s="275">
        <v>3.4000000000000002E-2</v>
      </c>
      <c r="F943" s="275">
        <v>2.4E-2</v>
      </c>
      <c r="G943" s="275">
        <v>3.5000000000000003E-2</v>
      </c>
      <c r="H943" s="275">
        <v>0.1</v>
      </c>
      <c r="I943" s="275">
        <v>9.0999999999999998E-2</v>
      </c>
      <c r="J943" s="275">
        <v>0.114</v>
      </c>
      <c r="K943" s="275">
        <v>8.6999999999999994E-2</v>
      </c>
      <c r="L943" s="275">
        <v>9.1999999999999998E-2</v>
      </c>
      <c r="M943" s="275">
        <v>0.221</v>
      </c>
      <c r="N943" s="275">
        <v>0.216</v>
      </c>
      <c r="O943" s="275">
        <v>0.25700000000000001</v>
      </c>
      <c r="P943" s="275">
        <v>0.24399999999999999</v>
      </c>
      <c r="Q943" s="275">
        <v>0.254</v>
      </c>
      <c r="R943" s="275">
        <v>0.20899999999999999</v>
      </c>
      <c r="S943" s="275">
        <v>0.21299999999999999</v>
      </c>
      <c r="T943" s="275">
        <v>0.442</v>
      </c>
      <c r="U943" s="275">
        <v>0.44600000000000001</v>
      </c>
      <c r="V943" s="275">
        <v>0.52400000000000002</v>
      </c>
      <c r="W943" s="275">
        <v>0.54200000000000004</v>
      </c>
      <c r="X943" s="275">
        <v>0.56399999999999995</v>
      </c>
      <c r="Y943" s="275">
        <v>0.88300000000000001</v>
      </c>
      <c r="Z943" s="275">
        <v>0.92700000000000005</v>
      </c>
      <c r="AA943" s="275">
        <v>1.1160000000000001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B631-3F49-4E49-B293-CB257A124CC4}">
  <dimension ref="A1:J958"/>
  <sheetViews>
    <sheetView workbookViewId="0">
      <selection activeCell="A4" sqref="A4:C4"/>
    </sheetView>
  </sheetViews>
  <sheetFormatPr defaultRowHeight="15"/>
  <cols>
    <col min="1" max="1" width="9.140625" style="264"/>
    <col min="2" max="2" width="9.140625" style="39"/>
    <col min="3" max="3" width="9.140625" style="38"/>
  </cols>
  <sheetData>
    <row r="1" spans="1:10">
      <c r="A1" s="143" t="s">
        <v>471</v>
      </c>
    </row>
    <row r="2" spans="1:10">
      <c r="B2" s="38" t="s">
        <v>432</v>
      </c>
    </row>
    <row r="4" spans="1:10">
      <c r="A4" s="269" t="s">
        <v>286</v>
      </c>
      <c r="B4" s="270" t="s">
        <v>0</v>
      </c>
      <c r="C4" s="276" t="s">
        <v>421</v>
      </c>
      <c r="D4" s="272" t="s">
        <v>433</v>
      </c>
      <c r="E4" s="272" t="s">
        <v>433</v>
      </c>
      <c r="F4" s="272" t="s">
        <v>433</v>
      </c>
      <c r="G4" s="272" t="s">
        <v>433</v>
      </c>
      <c r="H4" s="272" t="s">
        <v>433</v>
      </c>
      <c r="I4" s="272" t="s">
        <v>433</v>
      </c>
      <c r="J4" s="272" t="s">
        <v>433</v>
      </c>
    </row>
    <row r="5" spans="1:10">
      <c r="A5" s="273"/>
      <c r="B5" s="274"/>
      <c r="C5" s="278"/>
      <c r="D5" s="275"/>
      <c r="E5" s="275"/>
      <c r="F5" s="275"/>
      <c r="G5" s="275"/>
      <c r="H5" s="275"/>
      <c r="I5" s="275"/>
      <c r="J5" s="275"/>
    </row>
    <row r="6" spans="1:10">
      <c r="A6" s="273">
        <v>1</v>
      </c>
      <c r="B6" s="274">
        <v>3</v>
      </c>
      <c r="C6" s="278" t="s">
        <v>2</v>
      </c>
      <c r="D6" s="275" t="s">
        <v>434</v>
      </c>
      <c r="E6" s="275"/>
      <c r="F6" s="275"/>
      <c r="G6" s="275"/>
      <c r="H6" s="275"/>
      <c r="I6" s="275"/>
      <c r="J6" s="275"/>
    </row>
    <row r="7" spans="1:10">
      <c r="A7" s="273"/>
      <c r="B7" s="274"/>
      <c r="C7" s="278"/>
      <c r="D7" s="275">
        <v>0.36299999999999999</v>
      </c>
      <c r="E7" s="275"/>
      <c r="F7" s="275"/>
      <c r="G7" s="275"/>
      <c r="H7" s="275"/>
      <c r="I7" s="275"/>
      <c r="J7" s="275"/>
    </row>
    <row r="8" spans="1:10">
      <c r="A8" s="273"/>
      <c r="B8" s="274"/>
      <c r="C8" s="278"/>
      <c r="D8" s="275"/>
      <c r="E8" s="275"/>
      <c r="F8" s="275"/>
      <c r="G8" s="275"/>
      <c r="H8" s="275"/>
      <c r="I8" s="275"/>
      <c r="J8" s="275"/>
    </row>
    <row r="9" spans="1:10">
      <c r="A9" s="273">
        <v>2</v>
      </c>
      <c r="B9" s="274">
        <v>4</v>
      </c>
      <c r="C9" s="278" t="s">
        <v>298</v>
      </c>
      <c r="D9" s="275" t="s">
        <v>434</v>
      </c>
      <c r="E9" s="275"/>
      <c r="F9" s="275"/>
      <c r="G9" s="275"/>
      <c r="H9" s="275"/>
      <c r="I9" s="275"/>
      <c r="J9" s="275"/>
    </row>
    <row r="10" spans="1:10">
      <c r="A10" s="273"/>
      <c r="B10" s="274"/>
      <c r="C10" s="278"/>
      <c r="D10" s="275">
        <v>0.26700000000000002</v>
      </c>
      <c r="E10" s="275"/>
      <c r="F10" s="275"/>
      <c r="G10" s="275"/>
      <c r="H10" s="275"/>
      <c r="I10" s="275"/>
      <c r="J10" s="275"/>
    </row>
    <row r="11" spans="1:10">
      <c r="A11" s="273"/>
      <c r="B11" s="274"/>
      <c r="C11" s="278"/>
      <c r="D11" s="275"/>
      <c r="E11" s="275"/>
      <c r="F11" s="275"/>
      <c r="G11" s="275"/>
      <c r="H11" s="275"/>
      <c r="I11" s="275"/>
      <c r="J11" s="275"/>
    </row>
    <row r="12" spans="1:10">
      <c r="A12" s="273">
        <v>3</v>
      </c>
      <c r="B12" s="274">
        <v>5</v>
      </c>
      <c r="C12" s="278" t="s">
        <v>3</v>
      </c>
      <c r="D12" s="275" t="s">
        <v>435</v>
      </c>
      <c r="E12" s="275"/>
      <c r="F12" s="275"/>
      <c r="G12" s="275"/>
      <c r="H12" s="275"/>
      <c r="I12" s="275"/>
      <c r="J12" s="275"/>
    </row>
    <row r="13" spans="1:10">
      <c r="A13" s="273"/>
      <c r="B13" s="274"/>
      <c r="C13" s="278"/>
      <c r="D13" s="275">
        <v>1.448</v>
      </c>
      <c r="E13" s="275"/>
      <c r="F13" s="275"/>
      <c r="G13" s="275"/>
      <c r="H13" s="275"/>
      <c r="I13" s="275"/>
      <c r="J13" s="275"/>
    </row>
    <row r="14" spans="1:10">
      <c r="A14" s="273"/>
      <c r="B14" s="274"/>
      <c r="C14" s="278"/>
      <c r="D14" s="275"/>
      <c r="E14" s="275"/>
      <c r="F14" s="275"/>
      <c r="G14" s="275"/>
      <c r="H14" s="275"/>
      <c r="I14" s="275"/>
      <c r="J14" s="275"/>
    </row>
    <row r="15" spans="1:10">
      <c r="A15" s="273">
        <v>4</v>
      </c>
      <c r="B15" s="274">
        <v>5</v>
      </c>
      <c r="C15" s="278" t="s">
        <v>4</v>
      </c>
      <c r="D15" s="275" t="s">
        <v>435</v>
      </c>
      <c r="E15" s="275"/>
      <c r="F15" s="275"/>
      <c r="G15" s="275"/>
      <c r="H15" s="275"/>
      <c r="I15" s="275"/>
      <c r="J15" s="275"/>
    </row>
    <row r="16" spans="1:10">
      <c r="A16" s="273"/>
      <c r="B16" s="274"/>
      <c r="C16" s="278"/>
      <c r="D16" s="275">
        <v>1.367</v>
      </c>
      <c r="E16" s="275"/>
      <c r="F16" s="275"/>
      <c r="G16" s="275"/>
      <c r="H16" s="275"/>
      <c r="I16" s="275"/>
      <c r="J16" s="275"/>
    </row>
    <row r="17" spans="1:10">
      <c r="A17" s="273"/>
      <c r="B17" s="274"/>
      <c r="C17" s="278"/>
      <c r="D17" s="275"/>
      <c r="E17" s="275"/>
      <c r="F17" s="275"/>
      <c r="G17" s="275"/>
      <c r="H17" s="275"/>
      <c r="I17" s="275"/>
      <c r="J17" s="275"/>
    </row>
    <row r="18" spans="1:10">
      <c r="A18" s="273">
        <v>5</v>
      </c>
      <c r="B18" s="274">
        <v>5</v>
      </c>
      <c r="C18" s="278" t="s">
        <v>5</v>
      </c>
      <c r="D18" s="275" t="s">
        <v>434</v>
      </c>
      <c r="E18" s="275"/>
      <c r="F18" s="275"/>
      <c r="G18" s="275"/>
      <c r="H18" s="275"/>
      <c r="I18" s="275"/>
      <c r="J18" s="275"/>
    </row>
    <row r="19" spans="1:10">
      <c r="A19" s="273"/>
      <c r="B19" s="274"/>
      <c r="C19" s="278"/>
      <c r="D19" s="275">
        <v>0.21099999999999999</v>
      </c>
      <c r="E19" s="275"/>
      <c r="F19" s="275"/>
      <c r="G19" s="275"/>
      <c r="H19" s="275"/>
      <c r="I19" s="275"/>
      <c r="J19" s="275"/>
    </row>
    <row r="20" spans="1:10">
      <c r="A20" s="273"/>
      <c r="B20" s="274"/>
      <c r="C20" s="278"/>
      <c r="D20" s="275"/>
      <c r="E20" s="275"/>
      <c r="F20" s="275"/>
      <c r="G20" s="275"/>
      <c r="H20" s="275"/>
      <c r="I20" s="275"/>
      <c r="J20" s="275"/>
    </row>
    <row r="21" spans="1:10">
      <c r="A21" s="273">
        <v>6</v>
      </c>
      <c r="B21" s="274">
        <v>6</v>
      </c>
      <c r="C21" s="278" t="s">
        <v>6</v>
      </c>
      <c r="D21" s="275" t="s">
        <v>435</v>
      </c>
      <c r="E21" s="275" t="s">
        <v>436</v>
      </c>
      <c r="F21" s="275" t="s">
        <v>437</v>
      </c>
      <c r="G21" s="275"/>
      <c r="H21" s="275"/>
      <c r="I21" s="275"/>
      <c r="J21" s="275"/>
    </row>
    <row r="22" spans="1:10">
      <c r="A22" s="273"/>
      <c r="B22" s="274"/>
      <c r="C22" s="278"/>
      <c r="D22" s="275">
        <v>1.177</v>
      </c>
      <c r="E22" s="275">
        <v>1.103</v>
      </c>
      <c r="F22" s="275">
        <v>1.1040000000000001</v>
      </c>
      <c r="G22" s="275"/>
      <c r="H22" s="275"/>
      <c r="I22" s="275"/>
      <c r="J22" s="275"/>
    </row>
    <row r="23" spans="1:10">
      <c r="A23" s="273"/>
      <c r="B23" s="274"/>
      <c r="C23" s="278"/>
      <c r="D23" s="275"/>
      <c r="E23" s="275"/>
      <c r="F23" s="275"/>
      <c r="G23" s="275"/>
      <c r="H23" s="275"/>
      <c r="I23" s="275"/>
      <c r="J23" s="275"/>
    </row>
    <row r="24" spans="1:10">
      <c r="A24" s="273">
        <v>7</v>
      </c>
      <c r="B24" s="274">
        <v>6</v>
      </c>
      <c r="C24" s="278" t="s">
        <v>7</v>
      </c>
      <c r="D24" s="275" t="s">
        <v>435</v>
      </c>
      <c r="E24" s="275"/>
      <c r="F24" s="275"/>
      <c r="G24" s="275"/>
      <c r="H24" s="275"/>
      <c r="I24" s="275"/>
      <c r="J24" s="275"/>
    </row>
    <row r="25" spans="1:10">
      <c r="A25" s="273"/>
      <c r="B25" s="274"/>
      <c r="C25" s="278"/>
      <c r="D25" s="275">
        <v>1.1259999999999999</v>
      </c>
      <c r="E25" s="275"/>
      <c r="F25" s="275"/>
      <c r="G25" s="275"/>
      <c r="H25" s="275"/>
      <c r="I25" s="275"/>
      <c r="J25" s="275"/>
    </row>
    <row r="26" spans="1:10">
      <c r="A26" s="273"/>
      <c r="B26" s="274"/>
      <c r="C26" s="278"/>
      <c r="D26" s="275"/>
      <c r="E26" s="275"/>
      <c r="F26" s="275"/>
      <c r="G26" s="275"/>
      <c r="H26" s="275"/>
      <c r="I26" s="275"/>
      <c r="J26" s="275"/>
    </row>
    <row r="27" spans="1:10">
      <c r="A27" s="273">
        <v>8</v>
      </c>
      <c r="B27" s="274">
        <v>6</v>
      </c>
      <c r="C27" s="278" t="s">
        <v>8</v>
      </c>
      <c r="D27" s="275" t="s">
        <v>435</v>
      </c>
      <c r="E27" s="275"/>
      <c r="F27" s="275"/>
      <c r="G27" s="275"/>
      <c r="H27" s="275"/>
      <c r="I27" s="275"/>
      <c r="J27" s="275"/>
    </row>
    <row r="28" spans="1:10">
      <c r="A28" s="273"/>
      <c r="B28" s="274"/>
      <c r="C28" s="278"/>
      <c r="D28" s="275">
        <v>1.079</v>
      </c>
      <c r="E28" s="275"/>
      <c r="F28" s="275"/>
      <c r="G28" s="275"/>
      <c r="H28" s="275"/>
      <c r="I28" s="275"/>
      <c r="J28" s="275"/>
    </row>
    <row r="29" spans="1:10">
      <c r="A29" s="273"/>
      <c r="B29" s="274"/>
      <c r="C29" s="278"/>
      <c r="D29" s="275"/>
      <c r="E29" s="275"/>
      <c r="F29" s="275"/>
      <c r="G29" s="275"/>
      <c r="H29" s="275"/>
      <c r="I29" s="275"/>
      <c r="J29" s="275"/>
    </row>
    <row r="30" spans="1:10">
      <c r="A30" s="273">
        <v>9</v>
      </c>
      <c r="B30" s="274">
        <v>6</v>
      </c>
      <c r="C30" s="278" t="s">
        <v>9</v>
      </c>
      <c r="D30" s="275" t="s">
        <v>434</v>
      </c>
      <c r="E30" s="275"/>
      <c r="F30" s="275"/>
      <c r="G30" s="275"/>
      <c r="H30" s="275"/>
      <c r="I30" s="275"/>
      <c r="J30" s="275"/>
    </row>
    <row r="31" spans="1:10">
      <c r="A31" s="273"/>
      <c r="B31" s="274"/>
      <c r="C31" s="278"/>
      <c r="D31" s="275">
        <v>0.17399999999999999</v>
      </c>
      <c r="E31" s="275"/>
      <c r="F31" s="275"/>
      <c r="G31" s="275"/>
      <c r="H31" s="275"/>
      <c r="I31" s="275"/>
      <c r="J31" s="275"/>
    </row>
    <row r="32" spans="1:10">
      <c r="A32" s="273"/>
      <c r="B32" s="274"/>
      <c r="C32" s="278"/>
      <c r="D32" s="275"/>
      <c r="E32" s="275"/>
      <c r="F32" s="275"/>
      <c r="G32" s="275"/>
      <c r="H32" s="275"/>
      <c r="I32" s="275"/>
      <c r="J32" s="275"/>
    </row>
    <row r="33" spans="1:10">
      <c r="A33" s="273">
        <v>10</v>
      </c>
      <c r="B33" s="274">
        <v>6</v>
      </c>
      <c r="C33" s="278" t="s">
        <v>306</v>
      </c>
      <c r="D33" s="275" t="s">
        <v>435</v>
      </c>
      <c r="E33" s="275" t="s">
        <v>436</v>
      </c>
      <c r="F33" s="275" t="s">
        <v>437</v>
      </c>
      <c r="G33" s="275"/>
      <c r="H33" s="275"/>
      <c r="I33" s="275"/>
      <c r="J33" s="275"/>
    </row>
    <row r="34" spans="1:10">
      <c r="A34" s="273"/>
      <c r="B34" s="274"/>
      <c r="C34" s="278"/>
      <c r="D34" s="275">
        <v>1.2090000000000001</v>
      </c>
      <c r="E34" s="275">
        <v>1.216</v>
      </c>
      <c r="F34" s="275">
        <v>1.2170000000000001</v>
      </c>
      <c r="G34" s="275"/>
      <c r="H34" s="275"/>
      <c r="I34" s="275"/>
      <c r="J34" s="275"/>
    </row>
    <row r="35" spans="1:10">
      <c r="A35" s="273"/>
      <c r="B35" s="274"/>
      <c r="C35" s="278"/>
      <c r="D35" s="275"/>
      <c r="E35" s="275"/>
      <c r="F35" s="275"/>
      <c r="G35" s="275"/>
      <c r="H35" s="275"/>
      <c r="I35" s="275"/>
      <c r="J35" s="275"/>
    </row>
    <row r="36" spans="1:10">
      <c r="A36" s="273">
        <v>11</v>
      </c>
      <c r="B36" s="274">
        <v>7</v>
      </c>
      <c r="C36" s="278" t="s">
        <v>10</v>
      </c>
      <c r="D36" s="275" t="s">
        <v>435</v>
      </c>
      <c r="E36" s="275" t="s">
        <v>436</v>
      </c>
      <c r="F36" s="275" t="s">
        <v>437</v>
      </c>
      <c r="G36" s="275"/>
      <c r="H36" s="275"/>
      <c r="I36" s="275"/>
      <c r="J36" s="275"/>
    </row>
    <row r="37" spans="1:10">
      <c r="A37" s="273"/>
      <c r="B37" s="274"/>
      <c r="C37" s="278"/>
      <c r="D37" s="275">
        <v>0.99099999999999999</v>
      </c>
      <c r="E37" s="275">
        <v>0.91900000000000004</v>
      </c>
      <c r="F37" s="275">
        <v>0.92</v>
      </c>
      <c r="G37" s="275"/>
      <c r="H37" s="275"/>
      <c r="I37" s="275"/>
      <c r="J37" s="275"/>
    </row>
    <row r="38" spans="1:10">
      <c r="A38" s="273"/>
      <c r="B38" s="274"/>
      <c r="C38" s="278"/>
      <c r="D38" s="275"/>
      <c r="E38" s="275"/>
      <c r="F38" s="275"/>
      <c r="G38" s="275"/>
      <c r="H38" s="275"/>
      <c r="I38" s="275"/>
      <c r="J38" s="275"/>
    </row>
    <row r="39" spans="1:10">
      <c r="A39" s="273">
        <v>12</v>
      </c>
      <c r="B39" s="274">
        <v>7</v>
      </c>
      <c r="C39" s="278" t="s">
        <v>11</v>
      </c>
      <c r="D39" s="275" t="s">
        <v>435</v>
      </c>
      <c r="E39" s="275" t="s">
        <v>436</v>
      </c>
      <c r="F39" s="275" t="s">
        <v>437</v>
      </c>
      <c r="G39" s="275"/>
      <c r="H39" s="275"/>
      <c r="I39" s="275"/>
      <c r="J39" s="275"/>
    </row>
    <row r="40" spans="1:10">
      <c r="A40" s="273"/>
      <c r="B40" s="274"/>
      <c r="C40" s="278"/>
      <c r="D40" s="275">
        <v>0.95799999999999996</v>
      </c>
      <c r="E40" s="275">
        <v>0.85399999999999998</v>
      </c>
      <c r="F40" s="275">
        <v>0.85499999999999998</v>
      </c>
      <c r="G40" s="275"/>
      <c r="H40" s="275"/>
      <c r="I40" s="275"/>
      <c r="J40" s="275"/>
    </row>
    <row r="41" spans="1:10">
      <c r="A41" s="273"/>
      <c r="B41" s="274"/>
      <c r="C41" s="278"/>
      <c r="D41" s="275"/>
      <c r="E41" s="275"/>
      <c r="F41" s="275"/>
      <c r="G41" s="275"/>
      <c r="H41" s="275"/>
      <c r="I41" s="275"/>
      <c r="J41" s="275"/>
    </row>
    <row r="42" spans="1:10">
      <c r="A42" s="273">
        <v>13</v>
      </c>
      <c r="B42" s="274">
        <v>7</v>
      </c>
      <c r="C42" s="278" t="s">
        <v>12</v>
      </c>
      <c r="D42" s="275" t="s">
        <v>435</v>
      </c>
      <c r="E42" s="275"/>
      <c r="F42" s="275"/>
      <c r="G42" s="275"/>
      <c r="H42" s="275"/>
      <c r="I42" s="275"/>
      <c r="J42" s="275"/>
    </row>
    <row r="43" spans="1:10">
      <c r="A43" s="273"/>
      <c r="B43" s="274"/>
      <c r="C43" s="278"/>
      <c r="D43" s="275">
        <v>0.92300000000000004</v>
      </c>
      <c r="E43" s="275"/>
      <c r="F43" s="275"/>
      <c r="G43" s="275"/>
      <c r="H43" s="275"/>
      <c r="I43" s="275"/>
      <c r="J43" s="275"/>
    </row>
    <row r="44" spans="1:10">
      <c r="A44" s="273"/>
      <c r="B44" s="274"/>
      <c r="C44" s="278"/>
      <c r="D44" s="275"/>
      <c r="E44" s="275"/>
      <c r="F44" s="275"/>
      <c r="G44" s="275"/>
      <c r="H44" s="275"/>
      <c r="I44" s="275"/>
      <c r="J44" s="275"/>
    </row>
    <row r="45" spans="1:10">
      <c r="A45" s="273">
        <v>14</v>
      </c>
      <c r="B45" s="274">
        <v>7</v>
      </c>
      <c r="C45" s="278" t="s">
        <v>13</v>
      </c>
      <c r="D45" s="275" t="s">
        <v>435</v>
      </c>
      <c r="E45" s="275"/>
      <c r="F45" s="275"/>
      <c r="G45" s="275"/>
      <c r="H45" s="275"/>
      <c r="I45" s="275"/>
      <c r="J45" s="275"/>
    </row>
    <row r="46" spans="1:10">
      <c r="A46" s="273"/>
      <c r="B46" s="274"/>
      <c r="C46" s="278"/>
      <c r="D46" s="275">
        <v>0.89200000000000002</v>
      </c>
      <c r="E46" s="275"/>
      <c r="F46" s="275"/>
      <c r="G46" s="275"/>
      <c r="H46" s="275"/>
      <c r="I46" s="275"/>
      <c r="J46" s="275"/>
    </row>
    <row r="47" spans="1:10">
      <c r="A47" s="273"/>
      <c r="B47" s="274"/>
      <c r="C47" s="278"/>
      <c r="D47" s="275"/>
      <c r="E47" s="275"/>
      <c r="F47" s="275"/>
      <c r="G47" s="275"/>
      <c r="H47" s="275"/>
      <c r="I47" s="275"/>
      <c r="J47" s="275"/>
    </row>
    <row r="48" spans="1:10">
      <c r="A48" s="273">
        <v>15</v>
      </c>
      <c r="B48" s="274">
        <v>7</v>
      </c>
      <c r="C48" s="278" t="s">
        <v>14</v>
      </c>
      <c r="D48" s="275" t="s">
        <v>434</v>
      </c>
      <c r="E48" s="275"/>
      <c r="F48" s="275"/>
      <c r="G48" s="275"/>
      <c r="H48" s="275"/>
      <c r="I48" s="275"/>
      <c r="J48" s="275"/>
    </row>
    <row r="49" spans="1:10">
      <c r="A49" s="273"/>
      <c r="B49" s="274"/>
      <c r="C49" s="278"/>
      <c r="D49" s="275">
        <v>0.14799999999999999</v>
      </c>
      <c r="E49" s="275"/>
      <c r="F49" s="275"/>
      <c r="G49" s="275"/>
      <c r="H49" s="275"/>
      <c r="I49" s="275"/>
      <c r="J49" s="275"/>
    </row>
    <row r="50" spans="1:10">
      <c r="A50" s="273"/>
      <c r="B50" s="274"/>
      <c r="C50" s="278"/>
      <c r="D50" s="275"/>
      <c r="E50" s="275"/>
      <c r="F50" s="275"/>
      <c r="G50" s="275"/>
      <c r="H50" s="275"/>
      <c r="I50" s="275"/>
      <c r="J50" s="275"/>
    </row>
    <row r="51" spans="1:10">
      <c r="A51" s="273">
        <v>16</v>
      </c>
      <c r="B51" s="274">
        <v>8</v>
      </c>
      <c r="C51" s="278" t="s">
        <v>15</v>
      </c>
      <c r="D51" s="275" t="s">
        <v>435</v>
      </c>
      <c r="E51" s="275" t="s">
        <v>436</v>
      </c>
      <c r="F51" s="275" t="s">
        <v>437</v>
      </c>
      <c r="G51" s="275"/>
      <c r="H51" s="275"/>
      <c r="I51" s="275"/>
      <c r="J51" s="275"/>
    </row>
    <row r="52" spans="1:10">
      <c r="A52" s="273"/>
      <c r="B52" s="274"/>
      <c r="C52" s="278"/>
      <c r="D52" s="275">
        <v>0.85599999999999998</v>
      </c>
      <c r="E52" s="275">
        <v>0.78700000000000003</v>
      </c>
      <c r="F52" s="275">
        <v>0.78800000000000003</v>
      </c>
      <c r="G52" s="275"/>
      <c r="H52" s="275"/>
      <c r="I52" s="275"/>
      <c r="J52" s="275"/>
    </row>
    <row r="53" spans="1:10">
      <c r="A53" s="273"/>
      <c r="B53" s="274"/>
      <c r="C53" s="278"/>
      <c r="D53" s="275"/>
      <c r="E53" s="275"/>
      <c r="F53" s="275"/>
      <c r="G53" s="275"/>
      <c r="H53" s="275"/>
      <c r="I53" s="275"/>
      <c r="J53" s="275"/>
    </row>
    <row r="54" spans="1:10">
      <c r="A54" s="273">
        <v>17</v>
      </c>
      <c r="B54" s="274">
        <v>8</v>
      </c>
      <c r="C54" s="278" t="s">
        <v>16</v>
      </c>
      <c r="D54" s="275" t="s">
        <v>435</v>
      </c>
      <c r="E54" s="275" t="s">
        <v>436</v>
      </c>
      <c r="F54" s="275" t="s">
        <v>437</v>
      </c>
      <c r="G54" s="275"/>
      <c r="H54" s="275"/>
      <c r="I54" s="275"/>
      <c r="J54" s="275"/>
    </row>
    <row r="55" spans="1:10">
      <c r="A55" s="273"/>
      <c r="B55" s="274"/>
      <c r="C55" s="278"/>
      <c r="D55" s="275">
        <v>0.83299999999999996</v>
      </c>
      <c r="E55" s="275">
        <v>0.74199999999999999</v>
      </c>
      <c r="F55" s="275">
        <v>0.74199999999999999</v>
      </c>
      <c r="G55" s="275"/>
      <c r="H55" s="275"/>
      <c r="I55" s="275"/>
      <c r="J55" s="275"/>
    </row>
    <row r="56" spans="1:10">
      <c r="A56" s="273"/>
      <c r="B56" s="274"/>
      <c r="C56" s="278"/>
      <c r="D56" s="275"/>
      <c r="E56" s="275"/>
      <c r="F56" s="275"/>
      <c r="G56" s="275"/>
      <c r="H56" s="275"/>
      <c r="I56" s="275"/>
      <c r="J56" s="275"/>
    </row>
    <row r="57" spans="1:10">
      <c r="A57" s="273">
        <v>18</v>
      </c>
      <c r="B57" s="274">
        <v>8</v>
      </c>
      <c r="C57" s="278" t="s">
        <v>326</v>
      </c>
      <c r="D57" s="275" t="s">
        <v>435</v>
      </c>
      <c r="E57" s="275" t="s">
        <v>436</v>
      </c>
      <c r="F57" s="275" t="s">
        <v>437</v>
      </c>
      <c r="G57" s="275"/>
      <c r="H57" s="275"/>
      <c r="I57" s="275"/>
      <c r="J57" s="275"/>
    </row>
    <row r="58" spans="1:10">
      <c r="A58" s="273"/>
      <c r="B58" s="274"/>
      <c r="C58" s="278"/>
      <c r="D58" s="275">
        <v>0.88400000000000001</v>
      </c>
      <c r="E58" s="275">
        <v>0.87</v>
      </c>
      <c r="F58" s="275">
        <v>0.871</v>
      </c>
      <c r="G58" s="275"/>
      <c r="H58" s="275"/>
      <c r="I58" s="275"/>
      <c r="J58" s="275"/>
    </row>
    <row r="59" spans="1:10">
      <c r="A59" s="273"/>
      <c r="B59" s="274"/>
      <c r="C59" s="278"/>
      <c r="D59" s="275"/>
      <c r="E59" s="275"/>
      <c r="F59" s="275"/>
      <c r="G59" s="275"/>
      <c r="H59" s="275"/>
      <c r="I59" s="275"/>
      <c r="J59" s="275"/>
    </row>
    <row r="60" spans="1:10">
      <c r="A60" s="273">
        <v>19</v>
      </c>
      <c r="B60" s="274">
        <v>9</v>
      </c>
      <c r="C60" s="278" t="s">
        <v>328</v>
      </c>
      <c r="D60" s="275" t="s">
        <v>435</v>
      </c>
      <c r="E60" s="275" t="s">
        <v>436</v>
      </c>
      <c r="F60" s="275" t="s">
        <v>437</v>
      </c>
      <c r="G60" s="275"/>
      <c r="H60" s="275"/>
      <c r="I60" s="275"/>
      <c r="J60" s="275"/>
    </row>
    <row r="61" spans="1:10">
      <c r="A61" s="273"/>
      <c r="B61" s="274"/>
      <c r="C61" s="278"/>
      <c r="D61" s="275">
        <v>0.77300000000000002</v>
      </c>
      <c r="E61" s="275">
        <v>0.745</v>
      </c>
      <c r="F61" s="275">
        <v>0.746</v>
      </c>
      <c r="G61" s="275"/>
      <c r="H61" s="275"/>
      <c r="I61" s="275"/>
      <c r="J61" s="275"/>
    </row>
    <row r="62" spans="1:10">
      <c r="A62" s="273"/>
      <c r="B62" s="274"/>
      <c r="C62" s="278"/>
      <c r="D62" s="275"/>
      <c r="E62" s="275"/>
      <c r="F62" s="275"/>
      <c r="G62" s="275"/>
      <c r="H62" s="275"/>
      <c r="I62" s="275"/>
      <c r="J62" s="275"/>
    </row>
    <row r="63" spans="1:10">
      <c r="A63" s="273">
        <v>20</v>
      </c>
      <c r="B63" s="274">
        <v>11</v>
      </c>
      <c r="C63" s="278" t="s">
        <v>17</v>
      </c>
      <c r="D63" s="275" t="s">
        <v>435</v>
      </c>
      <c r="E63" s="275" t="s">
        <v>436</v>
      </c>
      <c r="F63" s="275" t="s">
        <v>437</v>
      </c>
      <c r="G63" s="275"/>
      <c r="H63" s="275"/>
      <c r="I63" s="275"/>
      <c r="J63" s="275"/>
    </row>
    <row r="64" spans="1:10">
      <c r="A64" s="273"/>
      <c r="B64" s="274"/>
      <c r="C64" s="278"/>
      <c r="D64" s="275">
        <v>0.60699999999999998</v>
      </c>
      <c r="E64" s="275">
        <v>0.54800000000000004</v>
      </c>
      <c r="F64" s="275">
        <v>0.54900000000000004</v>
      </c>
      <c r="G64" s="275"/>
      <c r="H64" s="275"/>
      <c r="I64" s="275"/>
      <c r="J64" s="275"/>
    </row>
    <row r="65" spans="1:10">
      <c r="A65" s="273"/>
      <c r="B65" s="274"/>
      <c r="C65" s="278"/>
      <c r="D65" s="275"/>
      <c r="E65" s="275"/>
      <c r="F65" s="275"/>
      <c r="G65" s="275"/>
      <c r="H65" s="275"/>
      <c r="I65" s="275"/>
      <c r="J65" s="275"/>
    </row>
    <row r="66" spans="1:10">
      <c r="A66" s="273">
        <v>21</v>
      </c>
      <c r="B66" s="274">
        <v>12</v>
      </c>
      <c r="C66" s="278" t="s">
        <v>329</v>
      </c>
      <c r="D66" s="275" t="s">
        <v>435</v>
      </c>
      <c r="E66" s="275" t="s">
        <v>436</v>
      </c>
      <c r="F66" s="275" t="s">
        <v>437</v>
      </c>
      <c r="G66" s="275"/>
      <c r="H66" s="275"/>
      <c r="I66" s="275"/>
      <c r="J66" s="275"/>
    </row>
    <row r="67" spans="1:10">
      <c r="A67" s="273"/>
      <c r="B67" s="274"/>
      <c r="C67" s="278"/>
      <c r="D67" s="275">
        <v>0.54500000000000004</v>
      </c>
      <c r="E67" s="275">
        <v>0.48199999999999998</v>
      </c>
      <c r="F67" s="275">
        <v>0.48299999999999998</v>
      </c>
      <c r="G67" s="275"/>
      <c r="H67" s="275"/>
      <c r="I67" s="275"/>
      <c r="J67" s="275"/>
    </row>
    <row r="68" spans="1:10">
      <c r="A68" s="273"/>
      <c r="B68" s="274"/>
      <c r="C68" s="278"/>
      <c r="D68" s="275"/>
      <c r="E68" s="275"/>
      <c r="F68" s="275"/>
      <c r="G68" s="275"/>
      <c r="H68" s="275"/>
      <c r="I68" s="275"/>
      <c r="J68" s="275"/>
    </row>
    <row r="69" spans="1:10">
      <c r="A69" s="273">
        <v>22</v>
      </c>
      <c r="B69" s="274">
        <v>13</v>
      </c>
      <c r="C69" s="278" t="s">
        <v>18</v>
      </c>
      <c r="D69" s="275" t="s">
        <v>438</v>
      </c>
      <c r="E69" s="275"/>
      <c r="F69" s="275"/>
      <c r="G69" s="275"/>
      <c r="H69" s="275"/>
      <c r="I69" s="275"/>
      <c r="J69" s="275"/>
    </row>
    <row r="70" spans="1:10">
      <c r="A70" s="273"/>
      <c r="B70" s="274"/>
      <c r="C70" s="278"/>
      <c r="D70" s="275">
        <v>2.0259999999999998</v>
      </c>
      <c r="E70" s="275"/>
      <c r="F70" s="275"/>
      <c r="G70" s="275"/>
      <c r="H70" s="275"/>
      <c r="I70" s="275"/>
      <c r="J70" s="275"/>
    </row>
    <row r="71" spans="1:10">
      <c r="A71" s="273"/>
      <c r="B71" s="274"/>
      <c r="C71" s="278"/>
      <c r="D71" s="275"/>
      <c r="E71" s="275"/>
      <c r="F71" s="275"/>
      <c r="G71" s="275"/>
      <c r="H71" s="275"/>
      <c r="I71" s="275"/>
      <c r="J71" s="275"/>
    </row>
    <row r="72" spans="1:10">
      <c r="A72" s="273">
        <v>23</v>
      </c>
      <c r="B72" s="274">
        <v>13</v>
      </c>
      <c r="C72" s="278" t="s">
        <v>330</v>
      </c>
      <c r="D72" s="275" t="s">
        <v>435</v>
      </c>
      <c r="E72" s="275" t="s">
        <v>436</v>
      </c>
      <c r="F72" s="275" t="s">
        <v>437</v>
      </c>
      <c r="G72" s="275"/>
      <c r="H72" s="275"/>
      <c r="I72" s="275"/>
      <c r="J72" s="275"/>
    </row>
    <row r="73" spans="1:10">
      <c r="A73" s="273"/>
      <c r="B73" s="274"/>
      <c r="C73" s="278"/>
      <c r="D73" s="275">
        <v>0.495</v>
      </c>
      <c r="E73" s="275">
        <v>0.43</v>
      </c>
      <c r="F73" s="275">
        <v>0.43099999999999999</v>
      </c>
      <c r="G73" s="275"/>
      <c r="H73" s="275"/>
      <c r="I73" s="275"/>
      <c r="J73" s="275"/>
    </row>
    <row r="74" spans="1:10">
      <c r="A74" s="273"/>
      <c r="B74" s="274"/>
      <c r="C74" s="278"/>
      <c r="D74" s="275"/>
      <c r="E74" s="275"/>
      <c r="F74" s="275"/>
      <c r="G74" s="275"/>
      <c r="H74" s="275"/>
      <c r="I74" s="275"/>
      <c r="J74" s="275"/>
    </row>
    <row r="75" spans="1:10">
      <c r="A75" s="273">
        <v>24</v>
      </c>
      <c r="B75" s="274">
        <v>14</v>
      </c>
      <c r="C75" s="278" t="s">
        <v>19</v>
      </c>
      <c r="D75" s="275" t="s">
        <v>438</v>
      </c>
      <c r="E75" s="275" t="s">
        <v>439</v>
      </c>
      <c r="F75" s="275" t="s">
        <v>440</v>
      </c>
      <c r="G75" s="275"/>
      <c r="H75" s="275"/>
      <c r="I75" s="275"/>
      <c r="J75" s="275"/>
    </row>
    <row r="76" spans="1:10">
      <c r="A76" s="273"/>
      <c r="B76" s="274"/>
      <c r="C76" s="278"/>
      <c r="D76" s="275">
        <v>1.75</v>
      </c>
      <c r="E76" s="275">
        <v>2.0390000000000001</v>
      </c>
      <c r="F76" s="275">
        <v>2.044</v>
      </c>
      <c r="G76" s="275"/>
      <c r="H76" s="275"/>
      <c r="I76" s="275"/>
      <c r="J76" s="275"/>
    </row>
    <row r="77" spans="1:10">
      <c r="A77" s="273"/>
      <c r="B77" s="274"/>
      <c r="C77" s="278"/>
      <c r="D77" s="275"/>
      <c r="E77" s="275"/>
      <c r="F77" s="275"/>
      <c r="G77" s="275"/>
      <c r="H77" s="275"/>
      <c r="I77" s="275"/>
      <c r="J77" s="275"/>
    </row>
    <row r="78" spans="1:10">
      <c r="A78" s="273">
        <v>25</v>
      </c>
      <c r="B78" s="274">
        <v>14</v>
      </c>
      <c r="C78" s="278" t="s">
        <v>20</v>
      </c>
      <c r="D78" s="275" t="s">
        <v>438</v>
      </c>
      <c r="E78" s="275"/>
      <c r="F78" s="275"/>
      <c r="G78" s="275"/>
      <c r="H78" s="275"/>
      <c r="I78" s="275"/>
      <c r="J78" s="275"/>
    </row>
    <row r="79" spans="1:10">
      <c r="A79" s="273"/>
      <c r="B79" s="274"/>
      <c r="C79" s="278"/>
      <c r="D79" s="275">
        <v>1.7</v>
      </c>
      <c r="E79" s="275"/>
      <c r="F79" s="275"/>
      <c r="G79" s="275"/>
      <c r="H79" s="275"/>
      <c r="I79" s="275"/>
      <c r="J79" s="275"/>
    </row>
    <row r="80" spans="1:10">
      <c r="A80" s="273"/>
      <c r="B80" s="274"/>
      <c r="C80" s="278"/>
      <c r="D80" s="275"/>
      <c r="E80" s="275"/>
      <c r="F80" s="275"/>
      <c r="G80" s="275"/>
      <c r="H80" s="275"/>
      <c r="I80" s="275"/>
      <c r="J80" s="275"/>
    </row>
    <row r="81" spans="1:10">
      <c r="A81" s="273">
        <v>26</v>
      </c>
      <c r="B81" s="274">
        <v>14</v>
      </c>
      <c r="C81" s="278" t="s">
        <v>21</v>
      </c>
      <c r="D81" s="275" t="s">
        <v>438</v>
      </c>
      <c r="E81" s="275"/>
      <c r="F81" s="275"/>
      <c r="G81" s="275"/>
      <c r="H81" s="275"/>
      <c r="I81" s="275"/>
      <c r="J81" s="275"/>
    </row>
    <row r="82" spans="1:10">
      <c r="A82" s="273"/>
      <c r="B82" s="274"/>
      <c r="C82" s="278"/>
      <c r="D82" s="275">
        <v>1.64</v>
      </c>
      <c r="E82" s="275"/>
      <c r="F82" s="275"/>
      <c r="G82" s="275"/>
      <c r="H82" s="275"/>
      <c r="I82" s="275"/>
      <c r="J82" s="275"/>
    </row>
    <row r="83" spans="1:10">
      <c r="A83" s="273"/>
      <c r="B83" s="274"/>
      <c r="C83" s="278"/>
      <c r="D83" s="275"/>
      <c r="E83" s="275"/>
      <c r="F83" s="275"/>
      <c r="G83" s="275"/>
      <c r="H83" s="275"/>
      <c r="I83" s="275"/>
      <c r="J83" s="275"/>
    </row>
    <row r="84" spans="1:10">
      <c r="A84" s="273">
        <v>27</v>
      </c>
      <c r="B84" s="274">
        <v>14</v>
      </c>
      <c r="C84" s="278" t="s">
        <v>22</v>
      </c>
      <c r="D84" s="275" t="s">
        <v>435</v>
      </c>
      <c r="E84" s="275" t="s">
        <v>436</v>
      </c>
      <c r="F84" s="275" t="s">
        <v>437</v>
      </c>
      <c r="G84" s="275"/>
      <c r="H84" s="275"/>
      <c r="I84" s="275"/>
      <c r="J84" s="275"/>
    </row>
    <row r="85" spans="1:10">
      <c r="A85" s="273"/>
      <c r="B85" s="274"/>
      <c r="C85" s="278"/>
      <c r="D85" s="275">
        <v>0.45200000000000001</v>
      </c>
      <c r="E85" s="275">
        <v>0.38800000000000001</v>
      </c>
      <c r="F85" s="275">
        <v>0.38900000000000001</v>
      </c>
      <c r="G85" s="275"/>
      <c r="H85" s="275"/>
      <c r="I85" s="275"/>
      <c r="J85" s="275"/>
    </row>
    <row r="86" spans="1:10">
      <c r="A86" s="273"/>
      <c r="B86" s="274"/>
      <c r="C86" s="278"/>
      <c r="D86" s="275"/>
      <c r="E86" s="275"/>
      <c r="F86" s="275"/>
      <c r="G86" s="275"/>
      <c r="H86" s="275"/>
      <c r="I86" s="275"/>
      <c r="J86" s="275"/>
    </row>
    <row r="87" spans="1:10">
      <c r="A87" s="273">
        <v>28</v>
      </c>
      <c r="B87" s="274">
        <v>14</v>
      </c>
      <c r="C87" s="278" t="s">
        <v>463</v>
      </c>
      <c r="D87" s="275" t="s">
        <v>470</v>
      </c>
      <c r="E87" s="275" t="s">
        <v>439</v>
      </c>
      <c r="F87" s="275" t="s">
        <v>440</v>
      </c>
      <c r="G87" s="275"/>
      <c r="H87" s="275"/>
      <c r="I87" s="275"/>
      <c r="J87" s="275"/>
    </row>
    <row r="88" spans="1:10">
      <c r="A88" s="273"/>
      <c r="B88" s="274"/>
      <c r="C88" s="278"/>
      <c r="D88" s="275">
        <v>1.768</v>
      </c>
      <c r="E88" s="275">
        <v>2.1429999999999998</v>
      </c>
      <c r="F88" s="275">
        <v>2.149</v>
      </c>
      <c r="G88" s="275"/>
      <c r="H88" s="275"/>
      <c r="I88" s="275"/>
      <c r="J88" s="275"/>
    </row>
    <row r="89" spans="1:10">
      <c r="A89" s="273"/>
      <c r="B89" s="274"/>
      <c r="C89" s="278"/>
      <c r="D89" s="275"/>
      <c r="E89" s="275"/>
      <c r="F89" s="275"/>
      <c r="G89" s="275"/>
      <c r="H89" s="275"/>
      <c r="I89" s="275"/>
      <c r="J89" s="275"/>
    </row>
    <row r="90" spans="1:10">
      <c r="A90" s="273">
        <v>29</v>
      </c>
      <c r="B90" s="274">
        <v>15</v>
      </c>
      <c r="C90" s="278" t="s">
        <v>23</v>
      </c>
      <c r="D90" s="275" t="s">
        <v>438</v>
      </c>
      <c r="E90" s="275" t="s">
        <v>439</v>
      </c>
      <c r="F90" s="275" t="s">
        <v>440</v>
      </c>
      <c r="G90" s="275"/>
      <c r="H90" s="275"/>
      <c r="I90" s="275"/>
      <c r="J90" s="275"/>
    </row>
    <row r="91" spans="1:10">
      <c r="A91" s="273"/>
      <c r="B91" s="274"/>
      <c r="C91" s="278"/>
      <c r="D91" s="275">
        <v>1.548</v>
      </c>
      <c r="E91" s="275">
        <v>1.76</v>
      </c>
      <c r="F91" s="275">
        <v>1.7649999999999999</v>
      </c>
      <c r="G91" s="275"/>
      <c r="H91" s="275"/>
      <c r="I91" s="275"/>
      <c r="J91" s="275"/>
    </row>
    <row r="92" spans="1:10">
      <c r="A92" s="273"/>
      <c r="B92" s="274"/>
      <c r="C92" s="278"/>
      <c r="D92" s="275"/>
      <c r="E92" s="275"/>
      <c r="F92" s="275"/>
      <c r="G92" s="275"/>
      <c r="H92" s="275"/>
      <c r="I92" s="275"/>
      <c r="J92" s="275"/>
    </row>
    <row r="93" spans="1:10">
      <c r="A93" s="273">
        <v>30</v>
      </c>
      <c r="B93" s="274">
        <v>15</v>
      </c>
      <c r="C93" s="278" t="s">
        <v>24</v>
      </c>
      <c r="D93" s="275" t="s">
        <v>438</v>
      </c>
      <c r="E93" s="275" t="s">
        <v>439</v>
      </c>
      <c r="F93" s="275" t="s">
        <v>440</v>
      </c>
      <c r="G93" s="275"/>
      <c r="H93" s="275"/>
      <c r="I93" s="275"/>
      <c r="J93" s="275"/>
    </row>
    <row r="94" spans="1:10">
      <c r="A94" s="273"/>
      <c r="B94" s="274"/>
      <c r="C94" s="278"/>
      <c r="D94" s="275">
        <v>1.514</v>
      </c>
      <c r="E94" s="275">
        <v>1.6819999999999999</v>
      </c>
      <c r="F94" s="275">
        <v>1.6870000000000001</v>
      </c>
      <c r="G94" s="275"/>
      <c r="H94" s="275"/>
      <c r="I94" s="275"/>
      <c r="J94" s="275"/>
    </row>
    <row r="95" spans="1:10">
      <c r="A95" s="273"/>
      <c r="B95" s="274"/>
      <c r="C95" s="278"/>
      <c r="D95" s="275"/>
      <c r="E95" s="275"/>
      <c r="F95" s="275"/>
      <c r="G95" s="275"/>
      <c r="H95" s="275"/>
      <c r="I95" s="275"/>
      <c r="J95" s="275"/>
    </row>
    <row r="96" spans="1:10">
      <c r="A96" s="273">
        <v>31</v>
      </c>
      <c r="B96" s="274">
        <v>15</v>
      </c>
      <c r="C96" s="278" t="s">
        <v>25</v>
      </c>
      <c r="D96" s="275" t="s">
        <v>438</v>
      </c>
      <c r="E96" s="275"/>
      <c r="F96" s="275"/>
      <c r="G96" s="275"/>
      <c r="H96" s="275"/>
      <c r="I96" s="275"/>
      <c r="J96" s="275"/>
    </row>
    <row r="97" spans="1:10">
      <c r="A97" s="273"/>
      <c r="B97" s="274"/>
      <c r="C97" s="278"/>
      <c r="D97" s="275">
        <v>1.4770000000000001</v>
      </c>
      <c r="E97" s="275"/>
      <c r="F97" s="275"/>
      <c r="G97" s="275"/>
      <c r="H97" s="275"/>
      <c r="I97" s="275"/>
      <c r="J97" s="275"/>
    </row>
    <row r="98" spans="1:10">
      <c r="A98" s="273"/>
      <c r="B98" s="274"/>
      <c r="C98" s="278"/>
      <c r="D98" s="275"/>
      <c r="E98" s="275"/>
      <c r="F98" s="275"/>
      <c r="G98" s="275"/>
      <c r="H98" s="275"/>
      <c r="I98" s="275"/>
      <c r="J98" s="275"/>
    </row>
    <row r="99" spans="1:10">
      <c r="A99" s="273">
        <v>32</v>
      </c>
      <c r="B99" s="274">
        <v>15</v>
      </c>
      <c r="C99" s="278" t="s">
        <v>26</v>
      </c>
      <c r="D99" s="275" t="s">
        <v>438</v>
      </c>
      <c r="E99" s="275"/>
      <c r="F99" s="275"/>
      <c r="G99" s="275"/>
      <c r="H99" s="275"/>
      <c r="I99" s="275"/>
      <c r="J99" s="275"/>
    </row>
    <row r="100" spans="1:10">
      <c r="A100" s="273"/>
      <c r="B100" s="274"/>
      <c r="C100" s="278"/>
      <c r="D100" s="275">
        <v>1.4350000000000001</v>
      </c>
      <c r="E100" s="275"/>
      <c r="F100" s="275"/>
      <c r="G100" s="275"/>
      <c r="H100" s="275"/>
      <c r="I100" s="275"/>
      <c r="J100" s="275"/>
    </row>
    <row r="101" spans="1:10">
      <c r="A101" s="273"/>
      <c r="B101" s="274"/>
      <c r="C101" s="278"/>
      <c r="D101" s="275"/>
      <c r="E101" s="275"/>
      <c r="F101" s="275"/>
      <c r="G101" s="275"/>
      <c r="H101" s="275"/>
      <c r="I101" s="275"/>
      <c r="J101" s="275"/>
    </row>
    <row r="102" spans="1:10">
      <c r="A102" s="273">
        <v>33</v>
      </c>
      <c r="B102" s="274">
        <v>15</v>
      </c>
      <c r="C102" s="278" t="s">
        <v>27</v>
      </c>
      <c r="D102" s="275" t="s">
        <v>435</v>
      </c>
      <c r="E102" s="275" t="s">
        <v>436</v>
      </c>
      <c r="F102" s="275" t="s">
        <v>437</v>
      </c>
      <c r="G102" s="275"/>
      <c r="H102" s="275"/>
      <c r="I102" s="275"/>
      <c r="J102" s="275"/>
    </row>
    <row r="103" spans="1:10">
      <c r="A103" s="273"/>
      <c r="B103" s="274"/>
      <c r="C103" s="278"/>
      <c r="D103" s="275">
        <v>0.41599999999999998</v>
      </c>
      <c r="E103" s="275">
        <v>0.35299999999999998</v>
      </c>
      <c r="F103" s="275">
        <v>0.35499999999999998</v>
      </c>
      <c r="G103" s="275"/>
      <c r="H103" s="275"/>
      <c r="I103" s="275"/>
      <c r="J103" s="275"/>
    </row>
    <row r="104" spans="1:10">
      <c r="A104" s="273"/>
      <c r="B104" s="274"/>
      <c r="C104" s="278"/>
      <c r="D104" s="275"/>
      <c r="E104" s="275"/>
      <c r="F104" s="275"/>
      <c r="G104" s="275"/>
      <c r="H104" s="275"/>
      <c r="I104" s="275"/>
      <c r="J104" s="275"/>
    </row>
    <row r="105" spans="1:10">
      <c r="A105" s="273">
        <v>34</v>
      </c>
      <c r="B105" s="274">
        <v>16</v>
      </c>
      <c r="C105" s="278" t="s">
        <v>28</v>
      </c>
      <c r="D105" s="275" t="s">
        <v>438</v>
      </c>
      <c r="E105" s="275" t="s">
        <v>439</v>
      </c>
      <c r="F105" s="275" t="s">
        <v>440</v>
      </c>
      <c r="G105" s="275"/>
      <c r="H105" s="275"/>
      <c r="I105" s="275"/>
      <c r="J105" s="275"/>
    </row>
    <row r="106" spans="1:10">
      <c r="A106" s="273"/>
      <c r="B106" s="274"/>
      <c r="C106" s="278"/>
      <c r="D106" s="275">
        <v>1.3919999999999999</v>
      </c>
      <c r="E106" s="275">
        <v>1.5529999999999999</v>
      </c>
      <c r="F106" s="275">
        <v>1.5580000000000001</v>
      </c>
      <c r="G106" s="275"/>
      <c r="H106" s="275"/>
      <c r="I106" s="275"/>
      <c r="J106" s="275"/>
    </row>
    <row r="107" spans="1:10">
      <c r="A107" s="273"/>
      <c r="B107" s="274"/>
      <c r="C107" s="278"/>
      <c r="D107" s="275"/>
      <c r="E107" s="275"/>
      <c r="F107" s="275"/>
      <c r="G107" s="275"/>
      <c r="H107" s="275"/>
      <c r="I107" s="275"/>
      <c r="J107" s="275"/>
    </row>
    <row r="108" spans="1:10">
      <c r="A108" s="273">
        <v>35</v>
      </c>
      <c r="B108" s="274">
        <v>16</v>
      </c>
      <c r="C108" s="278" t="s">
        <v>29</v>
      </c>
      <c r="D108" s="275" t="s">
        <v>438</v>
      </c>
      <c r="E108" s="275" t="s">
        <v>439</v>
      </c>
      <c r="F108" s="275" t="s">
        <v>440</v>
      </c>
      <c r="G108" s="275"/>
      <c r="H108" s="275"/>
      <c r="I108" s="275"/>
      <c r="J108" s="275"/>
    </row>
    <row r="109" spans="1:10">
      <c r="A109" s="273"/>
      <c r="B109" s="274"/>
      <c r="C109" s="278"/>
      <c r="D109" s="275">
        <v>1.367</v>
      </c>
      <c r="E109" s="275">
        <v>1.4970000000000001</v>
      </c>
      <c r="F109" s="275">
        <v>1.502</v>
      </c>
      <c r="G109" s="275"/>
      <c r="H109" s="275"/>
      <c r="I109" s="275"/>
      <c r="J109" s="275"/>
    </row>
    <row r="110" spans="1:10">
      <c r="A110" s="273"/>
      <c r="B110" s="274"/>
      <c r="C110" s="278"/>
      <c r="D110" s="275"/>
      <c r="E110" s="275"/>
      <c r="F110" s="275"/>
      <c r="G110" s="275"/>
      <c r="H110" s="275"/>
      <c r="I110" s="275"/>
      <c r="J110" s="275"/>
    </row>
    <row r="111" spans="1:10">
      <c r="A111" s="273">
        <v>36</v>
      </c>
      <c r="B111" s="274">
        <v>16</v>
      </c>
      <c r="C111" s="278" t="s">
        <v>30</v>
      </c>
      <c r="D111" s="275" t="s">
        <v>438</v>
      </c>
      <c r="E111" s="275" t="s">
        <v>439</v>
      </c>
      <c r="F111" s="275" t="s">
        <v>440</v>
      </c>
      <c r="G111" s="275"/>
      <c r="H111" s="275"/>
      <c r="I111" s="275"/>
      <c r="J111" s="275"/>
    </row>
    <row r="112" spans="1:10">
      <c r="A112" s="273"/>
      <c r="B112" s="274"/>
      <c r="C112" s="278"/>
      <c r="D112" s="275">
        <v>1.339</v>
      </c>
      <c r="E112" s="275">
        <v>1.4450000000000001</v>
      </c>
      <c r="F112" s="275">
        <v>1.4490000000000001</v>
      </c>
      <c r="G112" s="275"/>
      <c r="H112" s="275"/>
      <c r="I112" s="275"/>
      <c r="J112" s="275"/>
    </row>
    <row r="113" spans="1:10">
      <c r="A113" s="273"/>
      <c r="B113" s="274"/>
      <c r="C113" s="278"/>
      <c r="D113" s="275"/>
      <c r="E113" s="275"/>
      <c r="F113" s="275"/>
      <c r="G113" s="275"/>
      <c r="H113" s="275"/>
      <c r="I113" s="275"/>
      <c r="J113" s="275"/>
    </row>
    <row r="114" spans="1:10">
      <c r="A114" s="273">
        <v>37</v>
      </c>
      <c r="B114" s="274">
        <v>16</v>
      </c>
      <c r="C114" s="278" t="s">
        <v>31</v>
      </c>
      <c r="D114" s="275" t="s">
        <v>438</v>
      </c>
      <c r="E114" s="275"/>
      <c r="F114" s="275"/>
      <c r="G114" s="275"/>
      <c r="H114" s="275"/>
      <c r="I114" s="275"/>
      <c r="J114" s="275"/>
    </row>
    <row r="115" spans="1:10">
      <c r="A115" s="273"/>
      <c r="B115" s="274"/>
      <c r="C115" s="278"/>
      <c r="D115" s="275">
        <v>1.3109999999999999</v>
      </c>
      <c r="E115" s="275"/>
      <c r="F115" s="275"/>
      <c r="G115" s="275"/>
      <c r="H115" s="275"/>
      <c r="I115" s="275"/>
      <c r="J115" s="275"/>
    </row>
    <row r="116" spans="1:10">
      <c r="A116" s="273"/>
      <c r="B116" s="274"/>
      <c r="C116" s="278"/>
      <c r="D116" s="275"/>
      <c r="E116" s="275"/>
      <c r="F116" s="275"/>
      <c r="G116" s="275"/>
      <c r="H116" s="275"/>
      <c r="I116" s="275"/>
      <c r="J116" s="275"/>
    </row>
    <row r="117" spans="1:10">
      <c r="A117" s="273">
        <v>38</v>
      </c>
      <c r="B117" s="274">
        <v>16</v>
      </c>
      <c r="C117" s="278" t="s">
        <v>32</v>
      </c>
      <c r="D117" s="275" t="s">
        <v>438</v>
      </c>
      <c r="E117" s="275"/>
      <c r="F117" s="275"/>
      <c r="G117" s="275"/>
      <c r="H117" s="275"/>
      <c r="I117" s="275"/>
      <c r="J117" s="275"/>
    </row>
    <row r="118" spans="1:10">
      <c r="A118" s="273"/>
      <c r="B118" s="274"/>
      <c r="C118" s="278"/>
      <c r="D118" s="275">
        <v>1.28</v>
      </c>
      <c r="E118" s="275"/>
      <c r="F118" s="275"/>
      <c r="G118" s="275"/>
      <c r="H118" s="275"/>
      <c r="I118" s="275"/>
      <c r="J118" s="275"/>
    </row>
    <row r="119" spans="1:10">
      <c r="A119" s="273"/>
      <c r="B119" s="274"/>
      <c r="C119" s="278"/>
      <c r="D119" s="275"/>
      <c r="E119" s="275"/>
      <c r="F119" s="275"/>
      <c r="G119" s="275"/>
      <c r="H119" s="275"/>
      <c r="I119" s="275"/>
      <c r="J119" s="275"/>
    </row>
    <row r="120" spans="1:10">
      <c r="A120" s="273">
        <v>39</v>
      </c>
      <c r="B120" s="274">
        <v>16</v>
      </c>
      <c r="C120" s="278" t="s">
        <v>33</v>
      </c>
      <c r="D120" s="275" t="s">
        <v>435</v>
      </c>
      <c r="E120" s="275" t="s">
        <v>436</v>
      </c>
      <c r="F120" s="275" t="s">
        <v>437</v>
      </c>
      <c r="G120" s="275"/>
      <c r="H120" s="275"/>
      <c r="I120" s="275"/>
      <c r="J120" s="275"/>
    </row>
    <row r="121" spans="1:10">
      <c r="A121" s="273"/>
      <c r="B121" s="274"/>
      <c r="C121" s="278"/>
      <c r="D121" s="275">
        <v>0.38600000000000001</v>
      </c>
      <c r="E121" s="275">
        <v>0.32400000000000001</v>
      </c>
      <c r="F121" s="275">
        <v>0.32600000000000001</v>
      </c>
      <c r="G121" s="275"/>
      <c r="H121" s="275"/>
      <c r="I121" s="275"/>
      <c r="J121" s="275"/>
    </row>
    <row r="122" spans="1:10">
      <c r="A122" s="273"/>
      <c r="B122" s="274"/>
      <c r="C122" s="278"/>
      <c r="D122" s="275"/>
      <c r="E122" s="275"/>
      <c r="F122" s="275"/>
      <c r="G122" s="275"/>
      <c r="H122" s="275"/>
      <c r="I122" s="275"/>
      <c r="J122" s="275"/>
    </row>
    <row r="123" spans="1:10">
      <c r="A123" s="273">
        <v>40</v>
      </c>
      <c r="B123" s="274">
        <v>17</v>
      </c>
      <c r="C123" s="278" t="s">
        <v>34</v>
      </c>
      <c r="D123" s="275" t="s">
        <v>438</v>
      </c>
      <c r="E123" s="275" t="s">
        <v>439</v>
      </c>
      <c r="F123" s="275" t="s">
        <v>440</v>
      </c>
      <c r="G123" s="275"/>
      <c r="H123" s="275"/>
      <c r="I123" s="275"/>
      <c r="J123" s="275"/>
    </row>
    <row r="124" spans="1:10">
      <c r="A124" s="273"/>
      <c r="B124" s="274"/>
      <c r="C124" s="278"/>
      <c r="D124" s="275">
        <v>1.2669999999999999</v>
      </c>
      <c r="E124" s="275">
        <v>1.3919999999999999</v>
      </c>
      <c r="F124" s="275">
        <v>1.397</v>
      </c>
      <c r="G124" s="275"/>
      <c r="H124" s="275"/>
      <c r="I124" s="275"/>
      <c r="J124" s="275"/>
    </row>
    <row r="125" spans="1:10">
      <c r="A125" s="273"/>
      <c r="B125" s="274"/>
      <c r="C125" s="278"/>
      <c r="D125" s="275"/>
      <c r="E125" s="275"/>
      <c r="F125" s="275"/>
      <c r="G125" s="275"/>
      <c r="H125" s="275"/>
      <c r="I125" s="275"/>
      <c r="J125" s="275"/>
    </row>
    <row r="126" spans="1:10">
      <c r="A126" s="273">
        <v>41</v>
      </c>
      <c r="B126" s="274">
        <v>17</v>
      </c>
      <c r="C126" s="278" t="s">
        <v>35</v>
      </c>
      <c r="D126" s="275" t="s">
        <v>438</v>
      </c>
      <c r="E126" s="275" t="s">
        <v>439</v>
      </c>
      <c r="F126" s="275" t="s">
        <v>440</v>
      </c>
      <c r="G126" s="275"/>
      <c r="H126" s="275"/>
      <c r="I126" s="275"/>
      <c r="J126" s="275"/>
    </row>
    <row r="127" spans="1:10">
      <c r="A127" s="273"/>
      <c r="B127" s="274"/>
      <c r="C127" s="278"/>
      <c r="D127" s="275">
        <v>1.2470000000000001</v>
      </c>
      <c r="E127" s="275">
        <v>1.35</v>
      </c>
      <c r="F127" s="275">
        <v>1.355</v>
      </c>
      <c r="G127" s="275"/>
      <c r="H127" s="275"/>
      <c r="I127" s="275"/>
      <c r="J127" s="275"/>
    </row>
    <row r="128" spans="1:10">
      <c r="A128" s="273"/>
      <c r="B128" s="274"/>
      <c r="C128" s="278"/>
      <c r="D128" s="275"/>
      <c r="E128" s="275"/>
      <c r="F128" s="275"/>
      <c r="G128" s="275"/>
      <c r="H128" s="275"/>
      <c r="I128" s="275"/>
      <c r="J128" s="275"/>
    </row>
    <row r="129" spans="1:10">
      <c r="A129" s="273">
        <v>42</v>
      </c>
      <c r="B129" s="274">
        <v>17</v>
      </c>
      <c r="C129" s="278" t="s">
        <v>36</v>
      </c>
      <c r="D129" s="275" t="s">
        <v>438</v>
      </c>
      <c r="E129" s="275" t="s">
        <v>439</v>
      </c>
      <c r="F129" s="275" t="s">
        <v>440</v>
      </c>
      <c r="G129" s="275"/>
      <c r="H129" s="275"/>
      <c r="I129" s="275"/>
      <c r="J129" s="275"/>
    </row>
    <row r="130" spans="1:10">
      <c r="A130" s="273"/>
      <c r="B130" s="274"/>
      <c r="C130" s="278"/>
      <c r="D130" s="275">
        <v>1.226</v>
      </c>
      <c r="E130" s="275">
        <v>1.31</v>
      </c>
      <c r="F130" s="275">
        <v>1.3140000000000001</v>
      </c>
      <c r="G130" s="275"/>
      <c r="H130" s="275"/>
      <c r="I130" s="275"/>
      <c r="J130" s="275"/>
    </row>
    <row r="131" spans="1:10">
      <c r="A131" s="273"/>
      <c r="B131" s="274"/>
      <c r="C131" s="278"/>
      <c r="D131" s="275"/>
      <c r="E131" s="275"/>
      <c r="F131" s="275"/>
      <c r="G131" s="275"/>
      <c r="H131" s="275"/>
      <c r="I131" s="275"/>
      <c r="J131" s="275"/>
    </row>
    <row r="132" spans="1:10">
      <c r="A132" s="273">
        <v>43</v>
      </c>
      <c r="B132" s="274">
        <v>17</v>
      </c>
      <c r="C132" s="278" t="s">
        <v>37</v>
      </c>
      <c r="D132" s="275" t="s">
        <v>438</v>
      </c>
      <c r="E132" s="275" t="s">
        <v>439</v>
      </c>
      <c r="F132" s="275" t="s">
        <v>440</v>
      </c>
      <c r="G132" s="275"/>
      <c r="H132" s="275"/>
      <c r="I132" s="275"/>
      <c r="J132" s="275"/>
    </row>
    <row r="133" spans="1:10">
      <c r="A133" s="273"/>
      <c r="B133" s="274"/>
      <c r="C133" s="278"/>
      <c r="D133" s="275">
        <v>1.204</v>
      </c>
      <c r="E133" s="275">
        <v>1.2709999999999999</v>
      </c>
      <c r="F133" s="275">
        <v>1.2749999999999999</v>
      </c>
      <c r="G133" s="275"/>
      <c r="H133" s="275"/>
      <c r="I133" s="275"/>
      <c r="J133" s="275"/>
    </row>
    <row r="134" spans="1:10">
      <c r="A134" s="273"/>
      <c r="B134" s="274"/>
      <c r="C134" s="278"/>
      <c r="D134" s="275"/>
      <c r="E134" s="275"/>
      <c r="F134" s="275"/>
      <c r="G134" s="275"/>
      <c r="H134" s="275"/>
      <c r="I134" s="275"/>
      <c r="J134" s="275"/>
    </row>
    <row r="135" spans="1:10">
      <c r="A135" s="273">
        <v>44</v>
      </c>
      <c r="B135" s="274">
        <v>17</v>
      </c>
      <c r="C135" s="278" t="s">
        <v>38</v>
      </c>
      <c r="D135" s="275" t="s">
        <v>438</v>
      </c>
      <c r="E135" s="275"/>
      <c r="F135" s="275"/>
      <c r="G135" s="275"/>
      <c r="H135" s="275"/>
      <c r="I135" s="275"/>
      <c r="J135" s="275"/>
    </row>
    <row r="136" spans="1:10">
      <c r="A136" s="273"/>
      <c r="B136" s="274"/>
      <c r="C136" s="278"/>
      <c r="D136" s="275">
        <v>1.181</v>
      </c>
      <c r="E136" s="275"/>
      <c r="F136" s="275"/>
      <c r="G136" s="275"/>
      <c r="H136" s="275"/>
      <c r="I136" s="275"/>
      <c r="J136" s="275"/>
    </row>
    <row r="137" spans="1:10">
      <c r="A137" s="273"/>
      <c r="B137" s="274"/>
      <c r="C137" s="278"/>
      <c r="D137" s="275"/>
      <c r="E137" s="275"/>
      <c r="F137" s="275"/>
      <c r="G137" s="275"/>
      <c r="H137" s="275"/>
      <c r="I137" s="275"/>
      <c r="J137" s="275"/>
    </row>
    <row r="138" spans="1:10">
      <c r="A138" s="273">
        <v>45</v>
      </c>
      <c r="B138" s="274">
        <v>17</v>
      </c>
      <c r="C138" s="278" t="s">
        <v>39</v>
      </c>
      <c r="D138" s="275" t="s">
        <v>438</v>
      </c>
      <c r="E138" s="275"/>
      <c r="F138" s="275"/>
      <c r="G138" s="275"/>
      <c r="H138" s="275"/>
      <c r="I138" s="275"/>
      <c r="J138" s="275"/>
    </row>
    <row r="139" spans="1:10">
      <c r="A139" s="273"/>
      <c r="B139" s="274"/>
      <c r="C139" s="278"/>
      <c r="D139" s="275">
        <v>1.157</v>
      </c>
      <c r="E139" s="275"/>
      <c r="F139" s="275"/>
      <c r="G139" s="275"/>
      <c r="H139" s="275"/>
      <c r="I139" s="275"/>
      <c r="J139" s="275"/>
    </row>
    <row r="140" spans="1:10">
      <c r="A140" s="273"/>
      <c r="B140" s="274"/>
      <c r="C140" s="278"/>
      <c r="D140" s="275"/>
      <c r="E140" s="275"/>
      <c r="F140" s="275"/>
      <c r="G140" s="275"/>
      <c r="H140" s="275"/>
      <c r="I140" s="275"/>
      <c r="J140" s="275"/>
    </row>
    <row r="141" spans="1:10">
      <c r="A141" s="273">
        <v>46</v>
      </c>
      <c r="B141" s="274">
        <v>17</v>
      </c>
      <c r="C141" s="278" t="s">
        <v>40</v>
      </c>
      <c r="D141" s="275" t="s">
        <v>435</v>
      </c>
      <c r="E141" s="275" t="s">
        <v>436</v>
      </c>
      <c r="F141" s="275" t="s">
        <v>437</v>
      </c>
      <c r="G141" s="275"/>
      <c r="H141" s="275"/>
      <c r="I141" s="275"/>
      <c r="J141" s="275"/>
    </row>
    <row r="142" spans="1:10">
      <c r="A142" s="273"/>
      <c r="B142" s="274"/>
      <c r="C142" s="278"/>
      <c r="D142" s="275">
        <v>0.35899999999999999</v>
      </c>
      <c r="E142" s="275">
        <v>0.29899999999999999</v>
      </c>
      <c r="F142" s="275">
        <v>0.30099999999999999</v>
      </c>
      <c r="G142" s="275"/>
      <c r="H142" s="275"/>
      <c r="I142" s="275"/>
      <c r="J142" s="275"/>
    </row>
    <row r="143" spans="1:10">
      <c r="A143" s="273"/>
      <c r="B143" s="274"/>
      <c r="C143" s="278"/>
      <c r="D143" s="275"/>
      <c r="E143" s="275"/>
      <c r="F143" s="275"/>
      <c r="G143" s="275"/>
      <c r="H143" s="275"/>
      <c r="I143" s="275"/>
      <c r="J143" s="275"/>
    </row>
    <row r="144" spans="1:10">
      <c r="A144" s="273">
        <v>47</v>
      </c>
      <c r="B144" s="274">
        <v>17</v>
      </c>
      <c r="C144" s="278" t="s">
        <v>332</v>
      </c>
      <c r="D144" s="275" t="s">
        <v>438</v>
      </c>
      <c r="E144" s="275" t="s">
        <v>439</v>
      </c>
      <c r="F144" s="275" t="s">
        <v>440</v>
      </c>
      <c r="G144" s="275"/>
      <c r="H144" s="275"/>
      <c r="I144" s="275"/>
      <c r="J144" s="275"/>
    </row>
    <row r="145" spans="1:10">
      <c r="A145" s="273"/>
      <c r="B145" s="274"/>
      <c r="C145" s="278"/>
      <c r="D145" s="275">
        <v>1.296</v>
      </c>
      <c r="E145" s="275">
        <v>1.4710000000000001</v>
      </c>
      <c r="F145" s="275">
        <v>1.4790000000000001</v>
      </c>
      <c r="G145" s="275"/>
      <c r="H145" s="275"/>
      <c r="I145" s="275"/>
      <c r="J145" s="275"/>
    </row>
    <row r="146" spans="1:10">
      <c r="A146" s="273"/>
      <c r="B146" s="274"/>
      <c r="C146" s="278"/>
      <c r="D146" s="275"/>
      <c r="E146" s="275"/>
      <c r="F146" s="275"/>
      <c r="G146" s="275"/>
      <c r="H146" s="275"/>
      <c r="I146" s="275"/>
      <c r="J146" s="275"/>
    </row>
    <row r="147" spans="1:10">
      <c r="A147" s="273">
        <v>48</v>
      </c>
      <c r="B147" s="274">
        <v>19</v>
      </c>
      <c r="C147" s="278" t="s">
        <v>41</v>
      </c>
      <c r="D147" s="275" t="s">
        <v>438</v>
      </c>
      <c r="E147" s="275" t="s">
        <v>439</v>
      </c>
      <c r="F147" s="275" t="s">
        <v>440</v>
      </c>
      <c r="G147" s="275"/>
      <c r="H147" s="275"/>
      <c r="I147" s="275"/>
      <c r="J147" s="275"/>
    </row>
    <row r="148" spans="1:10">
      <c r="A148" s="273"/>
      <c r="B148" s="274"/>
      <c r="C148" s="278"/>
      <c r="D148" s="275">
        <v>1.077</v>
      </c>
      <c r="E148" s="275">
        <v>1.1559999999999999</v>
      </c>
      <c r="F148" s="275">
        <v>1.1619999999999999</v>
      </c>
      <c r="G148" s="275"/>
      <c r="H148" s="275"/>
      <c r="I148" s="275"/>
      <c r="J148" s="275"/>
    </row>
    <row r="149" spans="1:10">
      <c r="A149" s="273"/>
      <c r="B149" s="274"/>
      <c r="C149" s="278"/>
      <c r="D149" s="275"/>
      <c r="E149" s="275"/>
      <c r="F149" s="275"/>
      <c r="G149" s="275"/>
      <c r="H149" s="275"/>
      <c r="I149" s="275"/>
      <c r="J149" s="275"/>
    </row>
    <row r="150" spans="1:10">
      <c r="A150" s="273">
        <v>49</v>
      </c>
      <c r="B150" s="274">
        <v>20</v>
      </c>
      <c r="C150" s="278" t="s">
        <v>333</v>
      </c>
      <c r="D150" s="275" t="s">
        <v>438</v>
      </c>
      <c r="E150" s="275" t="s">
        <v>439</v>
      </c>
      <c r="F150" s="275" t="s">
        <v>440</v>
      </c>
      <c r="G150" s="275"/>
      <c r="H150" s="275"/>
      <c r="I150" s="275"/>
      <c r="J150" s="275"/>
    </row>
    <row r="151" spans="1:10">
      <c r="A151" s="273"/>
      <c r="B151" s="274"/>
      <c r="C151" s="278"/>
      <c r="D151" s="275">
        <v>0.99199999999999999</v>
      </c>
      <c r="E151" s="275">
        <v>1.046</v>
      </c>
      <c r="F151" s="275">
        <v>1.0509999999999999</v>
      </c>
      <c r="G151" s="275"/>
      <c r="H151" s="275"/>
      <c r="I151" s="275"/>
      <c r="J151" s="275"/>
    </row>
    <row r="152" spans="1:10">
      <c r="A152" s="273"/>
      <c r="B152" s="274"/>
      <c r="C152" s="278"/>
      <c r="D152" s="275"/>
      <c r="E152" s="275"/>
      <c r="F152" s="275"/>
      <c r="G152" s="275"/>
      <c r="H152" s="275"/>
      <c r="I152" s="275"/>
      <c r="J152" s="275"/>
    </row>
    <row r="153" spans="1:10">
      <c r="A153" s="273">
        <v>50</v>
      </c>
      <c r="B153" s="274">
        <v>21</v>
      </c>
      <c r="C153" s="278" t="s">
        <v>42</v>
      </c>
      <c r="D153" s="275" t="s">
        <v>441</v>
      </c>
      <c r="E153" s="275" t="s">
        <v>442</v>
      </c>
      <c r="F153" s="275" t="s">
        <v>443</v>
      </c>
      <c r="G153" s="275"/>
      <c r="H153" s="275"/>
      <c r="I153" s="275"/>
      <c r="J153" s="275"/>
    </row>
    <row r="154" spans="1:10">
      <c r="A154" s="273"/>
      <c r="B154" s="274"/>
      <c r="C154" s="278"/>
      <c r="D154" s="275">
        <v>1.115</v>
      </c>
      <c r="E154" s="275">
        <v>1.117</v>
      </c>
      <c r="F154" s="275">
        <v>3.024</v>
      </c>
      <c r="G154" s="275"/>
      <c r="H154" s="275"/>
      <c r="I154" s="275"/>
      <c r="J154" s="275"/>
    </row>
    <row r="155" spans="1:10">
      <c r="A155" s="273"/>
      <c r="B155" s="274"/>
      <c r="C155" s="278"/>
      <c r="D155" s="275"/>
      <c r="E155" s="275"/>
      <c r="F155" s="275"/>
      <c r="G155" s="275"/>
      <c r="H155" s="275"/>
      <c r="I155" s="275"/>
      <c r="J155" s="275"/>
    </row>
    <row r="156" spans="1:10">
      <c r="A156" s="273">
        <v>51</v>
      </c>
      <c r="B156" s="274">
        <v>21</v>
      </c>
      <c r="C156" s="278" t="s">
        <v>43</v>
      </c>
      <c r="D156" s="275" t="s">
        <v>441</v>
      </c>
      <c r="E156" s="275" t="s">
        <v>442</v>
      </c>
      <c r="F156" s="275"/>
      <c r="G156" s="275"/>
      <c r="H156" s="275"/>
      <c r="I156" s="275"/>
      <c r="J156" s="275"/>
    </row>
    <row r="157" spans="1:10">
      <c r="A157" s="273"/>
      <c r="B157" s="274"/>
      <c r="C157" s="278"/>
      <c r="D157" s="275">
        <v>1.1000000000000001</v>
      </c>
      <c r="E157" s="275">
        <v>1.103</v>
      </c>
      <c r="F157" s="275"/>
      <c r="G157" s="275"/>
      <c r="H157" s="275"/>
      <c r="I157" s="275"/>
      <c r="J157" s="275"/>
    </row>
    <row r="158" spans="1:10">
      <c r="A158" s="273"/>
      <c r="B158" s="274"/>
      <c r="C158" s="278"/>
      <c r="D158" s="275"/>
      <c r="E158" s="275"/>
      <c r="F158" s="275"/>
      <c r="G158" s="275"/>
      <c r="H158" s="275"/>
      <c r="I158" s="275"/>
      <c r="J158" s="275"/>
    </row>
    <row r="159" spans="1:10">
      <c r="A159" s="273">
        <v>52</v>
      </c>
      <c r="B159" s="274">
        <v>21</v>
      </c>
      <c r="C159" s="278" t="s">
        <v>44</v>
      </c>
      <c r="D159" s="275" t="s">
        <v>438</v>
      </c>
      <c r="E159" s="275" t="s">
        <v>439</v>
      </c>
      <c r="F159" s="275" t="s">
        <v>440</v>
      </c>
      <c r="G159" s="275"/>
      <c r="H159" s="275"/>
      <c r="I159" s="275"/>
      <c r="J159" s="275"/>
    </row>
    <row r="160" spans="1:10">
      <c r="A160" s="273"/>
      <c r="B160" s="274"/>
      <c r="C160" s="278"/>
      <c r="D160" s="275">
        <v>0.91900000000000004</v>
      </c>
      <c r="E160" s="275">
        <v>0.95499999999999996</v>
      </c>
      <c r="F160" s="275">
        <v>0.96099999999999997</v>
      </c>
      <c r="G160" s="275"/>
      <c r="H160" s="275"/>
      <c r="I160" s="275"/>
      <c r="J160" s="275"/>
    </row>
    <row r="161" spans="1:10">
      <c r="A161" s="273"/>
      <c r="B161" s="274"/>
      <c r="C161" s="278"/>
      <c r="D161" s="275"/>
      <c r="E161" s="275"/>
      <c r="F161" s="275"/>
      <c r="G161" s="275"/>
      <c r="H161" s="275"/>
      <c r="I161" s="275"/>
      <c r="J161" s="275"/>
    </row>
    <row r="162" spans="1:10">
      <c r="A162" s="273">
        <v>53</v>
      </c>
      <c r="B162" s="274">
        <v>22</v>
      </c>
      <c r="C162" s="278" t="s">
        <v>334</v>
      </c>
      <c r="D162" s="275" t="s">
        <v>441</v>
      </c>
      <c r="E162" s="275" t="s">
        <v>442</v>
      </c>
      <c r="F162" s="275"/>
      <c r="G162" s="275"/>
      <c r="H162" s="275"/>
      <c r="I162" s="275"/>
      <c r="J162" s="275"/>
    </row>
    <row r="163" spans="1:10">
      <c r="A163" s="273"/>
      <c r="B163" s="274"/>
      <c r="C163" s="278"/>
      <c r="D163" s="275">
        <v>0.98899999999999999</v>
      </c>
      <c r="E163" s="275">
        <v>0.99099999999999999</v>
      </c>
      <c r="F163" s="275"/>
      <c r="G163" s="275"/>
      <c r="H163" s="275"/>
      <c r="I163" s="275"/>
      <c r="J163" s="275"/>
    </row>
    <row r="164" spans="1:10">
      <c r="A164" s="273"/>
      <c r="B164" s="274"/>
      <c r="C164" s="278"/>
      <c r="D164" s="275"/>
      <c r="E164" s="275"/>
      <c r="F164" s="275"/>
      <c r="G164" s="275"/>
      <c r="H164" s="275"/>
      <c r="I164" s="275"/>
      <c r="J164" s="275"/>
    </row>
    <row r="165" spans="1:10">
      <c r="A165" s="273">
        <v>54</v>
      </c>
      <c r="B165" s="274">
        <v>22</v>
      </c>
      <c r="C165" s="278" t="s">
        <v>45</v>
      </c>
      <c r="D165" s="275" t="s">
        <v>441</v>
      </c>
      <c r="E165" s="275" t="s">
        <v>442</v>
      </c>
      <c r="F165" s="275"/>
      <c r="G165" s="275"/>
      <c r="H165" s="275"/>
      <c r="I165" s="275"/>
      <c r="J165" s="275"/>
    </row>
    <row r="166" spans="1:10">
      <c r="A166" s="273"/>
      <c r="B166" s="274"/>
      <c r="C166" s="278"/>
      <c r="D166" s="275">
        <v>0.93400000000000005</v>
      </c>
      <c r="E166" s="275">
        <v>0.93500000000000005</v>
      </c>
      <c r="F166" s="275"/>
      <c r="G166" s="275"/>
      <c r="H166" s="275"/>
      <c r="I166" s="275"/>
      <c r="J166" s="275"/>
    </row>
    <row r="167" spans="1:10">
      <c r="A167" s="273"/>
      <c r="B167" s="274"/>
      <c r="C167" s="278"/>
      <c r="D167" s="275"/>
      <c r="E167" s="275"/>
      <c r="F167" s="275"/>
      <c r="G167" s="275"/>
      <c r="H167" s="275"/>
      <c r="I167" s="275"/>
      <c r="J167" s="275"/>
    </row>
    <row r="168" spans="1:10">
      <c r="A168" s="273">
        <v>55</v>
      </c>
      <c r="B168" s="274">
        <v>22</v>
      </c>
      <c r="C168" s="278" t="s">
        <v>46</v>
      </c>
      <c r="D168" s="275" t="s">
        <v>438</v>
      </c>
      <c r="E168" s="275" t="s">
        <v>439</v>
      </c>
      <c r="F168" s="275" t="s">
        <v>440</v>
      </c>
      <c r="G168" s="275"/>
      <c r="H168" s="275"/>
      <c r="I168" s="275"/>
      <c r="J168" s="275"/>
    </row>
    <row r="169" spans="1:10">
      <c r="A169" s="273"/>
      <c r="B169" s="274"/>
      <c r="C169" s="278"/>
      <c r="D169" s="275">
        <v>0.85599999999999998</v>
      </c>
      <c r="E169" s="275">
        <v>0.88</v>
      </c>
      <c r="F169" s="275">
        <v>0.88600000000000001</v>
      </c>
      <c r="G169" s="275"/>
      <c r="H169" s="275"/>
      <c r="I169" s="275"/>
      <c r="J169" s="275"/>
    </row>
    <row r="170" spans="1:10">
      <c r="A170" s="273"/>
      <c r="B170" s="274"/>
      <c r="C170" s="278"/>
      <c r="D170" s="275"/>
      <c r="E170" s="275"/>
      <c r="F170" s="275"/>
      <c r="G170" s="275"/>
      <c r="H170" s="275"/>
      <c r="I170" s="275"/>
      <c r="J170" s="275"/>
    </row>
    <row r="171" spans="1:10">
      <c r="A171" s="273">
        <v>56</v>
      </c>
      <c r="B171" s="274">
        <v>23</v>
      </c>
      <c r="C171" s="278" t="s">
        <v>47</v>
      </c>
      <c r="D171" s="275" t="s">
        <v>441</v>
      </c>
      <c r="E171" s="275" t="s">
        <v>442</v>
      </c>
      <c r="F171" s="275"/>
      <c r="G171" s="275"/>
      <c r="H171" s="275"/>
      <c r="I171" s="275"/>
      <c r="J171" s="275"/>
    </row>
    <row r="172" spans="1:10">
      <c r="A172" s="273"/>
      <c r="B172" s="274"/>
      <c r="C172" s="278"/>
      <c r="D172" s="275">
        <v>0.94199999999999995</v>
      </c>
      <c r="E172" s="275">
        <v>0.94499999999999995</v>
      </c>
      <c r="F172" s="275"/>
      <c r="G172" s="275"/>
      <c r="H172" s="275"/>
      <c r="I172" s="275"/>
      <c r="J172" s="275"/>
    </row>
    <row r="173" spans="1:10">
      <c r="A173" s="273"/>
      <c r="B173" s="274"/>
      <c r="C173" s="278"/>
      <c r="D173" s="275"/>
      <c r="E173" s="275"/>
      <c r="F173" s="275"/>
      <c r="G173" s="275"/>
      <c r="H173" s="275"/>
      <c r="I173" s="275"/>
      <c r="J173" s="275"/>
    </row>
    <row r="174" spans="1:10">
      <c r="A174" s="273">
        <v>57</v>
      </c>
      <c r="B174" s="274">
        <v>23</v>
      </c>
      <c r="C174" s="278" t="s">
        <v>48</v>
      </c>
      <c r="D174" s="275" t="s">
        <v>441</v>
      </c>
      <c r="E174" s="275" t="s">
        <v>442</v>
      </c>
      <c r="F174" s="275"/>
      <c r="G174" s="275"/>
      <c r="H174" s="275"/>
      <c r="I174" s="275"/>
      <c r="J174" s="275"/>
    </row>
    <row r="175" spans="1:10">
      <c r="A175" s="273"/>
      <c r="B175" s="274"/>
      <c r="C175" s="278"/>
      <c r="D175" s="275">
        <v>0.90200000000000002</v>
      </c>
      <c r="E175" s="275">
        <v>0.90400000000000003</v>
      </c>
      <c r="F175" s="275"/>
      <c r="G175" s="275"/>
      <c r="H175" s="275"/>
      <c r="I175" s="275"/>
      <c r="J175" s="275"/>
    </row>
    <row r="176" spans="1:10">
      <c r="A176" s="273"/>
      <c r="B176" s="274"/>
      <c r="C176" s="278"/>
      <c r="D176" s="275"/>
      <c r="E176" s="275"/>
      <c r="F176" s="275"/>
      <c r="G176" s="275"/>
      <c r="H176" s="275"/>
      <c r="I176" s="275"/>
      <c r="J176" s="275"/>
    </row>
    <row r="177" spans="1:10">
      <c r="A177" s="273">
        <v>58</v>
      </c>
      <c r="B177" s="274">
        <v>23</v>
      </c>
      <c r="C177" s="278" t="s">
        <v>49</v>
      </c>
      <c r="D177" s="275" t="s">
        <v>441</v>
      </c>
      <c r="E177" s="275" t="s">
        <v>442</v>
      </c>
      <c r="F177" s="275"/>
      <c r="G177" s="275"/>
      <c r="H177" s="275"/>
      <c r="I177" s="275"/>
      <c r="J177" s="275"/>
    </row>
    <row r="178" spans="1:10">
      <c r="A178" s="273"/>
      <c r="B178" s="274"/>
      <c r="C178" s="278"/>
      <c r="D178" s="275">
        <v>0.86099999999999999</v>
      </c>
      <c r="E178" s="275">
        <v>0.86299999999999999</v>
      </c>
      <c r="F178" s="275"/>
      <c r="G178" s="275"/>
      <c r="H178" s="275"/>
      <c r="I178" s="275"/>
      <c r="J178" s="275"/>
    </row>
    <row r="179" spans="1:10">
      <c r="A179" s="273"/>
      <c r="B179" s="274"/>
      <c r="C179" s="278"/>
      <c r="D179" s="275"/>
      <c r="E179" s="275"/>
      <c r="F179" s="275"/>
      <c r="G179" s="275"/>
      <c r="H179" s="275"/>
      <c r="I179" s="275"/>
      <c r="J179" s="275"/>
    </row>
    <row r="180" spans="1:10">
      <c r="A180" s="273">
        <v>59</v>
      </c>
      <c r="B180" s="274">
        <v>23</v>
      </c>
      <c r="C180" s="278" t="s">
        <v>50</v>
      </c>
      <c r="D180" s="275" t="s">
        <v>441</v>
      </c>
      <c r="E180" s="275" t="s">
        <v>442</v>
      </c>
      <c r="F180" s="275"/>
      <c r="G180" s="275"/>
      <c r="H180" s="275"/>
      <c r="I180" s="275"/>
      <c r="J180" s="275"/>
    </row>
    <row r="181" spans="1:10">
      <c r="A181" s="273"/>
      <c r="B181" s="274"/>
      <c r="C181" s="278"/>
      <c r="D181" s="275">
        <v>0.82299999999999995</v>
      </c>
      <c r="E181" s="275">
        <v>0.82399999999999995</v>
      </c>
      <c r="F181" s="275"/>
      <c r="G181" s="275"/>
      <c r="H181" s="275"/>
      <c r="I181" s="275"/>
      <c r="J181" s="275"/>
    </row>
    <row r="182" spans="1:10">
      <c r="A182" s="273"/>
      <c r="B182" s="274"/>
      <c r="C182" s="278"/>
      <c r="D182" s="275"/>
      <c r="E182" s="275"/>
      <c r="F182" s="275"/>
      <c r="G182" s="275"/>
      <c r="H182" s="275"/>
      <c r="I182" s="275"/>
      <c r="J182" s="275"/>
    </row>
    <row r="183" spans="1:10">
      <c r="A183" s="273">
        <v>60</v>
      </c>
      <c r="B183" s="274">
        <v>23</v>
      </c>
      <c r="C183" s="278" t="s">
        <v>51</v>
      </c>
      <c r="D183" s="275" t="s">
        <v>438</v>
      </c>
      <c r="E183" s="275" t="s">
        <v>439</v>
      </c>
      <c r="F183" s="275" t="s">
        <v>440</v>
      </c>
      <c r="G183" s="275"/>
      <c r="H183" s="275"/>
      <c r="I183" s="275"/>
      <c r="J183" s="275"/>
    </row>
    <row r="184" spans="1:10">
      <c r="A184" s="273"/>
      <c r="B184" s="274"/>
      <c r="C184" s="278"/>
      <c r="D184" s="275">
        <v>0.80100000000000005</v>
      </c>
      <c r="E184" s="275">
        <v>0.81599999999999995</v>
      </c>
      <c r="F184" s="275">
        <v>0.82199999999999995</v>
      </c>
      <c r="G184" s="275"/>
      <c r="H184" s="275"/>
      <c r="I184" s="275"/>
      <c r="J184" s="275"/>
    </row>
    <row r="185" spans="1:10">
      <c r="A185" s="273"/>
      <c r="B185" s="274"/>
      <c r="C185" s="278"/>
      <c r="D185" s="275"/>
      <c r="E185" s="275"/>
      <c r="F185" s="275"/>
      <c r="G185" s="275"/>
      <c r="H185" s="275"/>
      <c r="I185" s="275"/>
      <c r="J185" s="275"/>
    </row>
    <row r="186" spans="1:10">
      <c r="A186" s="273">
        <v>61</v>
      </c>
      <c r="B186" s="274">
        <v>24</v>
      </c>
      <c r="C186" s="278" t="s">
        <v>52</v>
      </c>
      <c r="D186" s="275" t="s">
        <v>441</v>
      </c>
      <c r="E186" s="275" t="s">
        <v>442</v>
      </c>
      <c r="F186" s="275"/>
      <c r="G186" s="275"/>
      <c r="H186" s="275"/>
      <c r="I186" s="275"/>
      <c r="J186" s="275"/>
    </row>
    <row r="187" spans="1:10">
      <c r="A187" s="273"/>
      <c r="B187" s="274"/>
      <c r="C187" s="278"/>
      <c r="D187" s="275">
        <v>0.86</v>
      </c>
      <c r="E187" s="275">
        <v>0.86299999999999999</v>
      </c>
      <c r="F187" s="275"/>
      <c r="G187" s="275"/>
      <c r="H187" s="275"/>
      <c r="I187" s="275"/>
      <c r="J187" s="275"/>
    </row>
    <row r="188" spans="1:10">
      <c r="A188" s="273"/>
      <c r="B188" s="274"/>
      <c r="C188" s="278"/>
      <c r="D188" s="275"/>
      <c r="E188" s="275"/>
      <c r="F188" s="275"/>
      <c r="G188" s="275"/>
      <c r="H188" s="275"/>
      <c r="I188" s="275"/>
      <c r="J188" s="275"/>
    </row>
    <row r="189" spans="1:10">
      <c r="A189" s="273">
        <v>62</v>
      </c>
      <c r="B189" s="274">
        <v>24</v>
      </c>
      <c r="C189" s="278" t="s">
        <v>53</v>
      </c>
      <c r="D189" s="275" t="s">
        <v>441</v>
      </c>
      <c r="E189" s="275" t="s">
        <v>442</v>
      </c>
      <c r="F189" s="275"/>
      <c r="G189" s="275"/>
      <c r="H189" s="275"/>
      <c r="I189" s="275"/>
      <c r="J189" s="275"/>
    </row>
    <row r="190" spans="1:10">
      <c r="A190" s="273"/>
      <c r="B190" s="274"/>
      <c r="C190" s="278"/>
      <c r="D190" s="275">
        <v>0.83099999999999996</v>
      </c>
      <c r="E190" s="275">
        <v>0.83299999999999996</v>
      </c>
      <c r="F190" s="275"/>
      <c r="G190" s="275"/>
      <c r="H190" s="275"/>
      <c r="I190" s="275"/>
      <c r="J190" s="275"/>
    </row>
    <row r="191" spans="1:10">
      <c r="A191" s="273"/>
      <c r="B191" s="274"/>
      <c r="C191" s="278"/>
      <c r="D191" s="275"/>
      <c r="E191" s="275"/>
      <c r="F191" s="275"/>
      <c r="G191" s="275"/>
      <c r="H191" s="275"/>
      <c r="I191" s="275"/>
      <c r="J191" s="275"/>
    </row>
    <row r="192" spans="1:10">
      <c r="A192" s="273">
        <v>63</v>
      </c>
      <c r="B192" s="274">
        <v>24</v>
      </c>
      <c r="C192" s="278" t="s">
        <v>54</v>
      </c>
      <c r="D192" s="275" t="s">
        <v>441</v>
      </c>
      <c r="E192" s="275" t="s">
        <v>442</v>
      </c>
      <c r="F192" s="275"/>
      <c r="G192" s="275"/>
      <c r="H192" s="275"/>
      <c r="I192" s="275"/>
      <c r="J192" s="275"/>
    </row>
    <row r="193" spans="1:10">
      <c r="A193" s="273"/>
      <c r="B193" s="274"/>
      <c r="C193" s="278"/>
      <c r="D193" s="275">
        <v>0.8</v>
      </c>
      <c r="E193" s="275">
        <v>0.80200000000000005</v>
      </c>
      <c r="F193" s="275"/>
      <c r="G193" s="275"/>
      <c r="H193" s="275"/>
      <c r="I193" s="275"/>
      <c r="J193" s="275"/>
    </row>
    <row r="194" spans="1:10">
      <c r="A194" s="273"/>
      <c r="B194" s="274"/>
      <c r="C194" s="278"/>
      <c r="D194" s="275"/>
      <c r="E194" s="275"/>
      <c r="F194" s="275"/>
      <c r="G194" s="275"/>
      <c r="H194" s="275"/>
      <c r="I194" s="275"/>
      <c r="J194" s="275"/>
    </row>
    <row r="195" spans="1:10">
      <c r="A195" s="273">
        <v>64</v>
      </c>
      <c r="B195" s="274">
        <v>24</v>
      </c>
      <c r="C195" s="278" t="s">
        <v>55</v>
      </c>
      <c r="D195" s="275" t="s">
        <v>441</v>
      </c>
      <c r="E195" s="275" t="s">
        <v>442</v>
      </c>
      <c r="F195" s="275"/>
      <c r="G195" s="275"/>
      <c r="H195" s="275"/>
      <c r="I195" s="275"/>
      <c r="J195" s="275"/>
    </row>
    <row r="196" spans="1:10">
      <c r="A196" s="273"/>
      <c r="B196" s="274"/>
      <c r="C196" s="278"/>
      <c r="D196" s="275">
        <v>0.76900000000000002</v>
      </c>
      <c r="E196" s="275">
        <v>0.77100000000000002</v>
      </c>
      <c r="F196" s="275"/>
      <c r="G196" s="275"/>
      <c r="H196" s="275"/>
      <c r="I196" s="275"/>
      <c r="J196" s="275"/>
    </row>
    <row r="197" spans="1:10">
      <c r="A197" s="273"/>
      <c r="B197" s="274"/>
      <c r="C197" s="278"/>
      <c r="D197" s="275"/>
      <c r="E197" s="275"/>
      <c r="F197" s="275"/>
      <c r="G197" s="275"/>
      <c r="H197" s="275"/>
      <c r="I197" s="275"/>
      <c r="J197" s="275"/>
    </row>
    <row r="198" spans="1:10">
      <c r="A198" s="273">
        <v>65</v>
      </c>
      <c r="B198" s="274">
        <v>24</v>
      </c>
      <c r="C198" s="278" t="s">
        <v>56</v>
      </c>
      <c r="D198" s="275" t="s">
        <v>441</v>
      </c>
      <c r="E198" s="275" t="s">
        <v>442</v>
      </c>
      <c r="F198" s="275"/>
      <c r="G198" s="275"/>
      <c r="H198" s="275"/>
      <c r="I198" s="275"/>
      <c r="J198" s="275"/>
    </row>
    <row r="199" spans="1:10">
      <c r="A199" s="273"/>
      <c r="B199" s="274"/>
      <c r="C199" s="278"/>
      <c r="D199" s="275">
        <v>0.74</v>
      </c>
      <c r="E199" s="275">
        <v>0.74199999999999999</v>
      </c>
      <c r="F199" s="275"/>
      <c r="G199" s="275"/>
      <c r="H199" s="275"/>
      <c r="I199" s="275"/>
      <c r="J199" s="275"/>
    </row>
    <row r="200" spans="1:10">
      <c r="A200" s="273"/>
      <c r="B200" s="274"/>
      <c r="C200" s="278"/>
      <c r="D200" s="275"/>
      <c r="E200" s="275"/>
      <c r="F200" s="275"/>
      <c r="G200" s="275"/>
      <c r="H200" s="275"/>
      <c r="I200" s="275"/>
      <c r="J200" s="275"/>
    </row>
    <row r="201" spans="1:10">
      <c r="A201" s="273">
        <v>66</v>
      </c>
      <c r="B201" s="274">
        <v>24</v>
      </c>
      <c r="C201" s="278" t="s">
        <v>57</v>
      </c>
      <c r="D201" s="275" t="s">
        <v>438</v>
      </c>
      <c r="E201" s="275" t="s">
        <v>439</v>
      </c>
      <c r="F201" s="275" t="s">
        <v>440</v>
      </c>
      <c r="G201" s="275"/>
      <c r="H201" s="275"/>
      <c r="I201" s="275"/>
      <c r="J201" s="275"/>
    </row>
    <row r="202" spans="1:10">
      <c r="A202" s="273"/>
      <c r="B202" s="274"/>
      <c r="C202" s="278"/>
      <c r="D202" s="275">
        <v>0.753</v>
      </c>
      <c r="E202" s="275">
        <v>0.76100000000000001</v>
      </c>
      <c r="F202" s="275">
        <v>0.76700000000000002</v>
      </c>
      <c r="G202" s="275"/>
      <c r="H202" s="275"/>
      <c r="I202" s="275"/>
      <c r="J202" s="275"/>
    </row>
    <row r="203" spans="1:10">
      <c r="A203" s="273"/>
      <c r="B203" s="274"/>
      <c r="C203" s="278"/>
      <c r="D203" s="275"/>
      <c r="E203" s="275"/>
      <c r="F203" s="275"/>
      <c r="G203" s="275"/>
      <c r="H203" s="275"/>
      <c r="I203" s="275"/>
      <c r="J203" s="275"/>
    </row>
    <row r="204" spans="1:10">
      <c r="A204" s="273">
        <v>67</v>
      </c>
      <c r="B204" s="274">
        <v>25</v>
      </c>
      <c r="C204" s="278" t="s">
        <v>58</v>
      </c>
      <c r="D204" s="275" t="s">
        <v>441</v>
      </c>
      <c r="E204" s="275" t="s">
        <v>442</v>
      </c>
      <c r="F204" s="275" t="s">
        <v>443</v>
      </c>
      <c r="G204" s="275"/>
      <c r="H204" s="275"/>
      <c r="I204" s="275"/>
      <c r="J204" s="275"/>
    </row>
    <row r="205" spans="1:10">
      <c r="A205" s="273"/>
      <c r="B205" s="274"/>
      <c r="C205" s="278"/>
      <c r="D205" s="275">
        <v>0.77300000000000002</v>
      </c>
      <c r="E205" s="275">
        <v>0.77500000000000002</v>
      </c>
      <c r="F205" s="275">
        <v>2.496</v>
      </c>
      <c r="G205" s="275"/>
      <c r="H205" s="275"/>
      <c r="I205" s="275"/>
      <c r="J205" s="275"/>
    </row>
    <row r="206" spans="1:10">
      <c r="A206" s="273"/>
      <c r="B206" s="274"/>
      <c r="C206" s="278"/>
      <c r="D206" s="275"/>
      <c r="E206" s="275"/>
      <c r="F206" s="275"/>
      <c r="G206" s="275"/>
      <c r="H206" s="275"/>
      <c r="I206" s="275"/>
      <c r="J206" s="275"/>
    </row>
    <row r="207" spans="1:10">
      <c r="A207" s="273">
        <v>68</v>
      </c>
      <c r="B207" s="274">
        <v>25</v>
      </c>
      <c r="C207" s="278" t="s">
        <v>59</v>
      </c>
      <c r="D207" s="275" t="s">
        <v>441</v>
      </c>
      <c r="E207" s="275" t="s">
        <v>442</v>
      </c>
      <c r="F207" s="275"/>
      <c r="G207" s="275"/>
      <c r="H207" s="275"/>
      <c r="I207" s="275"/>
      <c r="J207" s="275"/>
    </row>
    <row r="208" spans="1:10">
      <c r="A208" s="273"/>
      <c r="B208" s="274"/>
      <c r="C208" s="278"/>
      <c r="D208" s="275">
        <v>0.77100000000000002</v>
      </c>
      <c r="E208" s="275">
        <v>0.77400000000000002</v>
      </c>
      <c r="F208" s="275"/>
      <c r="G208" s="275"/>
      <c r="H208" s="275"/>
      <c r="I208" s="275"/>
      <c r="J208" s="275"/>
    </row>
    <row r="209" spans="1:10">
      <c r="A209" s="273"/>
      <c r="B209" s="274"/>
      <c r="C209" s="278"/>
      <c r="D209" s="275"/>
      <c r="E209" s="275"/>
      <c r="F209" s="275"/>
      <c r="G209" s="275"/>
      <c r="H209" s="275"/>
      <c r="I209" s="275"/>
      <c r="J209" s="275"/>
    </row>
    <row r="210" spans="1:10">
      <c r="A210" s="273">
        <v>69</v>
      </c>
      <c r="B210" s="274">
        <v>25</v>
      </c>
      <c r="C210" s="278" t="s">
        <v>60</v>
      </c>
      <c r="D210" s="275" t="s">
        <v>441</v>
      </c>
      <c r="E210" s="275" t="s">
        <v>442</v>
      </c>
      <c r="F210" s="275"/>
      <c r="G210" s="275"/>
      <c r="H210" s="275"/>
      <c r="I210" s="275"/>
      <c r="J210" s="275"/>
    </row>
    <row r="211" spans="1:10">
      <c r="A211" s="273"/>
      <c r="B211" s="274"/>
      <c r="C211" s="278"/>
      <c r="D211" s="275">
        <v>0.747</v>
      </c>
      <c r="E211" s="275">
        <v>0.749</v>
      </c>
      <c r="F211" s="275"/>
      <c r="G211" s="275"/>
      <c r="H211" s="275"/>
      <c r="I211" s="275"/>
      <c r="J211" s="275"/>
    </row>
    <row r="212" spans="1:10">
      <c r="A212" s="273"/>
      <c r="B212" s="274"/>
      <c r="C212" s="278"/>
      <c r="D212" s="275"/>
      <c r="E212" s="275"/>
      <c r="F212" s="275"/>
      <c r="G212" s="275"/>
      <c r="H212" s="275"/>
      <c r="I212" s="275"/>
      <c r="J212" s="275"/>
    </row>
    <row r="213" spans="1:10">
      <c r="A213" s="273">
        <v>70</v>
      </c>
      <c r="B213" s="274">
        <v>25</v>
      </c>
      <c r="C213" s="278" t="s">
        <v>61</v>
      </c>
      <c r="D213" s="275" t="s">
        <v>441</v>
      </c>
      <c r="E213" s="275" t="s">
        <v>442</v>
      </c>
      <c r="F213" s="275"/>
      <c r="G213" s="275"/>
      <c r="H213" s="275"/>
      <c r="I213" s="275"/>
      <c r="J213" s="275"/>
    </row>
    <row r="214" spans="1:10">
      <c r="A214" s="273"/>
      <c r="B214" s="274"/>
      <c r="C214" s="278"/>
      <c r="D214" s="275">
        <v>0.72199999999999998</v>
      </c>
      <c r="E214" s="275">
        <v>0.72399999999999998</v>
      </c>
      <c r="F214" s="275"/>
      <c r="G214" s="275"/>
      <c r="H214" s="275"/>
      <c r="I214" s="275"/>
      <c r="J214" s="275"/>
    </row>
    <row r="215" spans="1:10">
      <c r="A215" s="273"/>
      <c r="B215" s="274"/>
      <c r="C215" s="278"/>
      <c r="D215" s="275"/>
      <c r="E215" s="275"/>
      <c r="F215" s="275"/>
      <c r="G215" s="275"/>
      <c r="H215" s="275"/>
      <c r="I215" s="275"/>
      <c r="J215" s="275"/>
    </row>
    <row r="216" spans="1:10">
      <c r="A216" s="273">
        <v>71</v>
      </c>
      <c r="B216" s="274">
        <v>25</v>
      </c>
      <c r="C216" s="278" t="s">
        <v>62</v>
      </c>
      <c r="D216" s="275" t="s">
        <v>441</v>
      </c>
      <c r="E216" s="275" t="s">
        <v>442</v>
      </c>
      <c r="F216" s="275"/>
      <c r="G216" s="275"/>
      <c r="H216" s="275"/>
      <c r="I216" s="275"/>
      <c r="J216" s="275"/>
    </row>
    <row r="217" spans="1:10">
      <c r="A217" s="273"/>
      <c r="B217" s="274"/>
      <c r="C217" s="278"/>
      <c r="D217" s="275">
        <v>0.69799999999999995</v>
      </c>
      <c r="E217" s="275">
        <v>0.7</v>
      </c>
      <c r="F217" s="275"/>
      <c r="G217" s="275"/>
      <c r="H217" s="275"/>
      <c r="I217" s="275"/>
      <c r="J217" s="275"/>
    </row>
    <row r="218" spans="1:10">
      <c r="A218" s="273"/>
      <c r="B218" s="274"/>
      <c r="C218" s="278"/>
      <c r="D218" s="275"/>
      <c r="E218" s="275"/>
      <c r="F218" s="275"/>
      <c r="G218" s="275"/>
      <c r="H218" s="275"/>
      <c r="I218" s="275"/>
      <c r="J218" s="275"/>
    </row>
    <row r="219" spans="1:10">
      <c r="A219" s="273">
        <v>72</v>
      </c>
      <c r="B219" s="274">
        <v>25</v>
      </c>
      <c r="C219" s="278" t="s">
        <v>63</v>
      </c>
      <c r="D219" s="275" t="s">
        <v>441</v>
      </c>
      <c r="E219" s="275" t="s">
        <v>442</v>
      </c>
      <c r="F219" s="275"/>
      <c r="G219" s="275"/>
      <c r="H219" s="275"/>
      <c r="I219" s="275"/>
      <c r="J219" s="275"/>
    </row>
    <row r="220" spans="1:10">
      <c r="A220" s="273"/>
      <c r="B220" s="274"/>
      <c r="C220" s="278"/>
      <c r="D220" s="275">
        <v>0.67500000000000004</v>
      </c>
      <c r="E220" s="275">
        <v>0.67600000000000005</v>
      </c>
      <c r="F220" s="275"/>
      <c r="G220" s="275"/>
      <c r="H220" s="275"/>
      <c r="I220" s="275"/>
      <c r="J220" s="275"/>
    </row>
    <row r="221" spans="1:10">
      <c r="A221" s="273"/>
      <c r="B221" s="274"/>
      <c r="C221" s="278"/>
      <c r="D221" s="275"/>
      <c r="E221" s="275"/>
      <c r="F221" s="275"/>
      <c r="G221" s="275"/>
      <c r="H221" s="275"/>
      <c r="I221" s="275"/>
      <c r="J221" s="275"/>
    </row>
    <row r="222" spans="1:10">
      <c r="A222" s="273">
        <v>73</v>
      </c>
      <c r="B222" s="274">
        <v>25</v>
      </c>
      <c r="C222" s="278" t="s">
        <v>64</v>
      </c>
      <c r="D222" s="275" t="s">
        <v>438</v>
      </c>
      <c r="E222" s="275" t="s">
        <v>439</v>
      </c>
      <c r="F222" s="275" t="s">
        <v>440</v>
      </c>
      <c r="G222" s="275"/>
      <c r="H222" s="275"/>
      <c r="I222" s="275"/>
      <c r="J222" s="275"/>
    </row>
    <row r="223" spans="1:10">
      <c r="A223" s="273"/>
      <c r="B223" s="274"/>
      <c r="C223" s="278"/>
      <c r="D223" s="275">
        <v>0.71</v>
      </c>
      <c r="E223" s="275">
        <v>0.71299999999999997</v>
      </c>
      <c r="F223" s="275">
        <v>0.71899999999999997</v>
      </c>
      <c r="G223" s="275"/>
      <c r="H223" s="275"/>
      <c r="I223" s="275"/>
      <c r="J223" s="275"/>
    </row>
    <row r="224" spans="1:10">
      <c r="A224" s="273"/>
      <c r="B224" s="274"/>
      <c r="C224" s="278"/>
      <c r="D224" s="275"/>
      <c r="E224" s="275"/>
      <c r="F224" s="275"/>
      <c r="G224" s="275"/>
      <c r="H224" s="275"/>
      <c r="I224" s="275"/>
      <c r="J224" s="275"/>
    </row>
    <row r="225" spans="1:10">
      <c r="A225" s="273">
        <v>74</v>
      </c>
      <c r="B225" s="274">
        <v>26</v>
      </c>
      <c r="C225" s="278" t="s">
        <v>65</v>
      </c>
      <c r="D225" s="275" t="s">
        <v>441</v>
      </c>
      <c r="E225" s="275" t="s">
        <v>442</v>
      </c>
      <c r="F225" s="275" t="s">
        <v>443</v>
      </c>
      <c r="G225" s="275"/>
      <c r="H225" s="275"/>
      <c r="I225" s="275"/>
      <c r="J225" s="275"/>
    </row>
    <row r="226" spans="1:10">
      <c r="A226" s="273"/>
      <c r="B226" s="274"/>
      <c r="C226" s="278"/>
      <c r="D226" s="275">
        <v>0.72199999999999998</v>
      </c>
      <c r="E226" s="275">
        <v>0.72399999999999998</v>
      </c>
      <c r="F226" s="275">
        <v>2.4009999999999998</v>
      </c>
      <c r="G226" s="275"/>
      <c r="H226" s="275"/>
      <c r="I226" s="275"/>
      <c r="J226" s="275"/>
    </row>
    <row r="227" spans="1:10">
      <c r="A227" s="273"/>
      <c r="B227" s="274"/>
      <c r="C227" s="278"/>
      <c r="D227" s="275"/>
      <c r="E227" s="275"/>
      <c r="F227" s="275"/>
      <c r="G227" s="275"/>
      <c r="H227" s="275"/>
      <c r="I227" s="275"/>
      <c r="J227" s="275"/>
    </row>
    <row r="228" spans="1:10">
      <c r="A228" s="273">
        <v>75</v>
      </c>
      <c r="B228" s="274">
        <v>26</v>
      </c>
      <c r="C228" s="278" t="s">
        <v>66</v>
      </c>
      <c r="D228" s="275" t="s">
        <v>441</v>
      </c>
      <c r="E228" s="275" t="s">
        <v>442</v>
      </c>
      <c r="F228" s="275"/>
      <c r="G228" s="275"/>
      <c r="H228" s="275"/>
      <c r="I228" s="275"/>
      <c r="J228" s="275"/>
    </row>
    <row r="229" spans="1:10">
      <c r="A229" s="273"/>
      <c r="B229" s="274"/>
      <c r="C229" s="278"/>
      <c r="D229" s="275">
        <v>0.72099999999999997</v>
      </c>
      <c r="E229" s="275">
        <v>0.72299999999999998</v>
      </c>
      <c r="F229" s="275"/>
      <c r="G229" s="275"/>
      <c r="H229" s="275"/>
      <c r="I229" s="275"/>
      <c r="J229" s="275"/>
    </row>
    <row r="230" spans="1:10">
      <c r="A230" s="273"/>
      <c r="B230" s="274"/>
      <c r="C230" s="278"/>
      <c r="D230" s="275"/>
      <c r="E230" s="275"/>
      <c r="F230" s="275"/>
      <c r="G230" s="275"/>
      <c r="H230" s="275"/>
      <c r="I230" s="275"/>
      <c r="J230" s="275"/>
    </row>
    <row r="231" spans="1:10">
      <c r="A231" s="273">
        <v>76</v>
      </c>
      <c r="B231" s="274">
        <v>26</v>
      </c>
      <c r="C231" s="278" t="s">
        <v>67</v>
      </c>
      <c r="D231" s="275" t="s">
        <v>441</v>
      </c>
      <c r="E231" s="275" t="s">
        <v>442</v>
      </c>
      <c r="F231" s="275"/>
      <c r="G231" s="275"/>
      <c r="H231" s="275"/>
      <c r="I231" s="275"/>
      <c r="J231" s="275"/>
    </row>
    <row r="232" spans="1:10">
      <c r="A232" s="273"/>
      <c r="B232" s="274"/>
      <c r="C232" s="278"/>
      <c r="D232" s="275">
        <v>0.70099999999999996</v>
      </c>
      <c r="E232" s="275">
        <v>0.70299999999999996</v>
      </c>
      <c r="F232" s="275"/>
      <c r="G232" s="275"/>
      <c r="H232" s="275"/>
      <c r="I232" s="275"/>
      <c r="J232" s="275"/>
    </row>
    <row r="233" spans="1:10">
      <c r="A233" s="273"/>
      <c r="B233" s="274"/>
      <c r="C233" s="278"/>
      <c r="D233" s="275"/>
      <c r="E233" s="275"/>
      <c r="F233" s="275"/>
      <c r="G233" s="275"/>
      <c r="H233" s="275"/>
      <c r="I233" s="275"/>
      <c r="J233" s="275"/>
    </row>
    <row r="234" spans="1:10">
      <c r="A234" s="273">
        <v>77</v>
      </c>
      <c r="B234" s="274">
        <v>26</v>
      </c>
      <c r="C234" s="278" t="s">
        <v>68</v>
      </c>
      <c r="D234" s="275" t="s">
        <v>441</v>
      </c>
      <c r="E234" s="275" t="s">
        <v>442</v>
      </c>
      <c r="F234" s="275"/>
      <c r="G234" s="275"/>
      <c r="H234" s="275"/>
      <c r="I234" s="275"/>
      <c r="J234" s="275"/>
    </row>
    <row r="235" spans="1:10">
      <c r="A235" s="273"/>
      <c r="B235" s="274"/>
      <c r="C235" s="278"/>
      <c r="D235" s="275">
        <v>0.68100000000000005</v>
      </c>
      <c r="E235" s="275">
        <v>0.68300000000000005</v>
      </c>
      <c r="F235" s="275"/>
      <c r="G235" s="275"/>
      <c r="H235" s="275"/>
      <c r="I235" s="275"/>
      <c r="J235" s="275"/>
    </row>
    <row r="236" spans="1:10">
      <c r="A236" s="273"/>
      <c r="B236" s="274"/>
      <c r="C236" s="278"/>
      <c r="D236" s="275"/>
      <c r="E236" s="275"/>
      <c r="F236" s="275"/>
      <c r="G236" s="275"/>
      <c r="H236" s="275"/>
      <c r="I236" s="275"/>
      <c r="J236" s="275"/>
    </row>
    <row r="237" spans="1:10">
      <c r="A237" s="273">
        <v>78</v>
      </c>
      <c r="B237" s="274">
        <v>26</v>
      </c>
      <c r="C237" s="278" t="s">
        <v>69</v>
      </c>
      <c r="D237" s="275" t="s">
        <v>441</v>
      </c>
      <c r="E237" s="275" t="s">
        <v>442</v>
      </c>
      <c r="F237" s="275"/>
      <c r="G237" s="275"/>
      <c r="H237" s="275"/>
      <c r="I237" s="275"/>
      <c r="J237" s="275"/>
    </row>
    <row r="238" spans="1:10">
      <c r="A238" s="273"/>
      <c r="B238" s="274"/>
      <c r="C238" s="278"/>
      <c r="D238" s="275">
        <v>0.66</v>
      </c>
      <c r="E238" s="275">
        <v>0.66200000000000003</v>
      </c>
      <c r="F238" s="275"/>
      <c r="G238" s="275"/>
      <c r="H238" s="275"/>
      <c r="I238" s="275"/>
      <c r="J238" s="275"/>
    </row>
    <row r="239" spans="1:10">
      <c r="A239" s="273"/>
      <c r="B239" s="274"/>
      <c r="C239" s="278"/>
      <c r="D239" s="275"/>
      <c r="E239" s="275"/>
      <c r="F239" s="275"/>
      <c r="G239" s="275"/>
      <c r="H239" s="275"/>
      <c r="I239" s="275"/>
      <c r="J239" s="275"/>
    </row>
    <row r="240" spans="1:10">
      <c r="A240" s="273">
        <v>79</v>
      </c>
      <c r="B240" s="274">
        <v>26</v>
      </c>
      <c r="C240" s="278" t="s">
        <v>70</v>
      </c>
      <c r="D240" s="275" t="s">
        <v>441</v>
      </c>
      <c r="E240" s="275" t="s">
        <v>442</v>
      </c>
      <c r="F240" s="275"/>
      <c r="G240" s="275"/>
      <c r="H240" s="275"/>
      <c r="I240" s="275"/>
      <c r="J240" s="275"/>
    </row>
    <row r="241" spans="1:10">
      <c r="A241" s="273"/>
      <c r="B241" s="274"/>
      <c r="C241" s="278"/>
      <c r="D241" s="275">
        <v>0.64100000000000001</v>
      </c>
      <c r="E241" s="275">
        <v>0.64200000000000002</v>
      </c>
      <c r="F241" s="275"/>
      <c r="G241" s="275"/>
      <c r="H241" s="275"/>
      <c r="I241" s="275"/>
      <c r="J241" s="275"/>
    </row>
    <row r="242" spans="1:10">
      <c r="A242" s="273"/>
      <c r="B242" s="274"/>
      <c r="C242" s="278"/>
      <c r="D242" s="275"/>
      <c r="E242" s="275"/>
      <c r="F242" s="275"/>
      <c r="G242" s="275"/>
      <c r="H242" s="275"/>
      <c r="I242" s="275"/>
      <c r="J242" s="275"/>
    </row>
    <row r="243" spans="1:10">
      <c r="A243" s="273">
        <v>80</v>
      </c>
      <c r="B243" s="274">
        <v>27</v>
      </c>
      <c r="C243" s="278" t="s">
        <v>71</v>
      </c>
      <c r="D243" s="275" t="s">
        <v>441</v>
      </c>
      <c r="E243" s="275" t="s">
        <v>442</v>
      </c>
      <c r="F243" s="275"/>
      <c r="G243" s="275"/>
      <c r="H243" s="275"/>
      <c r="I243" s="275"/>
      <c r="J243" s="275"/>
    </row>
    <row r="244" spans="1:10">
      <c r="A244" s="273"/>
      <c r="B244" s="274"/>
      <c r="C244" s="278"/>
      <c r="D244" s="275">
        <v>0.69</v>
      </c>
      <c r="E244" s="275">
        <v>0.69399999999999995</v>
      </c>
      <c r="F244" s="275"/>
      <c r="G244" s="275"/>
      <c r="H244" s="275"/>
      <c r="I244" s="275"/>
      <c r="J244" s="275"/>
    </row>
    <row r="245" spans="1:10">
      <c r="A245" s="273"/>
      <c r="B245" s="274"/>
      <c r="C245" s="278"/>
      <c r="D245" s="275"/>
      <c r="E245" s="275"/>
      <c r="F245" s="275"/>
      <c r="G245" s="275"/>
      <c r="H245" s="275"/>
      <c r="I245" s="275"/>
      <c r="J245" s="275"/>
    </row>
    <row r="246" spans="1:10">
      <c r="A246" s="273">
        <v>81</v>
      </c>
      <c r="B246" s="274">
        <v>27</v>
      </c>
      <c r="C246" s="278" t="s">
        <v>72</v>
      </c>
      <c r="D246" s="275" t="s">
        <v>441</v>
      </c>
      <c r="E246" s="275" t="s">
        <v>442</v>
      </c>
      <c r="F246" s="275"/>
      <c r="G246" s="275"/>
      <c r="H246" s="275"/>
      <c r="I246" s="275"/>
      <c r="J246" s="275"/>
    </row>
    <row r="247" spans="1:10">
      <c r="A247" s="273"/>
      <c r="B247" s="274"/>
      <c r="C247" s="278"/>
      <c r="D247" s="275">
        <v>0.67700000000000005</v>
      </c>
      <c r="E247" s="275">
        <v>0.68</v>
      </c>
      <c r="F247" s="275"/>
      <c r="G247" s="275"/>
      <c r="H247" s="275"/>
      <c r="I247" s="275"/>
      <c r="J247" s="275"/>
    </row>
    <row r="248" spans="1:10">
      <c r="A248" s="273"/>
      <c r="B248" s="274"/>
      <c r="C248" s="278"/>
      <c r="D248" s="275"/>
      <c r="E248" s="275"/>
      <c r="F248" s="275"/>
      <c r="G248" s="275"/>
      <c r="H248" s="275"/>
      <c r="I248" s="275"/>
      <c r="J248" s="275"/>
    </row>
    <row r="249" spans="1:10">
      <c r="A249" s="273">
        <v>82</v>
      </c>
      <c r="B249" s="274">
        <v>27</v>
      </c>
      <c r="C249" s="278" t="s">
        <v>73</v>
      </c>
      <c r="D249" s="275" t="s">
        <v>441</v>
      </c>
      <c r="E249" s="275" t="s">
        <v>442</v>
      </c>
      <c r="F249" s="275"/>
      <c r="G249" s="275"/>
      <c r="H249" s="275"/>
      <c r="I249" s="275"/>
      <c r="J249" s="275"/>
    </row>
    <row r="250" spans="1:10">
      <c r="A250" s="273"/>
      <c r="B250" s="274"/>
      <c r="C250" s="278"/>
      <c r="D250" s="275">
        <v>0.66100000000000003</v>
      </c>
      <c r="E250" s="275">
        <v>0.66300000000000003</v>
      </c>
      <c r="F250" s="275"/>
      <c r="G250" s="275"/>
      <c r="H250" s="275"/>
      <c r="I250" s="275"/>
      <c r="J250" s="275"/>
    </row>
    <row r="251" spans="1:10">
      <c r="A251" s="273"/>
      <c r="B251" s="274"/>
      <c r="C251" s="278"/>
      <c r="D251" s="275"/>
      <c r="E251" s="275"/>
      <c r="F251" s="275"/>
      <c r="G251" s="275"/>
      <c r="H251" s="275"/>
      <c r="I251" s="275"/>
      <c r="J251" s="275"/>
    </row>
    <row r="252" spans="1:10">
      <c r="A252" s="273">
        <v>83</v>
      </c>
      <c r="B252" s="274">
        <v>27</v>
      </c>
      <c r="C252" s="278" t="s">
        <v>74</v>
      </c>
      <c r="D252" s="275" t="s">
        <v>441</v>
      </c>
      <c r="E252" s="275" t="s">
        <v>442</v>
      </c>
      <c r="F252" s="275"/>
      <c r="G252" s="275"/>
      <c r="H252" s="275"/>
      <c r="I252" s="275"/>
      <c r="J252" s="275"/>
    </row>
    <row r="253" spans="1:10">
      <c r="A253" s="273"/>
      <c r="B253" s="274"/>
      <c r="C253" s="278"/>
      <c r="D253" s="275">
        <v>0.64400000000000002</v>
      </c>
      <c r="E253" s="275">
        <v>0.64600000000000002</v>
      </c>
      <c r="F253" s="275"/>
      <c r="G253" s="275"/>
      <c r="H253" s="275"/>
      <c r="I253" s="275"/>
      <c r="J253" s="275"/>
    </row>
    <row r="254" spans="1:10">
      <c r="A254" s="273"/>
      <c r="B254" s="274"/>
      <c r="C254" s="278"/>
      <c r="D254" s="275"/>
      <c r="E254" s="275"/>
      <c r="F254" s="275"/>
      <c r="G254" s="275"/>
      <c r="H254" s="275"/>
      <c r="I254" s="275"/>
      <c r="J254" s="275"/>
    </row>
    <row r="255" spans="1:10">
      <c r="A255" s="273">
        <v>84</v>
      </c>
      <c r="B255" s="274">
        <v>27</v>
      </c>
      <c r="C255" s="278" t="s">
        <v>75</v>
      </c>
      <c r="D255" s="275" t="s">
        <v>441</v>
      </c>
      <c r="E255" s="275" t="s">
        <v>442</v>
      </c>
      <c r="F255" s="275"/>
      <c r="G255" s="275"/>
      <c r="H255" s="275"/>
      <c r="I255" s="275"/>
      <c r="J255" s="275"/>
    </row>
    <row r="256" spans="1:10">
      <c r="A256" s="273"/>
      <c r="B256" s="274"/>
      <c r="C256" s="278"/>
      <c r="D256" s="275">
        <v>0.626</v>
      </c>
      <c r="E256" s="275">
        <v>0.628</v>
      </c>
      <c r="F256" s="275"/>
      <c r="G256" s="275"/>
      <c r="H256" s="275"/>
      <c r="I256" s="275"/>
      <c r="J256" s="275"/>
    </row>
    <row r="257" spans="1:10">
      <c r="A257" s="273"/>
      <c r="B257" s="274"/>
      <c r="C257" s="278"/>
      <c r="D257" s="275"/>
      <c r="E257" s="275"/>
      <c r="F257" s="275"/>
      <c r="G257" s="275"/>
      <c r="H257" s="275"/>
      <c r="I257" s="275"/>
      <c r="J257" s="275"/>
    </row>
    <row r="258" spans="1:10">
      <c r="A258" s="273">
        <v>85</v>
      </c>
      <c r="B258" s="274">
        <v>28</v>
      </c>
      <c r="C258" s="278" t="s">
        <v>76</v>
      </c>
      <c r="D258" s="275" t="s">
        <v>441</v>
      </c>
      <c r="E258" s="275" t="s">
        <v>442</v>
      </c>
      <c r="F258" s="275"/>
      <c r="G258" s="275"/>
      <c r="H258" s="275"/>
      <c r="I258" s="275"/>
      <c r="J258" s="275"/>
    </row>
    <row r="259" spans="1:10">
      <c r="A259" s="273"/>
      <c r="B259" s="274"/>
      <c r="C259" s="278"/>
      <c r="D259" s="275">
        <v>0.64900000000000002</v>
      </c>
      <c r="E259" s="275">
        <v>0.65300000000000002</v>
      </c>
      <c r="F259" s="275"/>
      <c r="G259" s="275"/>
      <c r="H259" s="275"/>
      <c r="I259" s="275"/>
      <c r="J259" s="275"/>
    </row>
    <row r="260" spans="1:10">
      <c r="A260" s="273"/>
      <c r="B260" s="274"/>
      <c r="C260" s="278"/>
      <c r="D260" s="275"/>
      <c r="E260" s="275"/>
      <c r="F260" s="275"/>
      <c r="G260" s="275"/>
      <c r="H260" s="275"/>
      <c r="I260" s="275"/>
      <c r="J260" s="275"/>
    </row>
    <row r="261" spans="1:10">
      <c r="A261" s="273">
        <v>86</v>
      </c>
      <c r="B261" s="274">
        <v>28</v>
      </c>
      <c r="C261" s="278" t="s">
        <v>77</v>
      </c>
      <c r="D261" s="275" t="s">
        <v>441</v>
      </c>
      <c r="E261" s="275" t="s">
        <v>442</v>
      </c>
      <c r="F261" s="275"/>
      <c r="G261" s="275"/>
      <c r="H261" s="275"/>
      <c r="I261" s="275"/>
      <c r="J261" s="275"/>
    </row>
    <row r="262" spans="1:10">
      <c r="A262" s="273"/>
      <c r="B262" s="274"/>
      <c r="C262" s="278"/>
      <c r="D262" s="275">
        <v>0.63800000000000001</v>
      </c>
      <c r="E262" s="275">
        <v>0.64100000000000001</v>
      </c>
      <c r="F262" s="275"/>
      <c r="G262" s="275"/>
      <c r="H262" s="275"/>
      <c r="I262" s="275"/>
      <c r="J262" s="275"/>
    </row>
    <row r="263" spans="1:10">
      <c r="A263" s="273"/>
      <c r="B263" s="274"/>
      <c r="C263" s="278"/>
      <c r="D263" s="275"/>
      <c r="E263" s="275"/>
      <c r="F263" s="275"/>
      <c r="G263" s="275"/>
      <c r="H263" s="275"/>
      <c r="I263" s="275"/>
      <c r="J263" s="275"/>
    </row>
    <row r="264" spans="1:10">
      <c r="A264" s="273">
        <v>87</v>
      </c>
      <c r="B264" s="274">
        <v>28</v>
      </c>
      <c r="C264" s="278" t="s">
        <v>78</v>
      </c>
      <c r="D264" s="275" t="s">
        <v>441</v>
      </c>
      <c r="E264" s="275" t="s">
        <v>442</v>
      </c>
      <c r="F264" s="275"/>
      <c r="G264" s="275"/>
      <c r="H264" s="275"/>
      <c r="I264" s="275"/>
      <c r="J264" s="275"/>
    </row>
    <row r="265" spans="1:10">
      <c r="A265" s="273"/>
      <c r="B265" s="274"/>
      <c r="C265" s="278"/>
      <c r="D265" s="275">
        <v>0.625</v>
      </c>
      <c r="E265" s="275">
        <v>0.628</v>
      </c>
      <c r="F265" s="275"/>
      <c r="G265" s="275"/>
      <c r="H265" s="275"/>
      <c r="I265" s="275"/>
      <c r="J265" s="275"/>
    </row>
    <row r="266" spans="1:10">
      <c r="A266" s="273"/>
      <c r="B266" s="274"/>
      <c r="C266" s="278"/>
      <c r="D266" s="275"/>
      <c r="E266" s="275"/>
      <c r="F266" s="275"/>
      <c r="G266" s="275"/>
      <c r="H266" s="275"/>
      <c r="I266" s="275"/>
      <c r="J266" s="275"/>
    </row>
    <row r="267" spans="1:10">
      <c r="A267" s="273">
        <v>88</v>
      </c>
      <c r="B267" s="274">
        <v>28</v>
      </c>
      <c r="C267" s="278" t="s">
        <v>79</v>
      </c>
      <c r="D267" s="275" t="s">
        <v>441</v>
      </c>
      <c r="E267" s="275" t="s">
        <v>442</v>
      </c>
      <c r="F267" s="275"/>
      <c r="G267" s="275"/>
      <c r="H267" s="275"/>
      <c r="I267" s="275"/>
      <c r="J267" s="275"/>
    </row>
    <row r="268" spans="1:10">
      <c r="A268" s="273"/>
      <c r="B268" s="274"/>
      <c r="C268" s="278"/>
      <c r="D268" s="275">
        <v>0.61099999999999999</v>
      </c>
      <c r="E268" s="275">
        <v>0.61299999999999999</v>
      </c>
      <c r="F268" s="275"/>
      <c r="G268" s="275"/>
      <c r="H268" s="275"/>
      <c r="I268" s="275"/>
      <c r="J268" s="275"/>
    </row>
    <row r="269" spans="1:10">
      <c r="A269" s="273"/>
      <c r="B269" s="274"/>
      <c r="C269" s="278"/>
      <c r="D269" s="275"/>
      <c r="E269" s="275"/>
      <c r="F269" s="275"/>
      <c r="G269" s="275"/>
      <c r="H269" s="275"/>
      <c r="I269" s="275"/>
      <c r="J269" s="275"/>
    </row>
    <row r="270" spans="1:10">
      <c r="A270" s="273">
        <v>89</v>
      </c>
      <c r="B270" s="274">
        <v>29</v>
      </c>
      <c r="C270" s="278" t="s">
        <v>80</v>
      </c>
      <c r="D270" s="275" t="s">
        <v>441</v>
      </c>
      <c r="E270" s="275" t="s">
        <v>442</v>
      </c>
      <c r="F270" s="275"/>
      <c r="G270" s="275"/>
      <c r="H270" s="275"/>
      <c r="I270" s="275"/>
      <c r="J270" s="275"/>
    </row>
    <row r="271" spans="1:10">
      <c r="A271" s="273"/>
      <c r="B271" s="274"/>
      <c r="C271" s="278"/>
      <c r="D271" s="275">
        <v>0.61299999999999999</v>
      </c>
      <c r="E271" s="275">
        <v>0.61699999999999999</v>
      </c>
      <c r="F271" s="275"/>
      <c r="G271" s="275"/>
      <c r="H271" s="275"/>
      <c r="I271" s="275"/>
      <c r="J271" s="275"/>
    </row>
    <row r="272" spans="1:10">
      <c r="A272" s="273"/>
      <c r="B272" s="274"/>
      <c r="C272" s="278"/>
      <c r="D272" s="275"/>
      <c r="E272" s="275"/>
      <c r="F272" s="275"/>
      <c r="G272" s="275"/>
      <c r="H272" s="275"/>
      <c r="I272" s="275"/>
      <c r="J272" s="275"/>
    </row>
    <row r="273" spans="1:10">
      <c r="A273" s="273">
        <v>90</v>
      </c>
      <c r="B273" s="274">
        <v>29</v>
      </c>
      <c r="C273" s="278" t="s">
        <v>81</v>
      </c>
      <c r="D273" s="275" t="s">
        <v>441</v>
      </c>
      <c r="E273" s="275" t="s">
        <v>442</v>
      </c>
      <c r="F273" s="275"/>
      <c r="G273" s="275"/>
      <c r="H273" s="275"/>
      <c r="I273" s="275"/>
      <c r="J273" s="275"/>
    </row>
    <row r="274" spans="1:10">
      <c r="A274" s="273"/>
      <c r="B274" s="274"/>
      <c r="C274" s="278"/>
      <c r="D274" s="275">
        <v>0.60399999999999998</v>
      </c>
      <c r="E274" s="275">
        <v>0.60699999999999998</v>
      </c>
      <c r="F274" s="275"/>
      <c r="G274" s="275"/>
      <c r="H274" s="275"/>
      <c r="I274" s="275"/>
      <c r="J274" s="275"/>
    </row>
    <row r="275" spans="1:10">
      <c r="A275" s="273"/>
      <c r="B275" s="274"/>
      <c r="C275" s="278"/>
      <c r="D275" s="275"/>
      <c r="E275" s="275"/>
      <c r="F275" s="275"/>
      <c r="G275" s="275"/>
      <c r="H275" s="275"/>
      <c r="I275" s="275"/>
      <c r="J275" s="275"/>
    </row>
    <row r="276" spans="1:10">
      <c r="A276" s="273">
        <v>91</v>
      </c>
      <c r="B276" s="274">
        <v>29</v>
      </c>
      <c r="C276" s="278" t="s">
        <v>82</v>
      </c>
      <c r="D276" s="275" t="s">
        <v>441</v>
      </c>
      <c r="E276" s="275" t="s">
        <v>442</v>
      </c>
      <c r="F276" s="275"/>
      <c r="G276" s="275"/>
      <c r="H276" s="275"/>
      <c r="I276" s="275"/>
      <c r="J276" s="275"/>
    </row>
    <row r="277" spans="1:10">
      <c r="A277" s="273"/>
      <c r="B277" s="274"/>
      <c r="C277" s="278"/>
      <c r="D277" s="275">
        <v>0.59299999999999997</v>
      </c>
      <c r="E277" s="275">
        <v>0.59599999999999997</v>
      </c>
      <c r="F277" s="275"/>
      <c r="G277" s="275"/>
      <c r="H277" s="275"/>
      <c r="I277" s="275"/>
      <c r="J277" s="275"/>
    </row>
    <row r="278" spans="1:10">
      <c r="A278" s="273"/>
      <c r="B278" s="274"/>
      <c r="C278" s="278"/>
      <c r="D278" s="275"/>
      <c r="E278" s="275"/>
      <c r="F278" s="275"/>
      <c r="G278" s="275"/>
      <c r="H278" s="275"/>
      <c r="I278" s="275"/>
      <c r="J278" s="275"/>
    </row>
    <row r="279" spans="1:10">
      <c r="A279" s="273">
        <v>92</v>
      </c>
      <c r="B279" s="274">
        <v>29</v>
      </c>
      <c r="C279" s="278" t="s">
        <v>83</v>
      </c>
      <c r="D279" s="275" t="s">
        <v>441</v>
      </c>
      <c r="E279" s="275" t="s">
        <v>442</v>
      </c>
      <c r="F279" s="275"/>
      <c r="G279" s="275"/>
      <c r="H279" s="275"/>
      <c r="I279" s="275"/>
      <c r="J279" s="275"/>
    </row>
    <row r="280" spans="1:10">
      <c r="A280" s="273"/>
      <c r="B280" s="274"/>
      <c r="C280" s="278"/>
      <c r="D280" s="275">
        <v>0.58099999999999996</v>
      </c>
      <c r="E280" s="275">
        <v>0.58299999999999996</v>
      </c>
      <c r="F280" s="275"/>
      <c r="G280" s="275"/>
      <c r="H280" s="275"/>
      <c r="I280" s="275"/>
      <c r="J280" s="275"/>
    </row>
    <row r="281" spans="1:10">
      <c r="A281" s="273"/>
      <c r="B281" s="274"/>
      <c r="C281" s="278"/>
      <c r="D281" s="275"/>
      <c r="E281" s="275"/>
      <c r="F281" s="275"/>
      <c r="G281" s="275"/>
      <c r="H281" s="275"/>
      <c r="I281" s="275"/>
      <c r="J281" s="275"/>
    </row>
    <row r="282" spans="1:10">
      <c r="A282" s="273">
        <v>93</v>
      </c>
      <c r="B282" s="274">
        <v>30</v>
      </c>
      <c r="C282" s="278" t="s">
        <v>335</v>
      </c>
      <c r="D282" s="275" t="s">
        <v>441</v>
      </c>
      <c r="E282" s="275" t="s">
        <v>442</v>
      </c>
      <c r="F282" s="275"/>
      <c r="G282" s="275"/>
      <c r="H282" s="275"/>
      <c r="I282" s="275"/>
      <c r="J282" s="275"/>
    </row>
    <row r="283" spans="1:10">
      <c r="A283" s="273"/>
      <c r="B283" s="274"/>
      <c r="C283" s="278"/>
      <c r="D283" s="275">
        <v>0.57399999999999995</v>
      </c>
      <c r="E283" s="275">
        <v>0.57699999999999996</v>
      </c>
      <c r="F283" s="275"/>
      <c r="G283" s="275"/>
      <c r="H283" s="275"/>
      <c r="I283" s="275"/>
      <c r="J283" s="275"/>
    </row>
    <row r="284" spans="1:10">
      <c r="A284" s="273"/>
      <c r="B284" s="274"/>
      <c r="C284" s="278"/>
      <c r="D284" s="275"/>
      <c r="E284" s="275"/>
      <c r="F284" s="275"/>
      <c r="G284" s="275"/>
      <c r="H284" s="275"/>
      <c r="I284" s="275"/>
      <c r="J284" s="275"/>
    </row>
    <row r="285" spans="1:10">
      <c r="A285" s="273">
        <v>94</v>
      </c>
      <c r="B285" s="274">
        <v>31</v>
      </c>
      <c r="C285" s="278" t="s">
        <v>84</v>
      </c>
      <c r="D285" s="275" t="s">
        <v>441</v>
      </c>
      <c r="E285" s="275" t="s">
        <v>442</v>
      </c>
      <c r="F285" s="275" t="s">
        <v>443</v>
      </c>
      <c r="G285" s="275"/>
      <c r="H285" s="275"/>
      <c r="I285" s="275"/>
      <c r="J285" s="275"/>
    </row>
    <row r="286" spans="1:10">
      <c r="A286" s="273"/>
      <c r="B286" s="274"/>
      <c r="C286" s="278"/>
      <c r="D286" s="275">
        <v>0.53900000000000003</v>
      </c>
      <c r="E286" s="275">
        <v>0.54200000000000004</v>
      </c>
      <c r="F286" s="275">
        <v>1.915</v>
      </c>
      <c r="G286" s="275"/>
      <c r="H286" s="275"/>
      <c r="I286" s="275"/>
      <c r="J286" s="275"/>
    </row>
    <row r="287" spans="1:10">
      <c r="A287" s="273"/>
      <c r="B287" s="274"/>
      <c r="C287" s="278"/>
      <c r="D287" s="275"/>
      <c r="E287" s="275"/>
      <c r="F287" s="275"/>
      <c r="G287" s="275"/>
      <c r="H287" s="275"/>
      <c r="I287" s="275"/>
      <c r="J287" s="275"/>
    </row>
    <row r="288" spans="1:10">
      <c r="A288" s="273">
        <v>95</v>
      </c>
      <c r="B288" s="274">
        <v>31</v>
      </c>
      <c r="C288" s="278" t="s">
        <v>85</v>
      </c>
      <c r="D288" s="275" t="s">
        <v>441</v>
      </c>
      <c r="E288" s="275" t="s">
        <v>442</v>
      </c>
      <c r="F288" s="275" t="s">
        <v>443</v>
      </c>
      <c r="G288" s="275"/>
      <c r="H288" s="275"/>
      <c r="I288" s="275"/>
      <c r="J288" s="275"/>
    </row>
    <row r="289" spans="1:10">
      <c r="A289" s="273"/>
      <c r="B289" s="274"/>
      <c r="C289" s="278"/>
      <c r="D289" s="275">
        <v>0.53800000000000003</v>
      </c>
      <c r="E289" s="275">
        <v>0.54100000000000004</v>
      </c>
      <c r="F289" s="275">
        <v>1.841</v>
      </c>
      <c r="G289" s="275"/>
      <c r="H289" s="275"/>
      <c r="I289" s="275"/>
      <c r="J289" s="275"/>
    </row>
    <row r="290" spans="1:10">
      <c r="A290" s="273"/>
      <c r="B290" s="274"/>
      <c r="C290" s="278"/>
      <c r="D290" s="275"/>
      <c r="E290" s="275"/>
      <c r="F290" s="275"/>
      <c r="G290" s="275"/>
      <c r="H290" s="275"/>
      <c r="I290" s="275"/>
      <c r="J290" s="275"/>
    </row>
    <row r="291" spans="1:10">
      <c r="A291" s="273">
        <v>96</v>
      </c>
      <c r="B291" s="274">
        <v>31</v>
      </c>
      <c r="C291" s="278" t="s">
        <v>86</v>
      </c>
      <c r="D291" s="275" t="s">
        <v>441</v>
      </c>
      <c r="E291" s="275" t="s">
        <v>442</v>
      </c>
      <c r="F291" s="275"/>
      <c r="G291" s="275"/>
      <c r="H291" s="275"/>
      <c r="I291" s="275"/>
      <c r="J291" s="275"/>
    </row>
    <row r="292" spans="1:10">
      <c r="A292" s="273"/>
      <c r="B292" s="274"/>
      <c r="C292" s="278"/>
      <c r="D292" s="275">
        <v>0.53800000000000003</v>
      </c>
      <c r="E292" s="275">
        <v>0.54100000000000004</v>
      </c>
      <c r="F292" s="275"/>
      <c r="G292" s="275"/>
      <c r="H292" s="275"/>
      <c r="I292" s="275"/>
      <c r="J292" s="275"/>
    </row>
    <row r="293" spans="1:10">
      <c r="A293" s="273"/>
      <c r="B293" s="274"/>
      <c r="C293" s="278"/>
      <c r="D293" s="275"/>
      <c r="E293" s="275"/>
      <c r="F293" s="275"/>
      <c r="G293" s="275"/>
      <c r="H293" s="275"/>
      <c r="I293" s="275"/>
      <c r="J293" s="275"/>
    </row>
    <row r="294" spans="1:10">
      <c r="A294" s="273">
        <v>97</v>
      </c>
      <c r="B294" s="274">
        <v>32</v>
      </c>
      <c r="C294" s="278" t="s">
        <v>87</v>
      </c>
      <c r="D294" s="275" t="s">
        <v>441</v>
      </c>
      <c r="E294" s="275" t="s">
        <v>442</v>
      </c>
      <c r="F294" s="275" t="s">
        <v>443</v>
      </c>
      <c r="G294" s="275" t="s">
        <v>444</v>
      </c>
      <c r="H294" s="275" t="s">
        <v>445</v>
      </c>
      <c r="I294" s="275"/>
      <c r="J294" s="275"/>
    </row>
    <row r="295" spans="1:10">
      <c r="A295" s="273"/>
      <c r="B295" s="274"/>
      <c r="C295" s="278"/>
      <c r="D295" s="275">
        <v>0.50700000000000001</v>
      </c>
      <c r="E295" s="275">
        <v>0.51</v>
      </c>
      <c r="F295" s="275">
        <v>1.75</v>
      </c>
      <c r="G295" s="275">
        <v>2.11</v>
      </c>
      <c r="H295" s="275">
        <v>2.1389999999999998</v>
      </c>
      <c r="I295" s="275"/>
      <c r="J295" s="275"/>
    </row>
    <row r="296" spans="1:10">
      <c r="A296" s="273"/>
      <c r="B296" s="274"/>
      <c r="C296" s="278"/>
      <c r="D296" s="275"/>
      <c r="E296" s="275"/>
      <c r="F296" s="275"/>
      <c r="G296" s="275"/>
      <c r="H296" s="275"/>
      <c r="I296" s="275"/>
      <c r="J296" s="275"/>
    </row>
    <row r="297" spans="1:10">
      <c r="A297" s="273">
        <v>98</v>
      </c>
      <c r="B297" s="274">
        <v>32</v>
      </c>
      <c r="C297" s="278" t="s">
        <v>88</v>
      </c>
      <c r="D297" s="275" t="s">
        <v>441</v>
      </c>
      <c r="E297" s="275" t="s">
        <v>442</v>
      </c>
      <c r="F297" s="275" t="s">
        <v>443</v>
      </c>
      <c r="G297" s="275"/>
      <c r="H297" s="275"/>
      <c r="I297" s="275"/>
      <c r="J297" s="275"/>
    </row>
    <row r="298" spans="1:10">
      <c r="A298" s="273"/>
      <c r="B298" s="274"/>
      <c r="C298" s="278"/>
      <c r="D298" s="275">
        <v>0.50700000000000001</v>
      </c>
      <c r="E298" s="275">
        <v>0.51</v>
      </c>
      <c r="F298" s="275">
        <v>1.7110000000000001</v>
      </c>
      <c r="G298" s="275"/>
      <c r="H298" s="275"/>
      <c r="I298" s="275"/>
      <c r="J298" s="275"/>
    </row>
    <row r="299" spans="1:10">
      <c r="A299" s="273"/>
      <c r="B299" s="274"/>
      <c r="C299" s="278"/>
      <c r="D299" s="275"/>
      <c r="E299" s="275"/>
      <c r="F299" s="275"/>
      <c r="G299" s="275"/>
      <c r="H299" s="275"/>
      <c r="I299" s="275"/>
      <c r="J299" s="275"/>
    </row>
    <row r="300" spans="1:10">
      <c r="A300" s="273">
        <v>99</v>
      </c>
      <c r="B300" s="274">
        <v>32</v>
      </c>
      <c r="C300" s="278" t="s">
        <v>89</v>
      </c>
      <c r="D300" s="275" t="s">
        <v>441</v>
      </c>
      <c r="E300" s="275" t="s">
        <v>442</v>
      </c>
      <c r="F300" s="275" t="s">
        <v>443</v>
      </c>
      <c r="G300" s="275"/>
      <c r="H300" s="275"/>
      <c r="I300" s="275"/>
      <c r="J300" s="275"/>
    </row>
    <row r="301" spans="1:10">
      <c r="A301" s="273"/>
      <c r="B301" s="274"/>
      <c r="C301" s="278"/>
      <c r="D301" s="275">
        <v>0.50700000000000001</v>
      </c>
      <c r="E301" s="275">
        <v>0.51</v>
      </c>
      <c r="F301" s="275">
        <v>1.661</v>
      </c>
      <c r="G301" s="275"/>
      <c r="H301" s="275"/>
      <c r="I301" s="275"/>
      <c r="J301" s="275"/>
    </row>
    <row r="302" spans="1:10">
      <c r="A302" s="273"/>
      <c r="B302" s="274"/>
      <c r="C302" s="278"/>
      <c r="D302" s="275"/>
      <c r="E302" s="275"/>
      <c r="F302" s="275"/>
      <c r="G302" s="275"/>
      <c r="H302" s="275"/>
      <c r="I302" s="275"/>
      <c r="J302" s="275"/>
    </row>
    <row r="303" spans="1:10">
      <c r="A303" s="273">
        <v>100</v>
      </c>
      <c r="B303" s="274">
        <v>32</v>
      </c>
      <c r="C303" s="278" t="s">
        <v>90</v>
      </c>
      <c r="D303" s="275" t="s">
        <v>441</v>
      </c>
      <c r="E303" s="275" t="s">
        <v>442</v>
      </c>
      <c r="F303" s="275"/>
      <c r="G303" s="275"/>
      <c r="H303" s="275"/>
      <c r="I303" s="275"/>
      <c r="J303" s="275"/>
    </row>
    <row r="304" spans="1:10">
      <c r="A304" s="273"/>
      <c r="B304" s="274"/>
      <c r="C304" s="278"/>
      <c r="D304" s="275">
        <v>0.50600000000000001</v>
      </c>
      <c r="E304" s="275">
        <v>0.50900000000000001</v>
      </c>
      <c r="F304" s="275"/>
      <c r="G304" s="275"/>
      <c r="H304" s="275"/>
      <c r="I304" s="275"/>
      <c r="J304" s="275"/>
    </row>
    <row r="305" spans="1:10">
      <c r="A305" s="273"/>
      <c r="B305" s="274"/>
      <c r="C305" s="278"/>
      <c r="D305" s="275"/>
      <c r="E305" s="275"/>
      <c r="F305" s="275"/>
      <c r="G305" s="275"/>
      <c r="H305" s="275"/>
      <c r="I305" s="275"/>
      <c r="J305" s="275"/>
    </row>
    <row r="306" spans="1:10">
      <c r="A306" s="273">
        <v>101</v>
      </c>
      <c r="B306" s="274">
        <v>33</v>
      </c>
      <c r="C306" s="278" t="s">
        <v>336</v>
      </c>
      <c r="D306" s="275" t="s">
        <v>441</v>
      </c>
      <c r="E306" s="275" t="s">
        <v>442</v>
      </c>
      <c r="F306" s="275" t="s">
        <v>443</v>
      </c>
      <c r="G306" s="275" t="s">
        <v>444</v>
      </c>
      <c r="H306" s="275" t="s">
        <v>445</v>
      </c>
      <c r="I306" s="275"/>
      <c r="J306" s="275"/>
    </row>
    <row r="307" spans="1:10">
      <c r="A307" s="273"/>
      <c r="B307" s="274"/>
      <c r="C307" s="278"/>
      <c r="D307" s="275">
        <v>0.48</v>
      </c>
      <c r="E307" s="275">
        <v>0.48199999999999998</v>
      </c>
      <c r="F307" s="275">
        <v>1.59</v>
      </c>
      <c r="G307" s="275">
        <v>1.833</v>
      </c>
      <c r="H307" s="275">
        <v>1.8580000000000001</v>
      </c>
      <c r="I307" s="275"/>
      <c r="J307" s="275"/>
    </row>
    <row r="308" spans="1:10">
      <c r="A308" s="273"/>
      <c r="B308" s="274"/>
      <c r="C308" s="278"/>
      <c r="D308" s="275"/>
      <c r="E308" s="275"/>
      <c r="F308" s="275"/>
      <c r="G308" s="275"/>
      <c r="H308" s="275"/>
      <c r="I308" s="275"/>
      <c r="J308" s="275"/>
    </row>
    <row r="309" spans="1:10">
      <c r="A309" s="273">
        <v>102</v>
      </c>
      <c r="B309" s="274">
        <v>33</v>
      </c>
      <c r="C309" s="278" t="s">
        <v>91</v>
      </c>
      <c r="D309" s="275" t="s">
        <v>441</v>
      </c>
      <c r="E309" s="275" t="s">
        <v>442</v>
      </c>
      <c r="F309" s="275" t="s">
        <v>443</v>
      </c>
      <c r="G309" s="275"/>
      <c r="H309" s="275"/>
      <c r="I309" s="275"/>
      <c r="J309" s="275"/>
    </row>
    <row r="310" spans="1:10">
      <c r="A310" s="273"/>
      <c r="B310" s="274"/>
      <c r="C310" s="278"/>
      <c r="D310" s="275">
        <v>0.47899999999999998</v>
      </c>
      <c r="E310" s="275">
        <v>0.48199999999999998</v>
      </c>
      <c r="F310" s="275">
        <v>1.56</v>
      </c>
      <c r="G310" s="275"/>
      <c r="H310" s="275"/>
      <c r="I310" s="275"/>
      <c r="J310" s="275"/>
    </row>
    <row r="311" spans="1:10">
      <c r="A311" s="273"/>
      <c r="B311" s="274"/>
      <c r="C311" s="278"/>
      <c r="D311" s="275"/>
      <c r="E311" s="275"/>
      <c r="F311" s="275"/>
      <c r="G311" s="275"/>
      <c r="H311" s="275"/>
      <c r="I311" s="275"/>
      <c r="J311" s="275"/>
    </row>
    <row r="312" spans="1:10">
      <c r="A312" s="273">
        <v>103</v>
      </c>
      <c r="B312" s="274">
        <v>33</v>
      </c>
      <c r="C312" s="278" t="s">
        <v>337</v>
      </c>
      <c r="D312" s="275" t="s">
        <v>441</v>
      </c>
      <c r="E312" s="275" t="s">
        <v>442</v>
      </c>
      <c r="F312" s="275"/>
      <c r="G312" s="275"/>
      <c r="H312" s="275"/>
      <c r="I312" s="275"/>
      <c r="J312" s="275"/>
    </row>
    <row r="313" spans="1:10">
      <c r="A313" s="273"/>
      <c r="B313" s="274"/>
      <c r="C313" s="278"/>
      <c r="D313" s="275">
        <v>0.47799999999999998</v>
      </c>
      <c r="E313" s="275">
        <v>0.48099999999999998</v>
      </c>
      <c r="F313" s="275"/>
      <c r="G313" s="275"/>
      <c r="H313" s="275"/>
      <c r="I313" s="275"/>
      <c r="J313" s="275"/>
    </row>
    <row r="314" spans="1:10">
      <c r="A314" s="273"/>
      <c r="B314" s="274"/>
      <c r="C314" s="278"/>
      <c r="D314" s="275"/>
      <c r="E314" s="275"/>
      <c r="F314" s="275"/>
      <c r="G314" s="275"/>
      <c r="H314" s="275"/>
      <c r="I314" s="275"/>
      <c r="J314" s="275"/>
    </row>
    <row r="315" spans="1:10">
      <c r="A315" s="273">
        <v>104</v>
      </c>
      <c r="B315" s="274">
        <v>34</v>
      </c>
      <c r="C315" s="278" t="s">
        <v>338</v>
      </c>
      <c r="D315" s="275" t="s">
        <v>441</v>
      </c>
      <c r="E315" s="275" t="s">
        <v>442</v>
      </c>
      <c r="F315" s="275" t="s">
        <v>443</v>
      </c>
      <c r="G315" s="275" t="s">
        <v>444</v>
      </c>
      <c r="H315" s="275" t="s">
        <v>445</v>
      </c>
      <c r="I315" s="275"/>
      <c r="J315" s="275"/>
    </row>
    <row r="316" spans="1:10">
      <c r="A316" s="273"/>
      <c r="B316" s="274"/>
      <c r="C316" s="278"/>
      <c r="D316" s="275">
        <v>0.45500000000000002</v>
      </c>
      <c r="E316" s="275">
        <v>0.45700000000000002</v>
      </c>
      <c r="F316" s="275">
        <v>1.488</v>
      </c>
      <c r="G316" s="275">
        <v>1.6919999999999999</v>
      </c>
      <c r="H316" s="275">
        <v>1.716</v>
      </c>
      <c r="I316" s="275"/>
      <c r="J316" s="275"/>
    </row>
    <row r="317" spans="1:10">
      <c r="A317" s="273"/>
      <c r="B317" s="274"/>
      <c r="C317" s="278"/>
      <c r="D317" s="275"/>
      <c r="E317" s="275"/>
      <c r="F317" s="275"/>
      <c r="G317" s="275"/>
      <c r="H317" s="275"/>
      <c r="I317" s="275"/>
      <c r="J317" s="275"/>
    </row>
    <row r="318" spans="1:10">
      <c r="A318" s="273">
        <v>105</v>
      </c>
      <c r="B318" s="274">
        <v>34</v>
      </c>
      <c r="C318" s="278" t="s">
        <v>339</v>
      </c>
      <c r="D318" s="275" t="s">
        <v>441</v>
      </c>
      <c r="E318" s="275" t="s">
        <v>442</v>
      </c>
      <c r="F318" s="275" t="s">
        <v>443</v>
      </c>
      <c r="G318" s="275"/>
      <c r="H318" s="275"/>
      <c r="I318" s="275"/>
      <c r="J318" s="275"/>
    </row>
    <row r="319" spans="1:10">
      <c r="A319" s="273"/>
      <c r="B319" s="274"/>
      <c r="C319" s="278"/>
      <c r="D319" s="275">
        <v>0.45400000000000001</v>
      </c>
      <c r="E319" s="275">
        <v>0.45700000000000002</v>
      </c>
      <c r="F319" s="275">
        <v>1.44</v>
      </c>
      <c r="G319" s="275"/>
      <c r="H319" s="275"/>
      <c r="I319" s="275"/>
      <c r="J319" s="275"/>
    </row>
    <row r="320" spans="1:10">
      <c r="A320" s="273"/>
      <c r="B320" s="274"/>
      <c r="C320" s="278"/>
      <c r="D320" s="275"/>
      <c r="E320" s="275"/>
      <c r="F320" s="275"/>
      <c r="G320" s="275"/>
      <c r="H320" s="275"/>
      <c r="I320" s="275"/>
      <c r="J320" s="275"/>
    </row>
    <row r="321" spans="1:10">
      <c r="A321" s="273">
        <v>106</v>
      </c>
      <c r="B321" s="274">
        <v>34</v>
      </c>
      <c r="C321" s="278" t="s">
        <v>340</v>
      </c>
      <c r="D321" s="275" t="s">
        <v>441</v>
      </c>
      <c r="E321" s="275" t="s">
        <v>442</v>
      </c>
      <c r="F321" s="275"/>
      <c r="G321" s="275"/>
      <c r="H321" s="275"/>
      <c r="I321" s="275"/>
      <c r="J321" s="275"/>
    </row>
    <row r="322" spans="1:10">
      <c r="A322" s="273"/>
      <c r="B322" s="274"/>
      <c r="C322" s="278"/>
      <c r="D322" s="275">
        <v>0.45300000000000001</v>
      </c>
      <c r="E322" s="275">
        <v>0.45600000000000002</v>
      </c>
      <c r="F322" s="275"/>
      <c r="G322" s="275"/>
      <c r="H322" s="275"/>
      <c r="I322" s="275"/>
      <c r="J322" s="275"/>
    </row>
    <row r="323" spans="1:10">
      <c r="A323" s="273"/>
      <c r="B323" s="274"/>
      <c r="C323" s="278"/>
      <c r="D323" s="275"/>
      <c r="E323" s="275"/>
      <c r="F323" s="275"/>
      <c r="G323" s="275"/>
      <c r="H323" s="275"/>
      <c r="I323" s="275"/>
      <c r="J323" s="275"/>
    </row>
    <row r="324" spans="1:10">
      <c r="A324" s="273">
        <v>107</v>
      </c>
      <c r="B324" s="274">
        <v>35</v>
      </c>
      <c r="C324" s="278" t="s">
        <v>92</v>
      </c>
      <c r="D324" s="275" t="s">
        <v>441</v>
      </c>
      <c r="E324" s="275" t="s">
        <v>442</v>
      </c>
      <c r="F324" s="275" t="s">
        <v>443</v>
      </c>
      <c r="G324" s="275" t="s">
        <v>444</v>
      </c>
      <c r="H324" s="275" t="s">
        <v>445</v>
      </c>
      <c r="I324" s="275"/>
      <c r="J324" s="275"/>
    </row>
    <row r="325" spans="1:10">
      <c r="A325" s="273"/>
      <c r="B325" s="274"/>
      <c r="C325" s="278"/>
      <c r="D325" s="275">
        <v>0.432</v>
      </c>
      <c r="E325" s="275">
        <v>0.435</v>
      </c>
      <c r="F325" s="275">
        <v>1.419</v>
      </c>
      <c r="G325" s="275">
        <v>1.6140000000000001</v>
      </c>
      <c r="H325" s="275">
        <v>1.6419999999999999</v>
      </c>
      <c r="I325" s="275"/>
      <c r="J325" s="275"/>
    </row>
    <row r="326" spans="1:10">
      <c r="A326" s="273"/>
      <c r="B326" s="274"/>
      <c r="C326" s="278"/>
      <c r="D326" s="275"/>
      <c r="E326" s="275"/>
      <c r="F326" s="275"/>
      <c r="G326" s="275"/>
      <c r="H326" s="275"/>
      <c r="I326" s="275"/>
      <c r="J326" s="275"/>
    </row>
    <row r="327" spans="1:10">
      <c r="A327" s="273">
        <v>108</v>
      </c>
      <c r="B327" s="274">
        <v>35</v>
      </c>
      <c r="C327" s="278" t="s">
        <v>341</v>
      </c>
      <c r="D327" s="275" t="s">
        <v>441</v>
      </c>
      <c r="E327" s="275" t="s">
        <v>442</v>
      </c>
      <c r="F327" s="275" t="s">
        <v>443</v>
      </c>
      <c r="G327" s="275" t="s">
        <v>444</v>
      </c>
      <c r="H327" s="275" t="s">
        <v>445</v>
      </c>
      <c r="I327" s="275"/>
      <c r="J327" s="275"/>
    </row>
    <row r="328" spans="1:10">
      <c r="A328" s="273"/>
      <c r="B328" s="274"/>
      <c r="C328" s="278"/>
      <c r="D328" s="275">
        <v>0.432</v>
      </c>
      <c r="E328" s="275">
        <v>0.435</v>
      </c>
      <c r="F328" s="275">
        <v>1.381</v>
      </c>
      <c r="G328" s="275">
        <v>1.5349999999999999</v>
      </c>
      <c r="H328" s="275">
        <v>1.5569999999999999</v>
      </c>
      <c r="I328" s="275"/>
      <c r="J328" s="275"/>
    </row>
    <row r="329" spans="1:10">
      <c r="A329" s="273"/>
      <c r="B329" s="274"/>
      <c r="C329" s="278"/>
      <c r="D329" s="275"/>
      <c r="E329" s="275"/>
      <c r="F329" s="275"/>
      <c r="G329" s="275"/>
      <c r="H329" s="275"/>
      <c r="I329" s="275"/>
      <c r="J329" s="275"/>
    </row>
    <row r="330" spans="1:10">
      <c r="A330" s="273">
        <v>109</v>
      </c>
      <c r="B330" s="274">
        <v>35</v>
      </c>
      <c r="C330" s="278" t="s">
        <v>93</v>
      </c>
      <c r="D330" s="275" t="s">
        <v>441</v>
      </c>
      <c r="E330" s="275" t="s">
        <v>442</v>
      </c>
      <c r="F330" s="275" t="s">
        <v>443</v>
      </c>
      <c r="G330" s="275" t="s">
        <v>444</v>
      </c>
      <c r="H330" s="275" t="s">
        <v>445</v>
      </c>
      <c r="I330" s="275"/>
      <c r="J330" s="275"/>
    </row>
    <row r="331" spans="1:10">
      <c r="A331" s="273"/>
      <c r="B331" s="274"/>
      <c r="C331" s="278"/>
      <c r="D331" s="275">
        <v>0.432</v>
      </c>
      <c r="E331" s="275">
        <v>0.434</v>
      </c>
      <c r="F331" s="275">
        <v>1.361</v>
      </c>
      <c r="G331" s="275">
        <v>1.498</v>
      </c>
      <c r="H331" s="275">
        <v>1.5189999999999999</v>
      </c>
      <c r="I331" s="275"/>
      <c r="J331" s="275"/>
    </row>
    <row r="332" spans="1:10">
      <c r="A332" s="273"/>
      <c r="B332" s="274"/>
      <c r="C332" s="278"/>
      <c r="D332" s="275"/>
      <c r="E332" s="275"/>
      <c r="F332" s="275"/>
      <c r="G332" s="275"/>
      <c r="H332" s="275"/>
      <c r="I332" s="275"/>
      <c r="J332" s="275"/>
    </row>
    <row r="333" spans="1:10">
      <c r="A333" s="273">
        <v>110</v>
      </c>
      <c r="B333" s="274">
        <v>35</v>
      </c>
      <c r="C333" s="278" t="s">
        <v>94</v>
      </c>
      <c r="D333" s="275" t="s">
        <v>441</v>
      </c>
      <c r="E333" s="275" t="s">
        <v>442</v>
      </c>
      <c r="F333" s="275" t="s">
        <v>443</v>
      </c>
      <c r="G333" s="275"/>
      <c r="H333" s="275"/>
      <c r="I333" s="275"/>
      <c r="J333" s="275"/>
    </row>
    <row r="334" spans="1:10">
      <c r="A334" s="273"/>
      <c r="B334" s="274"/>
      <c r="C334" s="278"/>
      <c r="D334" s="275">
        <v>0.43099999999999999</v>
      </c>
      <c r="E334" s="275">
        <v>0.434</v>
      </c>
      <c r="F334" s="275">
        <v>1.34</v>
      </c>
      <c r="G334" s="275"/>
      <c r="H334" s="275"/>
      <c r="I334" s="275"/>
      <c r="J334" s="275"/>
    </row>
    <row r="335" spans="1:10">
      <c r="A335" s="273"/>
      <c r="B335" s="274"/>
      <c r="C335" s="278"/>
      <c r="D335" s="275"/>
      <c r="E335" s="275"/>
      <c r="F335" s="275"/>
      <c r="G335" s="275"/>
      <c r="H335" s="275"/>
      <c r="I335" s="275"/>
      <c r="J335" s="275"/>
    </row>
    <row r="336" spans="1:10">
      <c r="A336" s="273">
        <v>111</v>
      </c>
      <c r="B336" s="274">
        <v>35</v>
      </c>
      <c r="C336" s="278" t="s">
        <v>342</v>
      </c>
      <c r="D336" s="275" t="s">
        <v>441</v>
      </c>
      <c r="E336" s="275" t="s">
        <v>442</v>
      </c>
      <c r="F336" s="275"/>
      <c r="G336" s="275"/>
      <c r="H336" s="275"/>
      <c r="I336" s="275"/>
      <c r="J336" s="275"/>
    </row>
    <row r="337" spans="1:10">
      <c r="A337" s="273"/>
      <c r="B337" s="274"/>
      <c r="C337" s="278"/>
      <c r="D337" s="275">
        <v>0.43</v>
      </c>
      <c r="E337" s="275">
        <v>0.433</v>
      </c>
      <c r="F337" s="275"/>
      <c r="G337" s="275"/>
      <c r="H337" s="275"/>
      <c r="I337" s="275"/>
      <c r="J337" s="275"/>
    </row>
    <row r="338" spans="1:10">
      <c r="A338" s="273"/>
      <c r="B338" s="274"/>
      <c r="C338" s="278"/>
      <c r="D338" s="275"/>
      <c r="E338" s="275"/>
      <c r="F338" s="275"/>
      <c r="G338" s="275"/>
      <c r="H338" s="275"/>
      <c r="I338" s="275"/>
      <c r="J338" s="275"/>
    </row>
    <row r="339" spans="1:10">
      <c r="A339" s="273">
        <v>112</v>
      </c>
      <c r="B339" s="274">
        <v>35</v>
      </c>
      <c r="C339" s="278" t="s">
        <v>343</v>
      </c>
      <c r="D339" s="275" t="s">
        <v>441</v>
      </c>
      <c r="E339" s="275" t="s">
        <v>442</v>
      </c>
      <c r="F339" s="275" t="s">
        <v>443</v>
      </c>
      <c r="G339" s="275" t="s">
        <v>444</v>
      </c>
      <c r="H339" s="275" t="s">
        <v>445</v>
      </c>
      <c r="I339" s="275"/>
      <c r="J339" s="275"/>
    </row>
    <row r="340" spans="1:10">
      <c r="A340" s="273"/>
      <c r="B340" s="274"/>
      <c r="C340" s="278"/>
      <c r="D340" s="275">
        <v>0.433</v>
      </c>
      <c r="E340" s="275">
        <v>0.435</v>
      </c>
      <c r="F340" s="275">
        <v>1.446</v>
      </c>
      <c r="G340" s="275">
        <v>1.6910000000000001</v>
      </c>
      <c r="H340" s="275">
        <v>1.728</v>
      </c>
      <c r="I340" s="275"/>
      <c r="J340" s="275"/>
    </row>
    <row r="341" spans="1:10">
      <c r="A341" s="273"/>
      <c r="B341" s="274"/>
      <c r="C341" s="278"/>
      <c r="D341" s="275"/>
      <c r="E341" s="275"/>
      <c r="F341" s="275"/>
      <c r="G341" s="275"/>
      <c r="H341" s="275"/>
      <c r="I341" s="275"/>
      <c r="J341" s="275"/>
    </row>
    <row r="342" spans="1:10">
      <c r="A342" s="273">
        <v>113</v>
      </c>
      <c r="B342" s="274">
        <v>36</v>
      </c>
      <c r="C342" s="278" t="s">
        <v>344</v>
      </c>
      <c r="D342" s="275" t="s">
        <v>441</v>
      </c>
      <c r="E342" s="275" t="s">
        <v>442</v>
      </c>
      <c r="F342" s="275" t="s">
        <v>443</v>
      </c>
      <c r="G342" s="275" t="s">
        <v>444</v>
      </c>
      <c r="H342" s="275" t="s">
        <v>445</v>
      </c>
      <c r="I342" s="275"/>
      <c r="J342" s="275"/>
    </row>
    <row r="343" spans="1:10">
      <c r="A343" s="273"/>
      <c r="B343" s="274"/>
      <c r="C343" s="278"/>
      <c r="D343" s="275">
        <v>0.41199999999999998</v>
      </c>
      <c r="E343" s="275">
        <v>0.41499999999999998</v>
      </c>
      <c r="F343" s="275">
        <v>1.3240000000000001</v>
      </c>
      <c r="G343" s="275">
        <v>1.4730000000000001</v>
      </c>
      <c r="H343" s="275">
        <v>1.498</v>
      </c>
      <c r="I343" s="275"/>
      <c r="J343" s="275"/>
    </row>
    <row r="344" spans="1:10">
      <c r="A344" s="273"/>
      <c r="B344" s="274"/>
      <c r="C344" s="278"/>
      <c r="D344" s="275"/>
      <c r="E344" s="275"/>
      <c r="F344" s="275"/>
      <c r="G344" s="275"/>
      <c r="H344" s="275"/>
      <c r="I344" s="275"/>
      <c r="J344" s="275"/>
    </row>
    <row r="345" spans="1:10">
      <c r="A345" s="273">
        <v>114</v>
      </c>
      <c r="B345" s="274">
        <v>37</v>
      </c>
      <c r="C345" s="278" t="s">
        <v>95</v>
      </c>
      <c r="D345" s="275" t="s">
        <v>441</v>
      </c>
      <c r="E345" s="275" t="s">
        <v>442</v>
      </c>
      <c r="F345" s="275" t="s">
        <v>443</v>
      </c>
      <c r="G345" s="275" t="s">
        <v>444</v>
      </c>
      <c r="H345" s="275" t="s">
        <v>445</v>
      </c>
      <c r="I345" s="275"/>
      <c r="J345" s="275"/>
    </row>
    <row r="346" spans="1:10">
      <c r="A346" s="273"/>
      <c r="B346" s="274"/>
      <c r="C346" s="278"/>
      <c r="D346" s="275">
        <v>0.39400000000000002</v>
      </c>
      <c r="E346" s="275">
        <v>0.39700000000000002</v>
      </c>
      <c r="F346" s="275">
        <v>1.2689999999999999</v>
      </c>
      <c r="G346" s="275">
        <v>1.4119999999999999</v>
      </c>
      <c r="H346" s="275">
        <v>1.4390000000000001</v>
      </c>
      <c r="I346" s="275"/>
      <c r="J346" s="275"/>
    </row>
    <row r="347" spans="1:10">
      <c r="A347" s="273"/>
      <c r="B347" s="274"/>
      <c r="C347" s="278"/>
      <c r="D347" s="275"/>
      <c r="E347" s="275"/>
      <c r="F347" s="275"/>
      <c r="G347" s="275"/>
      <c r="H347" s="275"/>
      <c r="I347" s="275"/>
      <c r="J347" s="275"/>
    </row>
    <row r="348" spans="1:10">
      <c r="A348" s="273">
        <v>115</v>
      </c>
      <c r="B348" s="274">
        <v>38</v>
      </c>
      <c r="C348" s="278" t="s">
        <v>345</v>
      </c>
      <c r="D348" s="275" t="s">
        <v>441</v>
      </c>
      <c r="E348" s="275" t="s">
        <v>442</v>
      </c>
      <c r="F348" s="275" t="s">
        <v>443</v>
      </c>
      <c r="G348" s="275" t="s">
        <v>444</v>
      </c>
      <c r="H348" s="275" t="s">
        <v>445</v>
      </c>
      <c r="I348" s="275"/>
      <c r="J348" s="275"/>
    </row>
    <row r="349" spans="1:10">
      <c r="A349" s="273"/>
      <c r="B349" s="274"/>
      <c r="C349" s="278"/>
      <c r="D349" s="275">
        <v>0.377</v>
      </c>
      <c r="E349" s="275">
        <v>0.38</v>
      </c>
      <c r="F349" s="275">
        <v>1.1950000000000001</v>
      </c>
      <c r="G349" s="275">
        <v>1.3089999999999999</v>
      </c>
      <c r="H349" s="275">
        <v>1.3340000000000001</v>
      </c>
      <c r="I349" s="275"/>
      <c r="J349" s="275"/>
    </row>
    <row r="350" spans="1:10">
      <c r="A350" s="273"/>
      <c r="B350" s="274"/>
      <c r="C350" s="278"/>
      <c r="D350" s="275"/>
      <c r="E350" s="275"/>
      <c r="F350" s="275"/>
      <c r="G350" s="275"/>
      <c r="H350" s="275"/>
      <c r="I350" s="275"/>
      <c r="J350" s="275"/>
    </row>
    <row r="351" spans="1:10">
      <c r="A351" s="273">
        <v>116</v>
      </c>
      <c r="B351" s="274">
        <v>39</v>
      </c>
      <c r="C351" s="278" t="s">
        <v>346</v>
      </c>
      <c r="D351" s="275" t="s">
        <v>446</v>
      </c>
      <c r="E351" s="275" t="s">
        <v>447</v>
      </c>
      <c r="F351" s="275"/>
      <c r="G351" s="275"/>
      <c r="H351" s="275"/>
      <c r="I351" s="275"/>
      <c r="J351" s="275"/>
    </row>
    <row r="352" spans="1:10">
      <c r="A352" s="273"/>
      <c r="B352" s="274"/>
      <c r="C352" s="278"/>
      <c r="D352" s="275">
        <v>1.732</v>
      </c>
      <c r="E352" s="275">
        <v>1.7450000000000001</v>
      </c>
      <c r="F352" s="275"/>
      <c r="G352" s="275"/>
      <c r="H352" s="275"/>
      <c r="I352" s="275"/>
      <c r="J352" s="275"/>
    </row>
    <row r="353" spans="1:10">
      <c r="A353" s="273"/>
      <c r="B353" s="274"/>
      <c r="C353" s="278"/>
      <c r="D353" s="275"/>
      <c r="E353" s="275"/>
      <c r="F353" s="275"/>
      <c r="G353" s="275"/>
      <c r="H353" s="275"/>
      <c r="I353" s="275"/>
      <c r="J353" s="275"/>
    </row>
    <row r="354" spans="1:10">
      <c r="A354" s="273">
        <v>117</v>
      </c>
      <c r="B354" s="274">
        <v>39</v>
      </c>
      <c r="C354" s="278" t="s">
        <v>96</v>
      </c>
      <c r="D354" s="275" t="s">
        <v>441</v>
      </c>
      <c r="E354" s="275" t="s">
        <v>442</v>
      </c>
      <c r="F354" s="275" t="s">
        <v>443</v>
      </c>
      <c r="G354" s="275" t="s">
        <v>444</v>
      </c>
      <c r="H354" s="275" t="s">
        <v>445</v>
      </c>
      <c r="I354" s="275"/>
      <c r="J354" s="275"/>
    </row>
    <row r="355" spans="1:10">
      <c r="A355" s="273"/>
      <c r="B355" s="274"/>
      <c r="C355" s="278"/>
      <c r="D355" s="275">
        <v>0.36199999999999999</v>
      </c>
      <c r="E355" s="275">
        <v>0.36399999999999999</v>
      </c>
      <c r="F355" s="275">
        <v>1.1299999999999999</v>
      </c>
      <c r="G355" s="275">
        <v>1.2230000000000001</v>
      </c>
      <c r="H355" s="275">
        <v>1.246</v>
      </c>
      <c r="I355" s="275"/>
      <c r="J355" s="275"/>
    </row>
    <row r="356" spans="1:10">
      <c r="A356" s="273"/>
      <c r="B356" s="274"/>
      <c r="C356" s="278"/>
      <c r="D356" s="275"/>
      <c r="E356" s="275"/>
      <c r="F356" s="275"/>
      <c r="G356" s="275"/>
      <c r="H356" s="275"/>
      <c r="I356" s="275"/>
      <c r="J356" s="275"/>
    </row>
    <row r="357" spans="1:10">
      <c r="A357" s="273">
        <v>118</v>
      </c>
      <c r="B357" s="274">
        <v>40</v>
      </c>
      <c r="C357" s="278" t="s">
        <v>97</v>
      </c>
      <c r="D357" s="275" t="s">
        <v>446</v>
      </c>
      <c r="E357" s="275" t="s">
        <v>447</v>
      </c>
      <c r="F357" s="275" t="s">
        <v>448</v>
      </c>
      <c r="G357" s="275"/>
      <c r="H357" s="275"/>
      <c r="I357" s="275"/>
      <c r="J357" s="275"/>
    </row>
    <row r="358" spans="1:10">
      <c r="A358" s="273"/>
      <c r="B358" s="274"/>
      <c r="C358" s="278"/>
      <c r="D358" s="275">
        <v>1.5880000000000001</v>
      </c>
      <c r="E358" s="275">
        <v>1.6020000000000001</v>
      </c>
      <c r="F358" s="275">
        <v>3.1269999999999998</v>
      </c>
      <c r="G358" s="275"/>
      <c r="H358" s="275"/>
      <c r="I358" s="275"/>
      <c r="J358" s="275"/>
    </row>
    <row r="359" spans="1:10">
      <c r="A359" s="273"/>
      <c r="B359" s="274"/>
      <c r="C359" s="278"/>
      <c r="D359" s="275"/>
      <c r="E359" s="275"/>
      <c r="F359" s="275"/>
      <c r="G359" s="275"/>
      <c r="H359" s="275"/>
      <c r="I359" s="275"/>
      <c r="J359" s="275"/>
    </row>
    <row r="360" spans="1:10">
      <c r="A360" s="273">
        <v>119</v>
      </c>
      <c r="B360" s="274">
        <v>40</v>
      </c>
      <c r="C360" s="278" t="s">
        <v>98</v>
      </c>
      <c r="D360" s="275" t="s">
        <v>446</v>
      </c>
      <c r="E360" s="275" t="s">
        <v>447</v>
      </c>
      <c r="F360" s="275"/>
      <c r="G360" s="275"/>
      <c r="H360" s="275"/>
      <c r="I360" s="275"/>
      <c r="J360" s="275"/>
    </row>
    <row r="361" spans="1:10">
      <c r="A361" s="273"/>
      <c r="B361" s="274"/>
      <c r="C361" s="278"/>
      <c r="D361" s="275">
        <v>1.569</v>
      </c>
      <c r="E361" s="275">
        <v>1.5820000000000001</v>
      </c>
      <c r="F361" s="275"/>
      <c r="G361" s="275"/>
      <c r="H361" s="275"/>
      <c r="I361" s="275"/>
      <c r="J361" s="275"/>
    </row>
    <row r="362" spans="1:10">
      <c r="A362" s="273"/>
      <c r="B362" s="274"/>
      <c r="C362" s="278"/>
      <c r="D362" s="275"/>
      <c r="E362" s="275"/>
      <c r="F362" s="275"/>
      <c r="G362" s="275"/>
      <c r="H362" s="275"/>
      <c r="I362" s="275"/>
      <c r="J362" s="275"/>
    </row>
    <row r="363" spans="1:10">
      <c r="A363" s="273">
        <v>120</v>
      </c>
      <c r="B363" s="274">
        <v>40</v>
      </c>
      <c r="C363" s="278" t="s">
        <v>99</v>
      </c>
      <c r="D363" s="275" t="s">
        <v>446</v>
      </c>
      <c r="E363" s="275" t="s">
        <v>447</v>
      </c>
      <c r="F363" s="275"/>
      <c r="G363" s="275"/>
      <c r="H363" s="275"/>
      <c r="I363" s="275"/>
      <c r="J363" s="275"/>
    </row>
    <row r="364" spans="1:10">
      <c r="A364" s="273"/>
      <c r="B364" s="274"/>
      <c r="C364" s="278"/>
      <c r="D364" s="275">
        <v>1.506</v>
      </c>
      <c r="E364" s="275">
        <v>1.5169999999999999</v>
      </c>
      <c r="F364" s="275"/>
      <c r="G364" s="275"/>
      <c r="H364" s="275"/>
      <c r="I364" s="275"/>
      <c r="J364" s="275"/>
    </row>
    <row r="365" spans="1:10">
      <c r="A365" s="273"/>
      <c r="B365" s="274"/>
      <c r="C365" s="278"/>
      <c r="D365" s="275"/>
      <c r="E365" s="275"/>
      <c r="F365" s="275"/>
      <c r="G365" s="275"/>
      <c r="H365" s="275"/>
      <c r="I365" s="275"/>
      <c r="J365" s="275"/>
    </row>
    <row r="366" spans="1:10">
      <c r="A366" s="273">
        <v>121</v>
      </c>
      <c r="B366" s="274">
        <v>40</v>
      </c>
      <c r="C366" s="278" t="s">
        <v>100</v>
      </c>
      <c r="D366" s="275" t="s">
        <v>441</v>
      </c>
      <c r="E366" s="275" t="s">
        <v>442</v>
      </c>
      <c r="F366" s="275" t="s">
        <v>443</v>
      </c>
      <c r="G366" s="275" t="s">
        <v>444</v>
      </c>
      <c r="H366" s="275" t="s">
        <v>445</v>
      </c>
      <c r="I366" s="275"/>
      <c r="J366" s="275"/>
    </row>
    <row r="367" spans="1:10">
      <c r="A367" s="273"/>
      <c r="B367" s="274"/>
      <c r="C367" s="278"/>
      <c r="D367" s="275">
        <v>0.34699999999999998</v>
      </c>
      <c r="E367" s="275">
        <v>0.35</v>
      </c>
      <c r="F367" s="275">
        <v>1.073</v>
      </c>
      <c r="G367" s="275">
        <v>1.149</v>
      </c>
      <c r="H367" s="275">
        <v>1.171</v>
      </c>
      <c r="I367" s="275"/>
      <c r="J367" s="275"/>
    </row>
    <row r="368" spans="1:10">
      <c r="A368" s="273"/>
      <c r="B368" s="274"/>
      <c r="C368" s="278"/>
      <c r="D368" s="275"/>
      <c r="E368" s="275"/>
      <c r="F368" s="275"/>
      <c r="G368" s="275"/>
      <c r="H368" s="275"/>
      <c r="I368" s="275"/>
      <c r="J368" s="275"/>
    </row>
    <row r="369" spans="1:10">
      <c r="A369" s="273">
        <v>122</v>
      </c>
      <c r="B369" s="274">
        <v>41</v>
      </c>
      <c r="C369" s="278" t="s">
        <v>347</v>
      </c>
      <c r="D369" s="275" t="s">
        <v>446</v>
      </c>
      <c r="E369" s="275" t="s">
        <v>447</v>
      </c>
      <c r="F369" s="275"/>
      <c r="G369" s="275"/>
      <c r="H369" s="275"/>
      <c r="I369" s="275"/>
      <c r="J369" s="275"/>
    </row>
    <row r="370" spans="1:10">
      <c r="A370" s="273"/>
      <c r="B370" s="274"/>
      <c r="C370" s="278"/>
      <c r="D370" s="275">
        <v>1.444</v>
      </c>
      <c r="E370" s="275">
        <v>1.456</v>
      </c>
      <c r="F370" s="275"/>
      <c r="G370" s="275"/>
      <c r="H370" s="275"/>
      <c r="I370" s="275"/>
      <c r="J370" s="275"/>
    </row>
    <row r="371" spans="1:10">
      <c r="A371" s="273"/>
      <c r="B371" s="274"/>
      <c r="C371" s="278"/>
      <c r="D371" s="275"/>
      <c r="E371" s="275"/>
      <c r="F371" s="275"/>
      <c r="G371" s="275"/>
      <c r="H371" s="275"/>
      <c r="I371" s="275"/>
      <c r="J371" s="275"/>
    </row>
    <row r="372" spans="1:10">
      <c r="A372" s="273">
        <v>123</v>
      </c>
      <c r="B372" s="274">
        <v>41</v>
      </c>
      <c r="C372" s="278" t="s">
        <v>101</v>
      </c>
      <c r="D372" s="275" t="s">
        <v>446</v>
      </c>
      <c r="E372" s="275" t="s">
        <v>447</v>
      </c>
      <c r="F372" s="275"/>
      <c r="G372" s="275"/>
      <c r="H372" s="275"/>
      <c r="I372" s="275"/>
      <c r="J372" s="275"/>
    </row>
    <row r="373" spans="1:10">
      <c r="A373" s="273"/>
      <c r="B373" s="274"/>
      <c r="C373" s="278"/>
      <c r="D373" s="275">
        <v>1.3979999999999999</v>
      </c>
      <c r="E373" s="275">
        <v>1.409</v>
      </c>
      <c r="F373" s="275"/>
      <c r="G373" s="275"/>
      <c r="H373" s="275"/>
      <c r="I373" s="275"/>
      <c r="J373" s="275"/>
    </row>
    <row r="374" spans="1:10">
      <c r="A374" s="273"/>
      <c r="B374" s="274"/>
      <c r="C374" s="278"/>
      <c r="D374" s="275"/>
      <c r="E374" s="275"/>
      <c r="F374" s="275"/>
      <c r="G374" s="275"/>
      <c r="H374" s="275"/>
      <c r="I374" s="275"/>
      <c r="J374" s="275"/>
    </row>
    <row r="375" spans="1:10">
      <c r="A375" s="273">
        <v>124</v>
      </c>
      <c r="B375" s="274">
        <v>41</v>
      </c>
      <c r="C375" s="278" t="s">
        <v>102</v>
      </c>
      <c r="D375" s="275" t="s">
        <v>446</v>
      </c>
      <c r="E375" s="275" t="s">
        <v>447</v>
      </c>
      <c r="F375" s="275"/>
      <c r="G375" s="275"/>
      <c r="H375" s="275"/>
      <c r="I375" s="275"/>
      <c r="J375" s="275"/>
    </row>
    <row r="376" spans="1:10">
      <c r="A376" s="273"/>
      <c r="B376" s="274"/>
      <c r="C376" s="278"/>
      <c r="D376" s="275">
        <v>1.3560000000000001</v>
      </c>
      <c r="E376" s="275">
        <v>1.365</v>
      </c>
      <c r="F376" s="275"/>
      <c r="G376" s="275"/>
      <c r="H376" s="275"/>
      <c r="I376" s="275"/>
      <c r="J376" s="275"/>
    </row>
    <row r="377" spans="1:10">
      <c r="A377" s="273"/>
      <c r="B377" s="274"/>
      <c r="C377" s="278"/>
      <c r="D377" s="275"/>
      <c r="E377" s="275"/>
      <c r="F377" s="275"/>
      <c r="G377" s="275"/>
      <c r="H377" s="275"/>
      <c r="I377" s="275"/>
      <c r="J377" s="275"/>
    </row>
    <row r="378" spans="1:10">
      <c r="A378" s="273">
        <v>125</v>
      </c>
      <c r="B378" s="274">
        <v>41</v>
      </c>
      <c r="C378" s="278" t="s">
        <v>103</v>
      </c>
      <c r="D378" s="275" t="s">
        <v>441</v>
      </c>
      <c r="E378" s="275" t="s">
        <v>442</v>
      </c>
      <c r="F378" s="275" t="s">
        <v>443</v>
      </c>
      <c r="G378" s="275" t="s">
        <v>444</v>
      </c>
      <c r="H378" s="275" t="s">
        <v>445</v>
      </c>
      <c r="I378" s="275"/>
      <c r="J378" s="275"/>
    </row>
    <row r="379" spans="1:10">
      <c r="A379" s="273"/>
      <c r="B379" s="274"/>
      <c r="C379" s="278"/>
      <c r="D379" s="275">
        <v>0.33400000000000002</v>
      </c>
      <c r="E379" s="275">
        <v>0.33700000000000002</v>
      </c>
      <c r="F379" s="275">
        <v>1.0209999999999999</v>
      </c>
      <c r="G379" s="275">
        <v>1.085</v>
      </c>
      <c r="H379" s="275">
        <v>1.1060000000000001</v>
      </c>
      <c r="I379" s="275"/>
      <c r="J379" s="275"/>
    </row>
    <row r="380" spans="1:10">
      <c r="A380" s="273"/>
      <c r="B380" s="274"/>
      <c r="C380" s="278"/>
      <c r="D380" s="275"/>
      <c r="E380" s="275"/>
      <c r="F380" s="275"/>
      <c r="G380" s="275"/>
      <c r="H380" s="275"/>
      <c r="I380" s="275"/>
      <c r="J380" s="275"/>
    </row>
    <row r="381" spans="1:10">
      <c r="A381" s="273">
        <v>126</v>
      </c>
      <c r="B381" s="274">
        <v>42</v>
      </c>
      <c r="C381" s="278" t="s">
        <v>104</v>
      </c>
      <c r="D381" s="275" t="s">
        <v>446</v>
      </c>
      <c r="E381" s="275" t="s">
        <v>447</v>
      </c>
      <c r="F381" s="275"/>
      <c r="G381" s="275"/>
      <c r="H381" s="275"/>
      <c r="I381" s="275"/>
      <c r="J381" s="275"/>
    </row>
    <row r="382" spans="1:10">
      <c r="A382" s="273"/>
      <c r="B382" s="274"/>
      <c r="C382" s="278"/>
      <c r="D382" s="275">
        <v>1.3779999999999999</v>
      </c>
      <c r="E382" s="275">
        <v>1.3919999999999999</v>
      </c>
      <c r="F382" s="275"/>
      <c r="G382" s="275"/>
      <c r="H382" s="275"/>
      <c r="I382" s="275"/>
      <c r="J382" s="275"/>
    </row>
    <row r="383" spans="1:10">
      <c r="A383" s="273"/>
      <c r="B383" s="274"/>
      <c r="C383" s="278"/>
      <c r="D383" s="275"/>
      <c r="E383" s="275"/>
      <c r="F383" s="275"/>
      <c r="G383" s="275"/>
      <c r="H383" s="275"/>
      <c r="I383" s="275"/>
      <c r="J383" s="275"/>
    </row>
    <row r="384" spans="1:10">
      <c r="A384" s="273">
        <v>127</v>
      </c>
      <c r="B384" s="274">
        <v>42</v>
      </c>
      <c r="C384" s="278" t="s">
        <v>105</v>
      </c>
      <c r="D384" s="275" t="s">
        <v>446</v>
      </c>
      <c r="E384" s="275" t="s">
        <v>447</v>
      </c>
      <c r="F384" s="275"/>
      <c r="G384" s="275"/>
      <c r="H384" s="275"/>
      <c r="I384" s="275"/>
      <c r="J384" s="275"/>
    </row>
    <row r="385" spans="1:10">
      <c r="A385" s="273"/>
      <c r="B385" s="274"/>
      <c r="C385" s="278"/>
      <c r="D385" s="275">
        <v>1.343</v>
      </c>
      <c r="E385" s="275">
        <v>1.355</v>
      </c>
      <c r="F385" s="275"/>
      <c r="G385" s="275"/>
      <c r="H385" s="275"/>
      <c r="I385" s="275"/>
      <c r="J385" s="275"/>
    </row>
    <row r="386" spans="1:10">
      <c r="A386" s="273"/>
      <c r="B386" s="274"/>
      <c r="C386" s="278"/>
      <c r="D386" s="275"/>
      <c r="E386" s="275"/>
      <c r="F386" s="275"/>
      <c r="G386" s="275"/>
      <c r="H386" s="275"/>
      <c r="I386" s="275"/>
      <c r="J386" s="275"/>
    </row>
    <row r="387" spans="1:10">
      <c r="A387" s="273">
        <v>128</v>
      </c>
      <c r="B387" s="274">
        <v>42</v>
      </c>
      <c r="C387" s="278" t="s">
        <v>106</v>
      </c>
      <c r="D387" s="275" t="s">
        <v>446</v>
      </c>
      <c r="E387" s="275" t="s">
        <v>447</v>
      </c>
      <c r="F387" s="275"/>
      <c r="G387" s="275"/>
      <c r="H387" s="275"/>
      <c r="I387" s="275"/>
      <c r="J387" s="275"/>
    </row>
    <row r="388" spans="1:10">
      <c r="A388" s="273"/>
      <c r="B388" s="274"/>
      <c r="C388" s="278"/>
      <c r="D388" s="275">
        <v>1.3080000000000001</v>
      </c>
      <c r="E388" s="275">
        <v>1.3180000000000001</v>
      </c>
      <c r="F388" s="275"/>
      <c r="G388" s="275"/>
      <c r="H388" s="275"/>
      <c r="I388" s="275"/>
      <c r="J388" s="275"/>
    </row>
    <row r="389" spans="1:10">
      <c r="A389" s="273"/>
      <c r="B389" s="274"/>
      <c r="C389" s="278"/>
      <c r="D389" s="275"/>
      <c r="E389" s="275"/>
      <c r="F389" s="275"/>
      <c r="G389" s="275"/>
      <c r="H389" s="275"/>
      <c r="I389" s="275"/>
      <c r="J389" s="275"/>
    </row>
    <row r="390" spans="1:10">
      <c r="A390" s="273">
        <v>129</v>
      </c>
      <c r="B390" s="274">
        <v>42</v>
      </c>
      <c r="C390" s="278" t="s">
        <v>107</v>
      </c>
      <c r="D390" s="275" t="s">
        <v>446</v>
      </c>
      <c r="E390" s="275" t="s">
        <v>447</v>
      </c>
      <c r="F390" s="275"/>
      <c r="G390" s="275"/>
      <c r="H390" s="275"/>
      <c r="I390" s="275"/>
      <c r="J390" s="275"/>
    </row>
    <row r="391" spans="1:10">
      <c r="A391" s="273"/>
      <c r="B391" s="274"/>
      <c r="C391" s="278"/>
      <c r="D391" s="275">
        <v>1.274</v>
      </c>
      <c r="E391" s="275">
        <v>1.284</v>
      </c>
      <c r="F391" s="275"/>
      <c r="G391" s="275"/>
      <c r="H391" s="275"/>
      <c r="I391" s="275"/>
      <c r="J391" s="275"/>
    </row>
    <row r="392" spans="1:10">
      <c r="A392" s="273"/>
      <c r="B392" s="274"/>
      <c r="C392" s="278"/>
      <c r="D392" s="275"/>
      <c r="E392" s="275"/>
      <c r="F392" s="275"/>
      <c r="G392" s="275"/>
      <c r="H392" s="275"/>
      <c r="I392" s="275"/>
      <c r="J392" s="275"/>
    </row>
    <row r="393" spans="1:10">
      <c r="A393" s="273">
        <v>130</v>
      </c>
      <c r="B393" s="274">
        <v>42</v>
      </c>
      <c r="C393" s="278" t="s">
        <v>108</v>
      </c>
      <c r="D393" s="275" t="s">
        <v>446</v>
      </c>
      <c r="E393" s="275" t="s">
        <v>447</v>
      </c>
      <c r="F393" s="275"/>
      <c r="G393" s="275"/>
      <c r="H393" s="275"/>
      <c r="I393" s="275"/>
      <c r="J393" s="275"/>
    </row>
    <row r="394" spans="1:10">
      <c r="A394" s="273"/>
      <c r="B394" s="274"/>
      <c r="C394" s="278"/>
      <c r="D394" s="275">
        <v>1.2430000000000001</v>
      </c>
      <c r="E394" s="275">
        <v>1.2509999999999999</v>
      </c>
      <c r="F394" s="275"/>
      <c r="G394" s="275"/>
      <c r="H394" s="275"/>
      <c r="I394" s="275"/>
      <c r="J394" s="275"/>
    </row>
    <row r="395" spans="1:10">
      <c r="A395" s="273"/>
      <c r="B395" s="274"/>
      <c r="C395" s="278"/>
      <c r="D395" s="275"/>
      <c r="E395" s="275"/>
      <c r="F395" s="275"/>
      <c r="G395" s="275"/>
      <c r="H395" s="275"/>
      <c r="I395" s="275"/>
      <c r="J395" s="275"/>
    </row>
    <row r="396" spans="1:10">
      <c r="A396" s="273">
        <v>131</v>
      </c>
      <c r="B396" s="274">
        <v>42</v>
      </c>
      <c r="C396" s="278" t="s">
        <v>109</v>
      </c>
      <c r="D396" s="275" t="s">
        <v>441</v>
      </c>
      <c r="E396" s="275" t="s">
        <v>442</v>
      </c>
      <c r="F396" s="275" t="s">
        <v>443</v>
      </c>
      <c r="G396" s="275" t="s">
        <v>444</v>
      </c>
      <c r="H396" s="275" t="s">
        <v>445</v>
      </c>
      <c r="I396" s="275"/>
      <c r="J396" s="275"/>
    </row>
    <row r="397" spans="1:10">
      <c r="A397" s="273"/>
      <c r="B397" s="274"/>
      <c r="C397" s="278"/>
      <c r="D397" s="275">
        <v>0.32200000000000001</v>
      </c>
      <c r="E397" s="275">
        <v>0.32400000000000001</v>
      </c>
      <c r="F397" s="275">
        <v>0.97399999999999998</v>
      </c>
      <c r="G397" s="275">
        <v>1.0289999999999999</v>
      </c>
      <c r="H397" s="275">
        <v>1.0489999999999999</v>
      </c>
      <c r="I397" s="275"/>
      <c r="J397" s="275"/>
    </row>
    <row r="398" spans="1:10">
      <c r="A398" s="273"/>
      <c r="B398" s="274"/>
      <c r="C398" s="278"/>
      <c r="D398" s="275"/>
      <c r="E398" s="275"/>
      <c r="F398" s="275"/>
      <c r="G398" s="275"/>
      <c r="H398" s="275"/>
      <c r="I398" s="275"/>
      <c r="J398" s="275"/>
    </row>
    <row r="399" spans="1:10">
      <c r="A399" s="273">
        <v>132</v>
      </c>
      <c r="B399" s="274">
        <v>43</v>
      </c>
      <c r="C399" s="278" t="s">
        <v>110</v>
      </c>
      <c r="D399" s="275" t="s">
        <v>446</v>
      </c>
      <c r="E399" s="275" t="s">
        <v>447</v>
      </c>
      <c r="F399" s="275" t="s">
        <v>448</v>
      </c>
      <c r="G399" s="275"/>
      <c r="H399" s="275"/>
      <c r="I399" s="275"/>
      <c r="J399" s="275"/>
    </row>
    <row r="400" spans="1:10">
      <c r="A400" s="273"/>
      <c r="B400" s="274"/>
      <c r="C400" s="278"/>
      <c r="D400" s="275">
        <v>1.2629999999999999</v>
      </c>
      <c r="E400" s="275">
        <v>1.276</v>
      </c>
      <c r="F400" s="275">
        <v>2.742</v>
      </c>
      <c r="G400" s="275"/>
      <c r="H400" s="275"/>
      <c r="I400" s="275"/>
      <c r="J400" s="275"/>
    </row>
    <row r="401" spans="1:10">
      <c r="A401" s="273"/>
      <c r="B401" s="274"/>
      <c r="C401" s="278"/>
      <c r="D401" s="275"/>
      <c r="E401" s="275"/>
      <c r="F401" s="275"/>
      <c r="G401" s="275"/>
      <c r="H401" s="275"/>
      <c r="I401" s="275"/>
      <c r="J401" s="275"/>
    </row>
    <row r="402" spans="1:10">
      <c r="A402" s="273">
        <v>133</v>
      </c>
      <c r="B402" s="274">
        <v>43</v>
      </c>
      <c r="C402" s="278" t="s">
        <v>111</v>
      </c>
      <c r="D402" s="275" t="s">
        <v>446</v>
      </c>
      <c r="E402" s="275" t="s">
        <v>447</v>
      </c>
      <c r="F402" s="275"/>
      <c r="G402" s="275"/>
      <c r="H402" s="275"/>
      <c r="I402" s="275"/>
      <c r="J402" s="275"/>
    </row>
    <row r="403" spans="1:10">
      <c r="A403" s="273"/>
      <c r="B403" s="274"/>
      <c r="C403" s="278"/>
      <c r="D403" s="275">
        <v>1.2589999999999999</v>
      </c>
      <c r="E403" s="275">
        <v>1.27</v>
      </c>
      <c r="F403" s="275"/>
      <c r="G403" s="275"/>
      <c r="H403" s="275"/>
      <c r="I403" s="275"/>
      <c r="J403" s="275"/>
    </row>
    <row r="404" spans="1:10">
      <c r="A404" s="273"/>
      <c r="B404" s="274"/>
      <c r="C404" s="278"/>
      <c r="D404" s="275"/>
      <c r="E404" s="275"/>
      <c r="F404" s="275"/>
      <c r="G404" s="275"/>
      <c r="H404" s="275"/>
      <c r="I404" s="275"/>
      <c r="J404" s="275"/>
    </row>
    <row r="405" spans="1:10">
      <c r="A405" s="273">
        <v>134</v>
      </c>
      <c r="B405" s="274">
        <v>43</v>
      </c>
      <c r="C405" s="278" t="s">
        <v>112</v>
      </c>
      <c r="D405" s="275" t="s">
        <v>446</v>
      </c>
      <c r="E405" s="275" t="s">
        <v>447</v>
      </c>
      <c r="F405" s="275"/>
      <c r="G405" s="275"/>
      <c r="H405" s="275"/>
      <c r="I405" s="275"/>
      <c r="J405" s="275"/>
    </row>
    <row r="406" spans="1:10">
      <c r="A406" s="273"/>
      <c r="B406" s="274"/>
      <c r="C406" s="278"/>
      <c r="D406" s="275">
        <v>1.2310000000000001</v>
      </c>
      <c r="E406" s="275">
        <v>1.2410000000000001</v>
      </c>
      <c r="F406" s="275"/>
      <c r="G406" s="275"/>
      <c r="H406" s="275"/>
      <c r="I406" s="275"/>
      <c r="J406" s="275"/>
    </row>
    <row r="407" spans="1:10">
      <c r="A407" s="273"/>
      <c r="B407" s="274"/>
      <c r="C407" s="278"/>
      <c r="D407" s="275"/>
      <c r="E407" s="275"/>
      <c r="F407" s="275"/>
      <c r="G407" s="275"/>
      <c r="H407" s="275"/>
      <c r="I407" s="275"/>
      <c r="J407" s="275"/>
    </row>
    <row r="408" spans="1:10">
      <c r="A408" s="273">
        <v>135</v>
      </c>
      <c r="B408" s="274">
        <v>43</v>
      </c>
      <c r="C408" s="278" t="s">
        <v>113</v>
      </c>
      <c r="D408" s="275" t="s">
        <v>446</v>
      </c>
      <c r="E408" s="275" t="s">
        <v>447</v>
      </c>
      <c r="F408" s="275"/>
      <c r="G408" s="275"/>
      <c r="H408" s="275"/>
      <c r="I408" s="275"/>
      <c r="J408" s="275"/>
    </row>
    <row r="409" spans="1:10">
      <c r="A409" s="273"/>
      <c r="B409" s="274"/>
      <c r="C409" s="278"/>
      <c r="D409" s="275">
        <v>1.204</v>
      </c>
      <c r="E409" s="275">
        <v>1.2130000000000001</v>
      </c>
      <c r="F409" s="275"/>
      <c r="G409" s="275"/>
      <c r="H409" s="275"/>
      <c r="I409" s="275"/>
      <c r="J409" s="275"/>
    </row>
    <row r="410" spans="1:10">
      <c r="A410" s="273"/>
      <c r="B410" s="274"/>
      <c r="C410" s="278"/>
      <c r="D410" s="275"/>
      <c r="E410" s="275"/>
      <c r="F410" s="275"/>
      <c r="G410" s="275"/>
      <c r="H410" s="275"/>
      <c r="I410" s="275"/>
      <c r="J410" s="275"/>
    </row>
    <row r="411" spans="1:10">
      <c r="A411" s="273">
        <v>136</v>
      </c>
      <c r="B411" s="274">
        <v>43</v>
      </c>
      <c r="C411" s="278" t="s">
        <v>114</v>
      </c>
      <c r="D411" s="275" t="s">
        <v>446</v>
      </c>
      <c r="E411" s="275" t="s">
        <v>447</v>
      </c>
      <c r="F411" s="275"/>
      <c r="G411" s="275"/>
      <c r="H411" s="275"/>
      <c r="I411" s="275"/>
      <c r="J411" s="275"/>
    </row>
    <row r="412" spans="1:10">
      <c r="A412" s="273"/>
      <c r="B412" s="274"/>
      <c r="C412" s="278"/>
      <c r="D412" s="275">
        <v>1.177</v>
      </c>
      <c r="E412" s="275">
        <v>1.1859999999999999</v>
      </c>
      <c r="F412" s="275"/>
      <c r="G412" s="275"/>
      <c r="H412" s="275"/>
      <c r="I412" s="275"/>
      <c r="J412" s="275"/>
    </row>
    <row r="413" spans="1:10">
      <c r="A413" s="273"/>
      <c r="B413" s="274"/>
      <c r="C413" s="278"/>
      <c r="D413" s="275"/>
      <c r="E413" s="275"/>
      <c r="F413" s="275"/>
      <c r="G413" s="275"/>
      <c r="H413" s="275"/>
      <c r="I413" s="275"/>
      <c r="J413" s="275"/>
    </row>
    <row r="414" spans="1:10">
      <c r="A414" s="273">
        <v>137</v>
      </c>
      <c r="B414" s="274">
        <v>43</v>
      </c>
      <c r="C414" s="278" t="s">
        <v>115</v>
      </c>
      <c r="D414" s="275" t="s">
        <v>446</v>
      </c>
      <c r="E414" s="275" t="s">
        <v>447</v>
      </c>
      <c r="F414" s="275"/>
      <c r="G414" s="275"/>
      <c r="H414" s="275"/>
      <c r="I414" s="275"/>
      <c r="J414" s="275"/>
    </row>
    <row r="415" spans="1:10">
      <c r="A415" s="273"/>
      <c r="B415" s="274"/>
      <c r="C415" s="278"/>
      <c r="D415" s="275">
        <v>1.1519999999999999</v>
      </c>
      <c r="E415" s="275">
        <v>1.1599999999999999</v>
      </c>
      <c r="F415" s="275"/>
      <c r="G415" s="275"/>
      <c r="H415" s="275"/>
      <c r="I415" s="275"/>
      <c r="J415" s="275"/>
    </row>
    <row r="416" spans="1:10">
      <c r="A416" s="273"/>
      <c r="B416" s="274"/>
      <c r="C416" s="278"/>
      <c r="D416" s="275"/>
      <c r="E416" s="275"/>
      <c r="F416" s="275"/>
      <c r="G416" s="275"/>
      <c r="H416" s="275"/>
      <c r="I416" s="275"/>
      <c r="J416" s="275"/>
    </row>
    <row r="417" spans="1:10">
      <c r="A417" s="273">
        <v>138</v>
      </c>
      <c r="B417" s="274">
        <v>43</v>
      </c>
      <c r="C417" s="278" t="s">
        <v>116</v>
      </c>
      <c r="D417" s="275" t="s">
        <v>441</v>
      </c>
      <c r="E417" s="275" t="s">
        <v>442</v>
      </c>
      <c r="F417" s="275" t="s">
        <v>443</v>
      </c>
      <c r="G417" s="275" t="s">
        <v>444</v>
      </c>
      <c r="H417" s="275" t="s">
        <v>445</v>
      </c>
      <c r="I417" s="275"/>
      <c r="J417" s="275"/>
    </row>
    <row r="418" spans="1:10">
      <c r="A418" s="273"/>
      <c r="B418" s="274"/>
      <c r="C418" s="278"/>
      <c r="D418" s="275">
        <v>0.31</v>
      </c>
      <c r="E418" s="275">
        <v>0.313</v>
      </c>
      <c r="F418" s="275">
        <v>0.93200000000000005</v>
      </c>
      <c r="G418" s="275">
        <v>0.97799999999999998</v>
      </c>
      <c r="H418" s="275">
        <v>0.998</v>
      </c>
      <c r="I418" s="275"/>
      <c r="J418" s="275"/>
    </row>
    <row r="419" spans="1:10">
      <c r="A419" s="273"/>
      <c r="B419" s="274"/>
      <c r="C419" s="278"/>
      <c r="D419" s="275"/>
      <c r="E419" s="275"/>
      <c r="F419" s="275"/>
      <c r="G419" s="275"/>
      <c r="H419" s="275"/>
      <c r="I419" s="275"/>
      <c r="J419" s="275"/>
    </row>
    <row r="420" spans="1:10">
      <c r="A420" s="273">
        <v>139</v>
      </c>
      <c r="B420" s="274">
        <v>44</v>
      </c>
      <c r="C420" s="278" t="s">
        <v>117</v>
      </c>
      <c r="D420" s="275" t="s">
        <v>446</v>
      </c>
      <c r="E420" s="275" t="s">
        <v>447</v>
      </c>
      <c r="F420" s="275"/>
      <c r="G420" s="275"/>
      <c r="H420" s="275"/>
      <c r="I420" s="275"/>
      <c r="J420" s="275"/>
    </row>
    <row r="421" spans="1:10">
      <c r="A421" s="273"/>
      <c r="B421" s="274"/>
      <c r="C421" s="278"/>
      <c r="D421" s="275">
        <v>1.208</v>
      </c>
      <c r="E421" s="275">
        <v>1.2210000000000001</v>
      </c>
      <c r="F421" s="275"/>
      <c r="G421" s="275"/>
      <c r="H421" s="275"/>
      <c r="I421" s="275"/>
      <c r="J421" s="275"/>
    </row>
    <row r="422" spans="1:10">
      <c r="A422" s="273"/>
      <c r="B422" s="274"/>
      <c r="C422" s="278"/>
      <c r="D422" s="275"/>
      <c r="E422" s="275"/>
      <c r="F422" s="275"/>
      <c r="G422" s="275"/>
      <c r="H422" s="275"/>
      <c r="I422" s="275"/>
      <c r="J422" s="275"/>
    </row>
    <row r="423" spans="1:10">
      <c r="A423" s="273">
        <v>140</v>
      </c>
      <c r="B423" s="274">
        <v>44</v>
      </c>
      <c r="C423" s="278" t="s">
        <v>118</v>
      </c>
      <c r="D423" s="275" t="s">
        <v>446</v>
      </c>
      <c r="E423" s="275" t="s">
        <v>447</v>
      </c>
      <c r="F423" s="275"/>
      <c r="G423" s="275"/>
      <c r="H423" s="275"/>
      <c r="I423" s="275"/>
      <c r="J423" s="275"/>
    </row>
    <row r="424" spans="1:10">
      <c r="A424" s="273"/>
      <c r="B424" s="274"/>
      <c r="C424" s="278"/>
      <c r="D424" s="275">
        <v>1.1870000000000001</v>
      </c>
      <c r="E424" s="275">
        <v>1.198</v>
      </c>
      <c r="F424" s="275"/>
      <c r="G424" s="275"/>
      <c r="H424" s="275"/>
      <c r="I424" s="275"/>
      <c r="J424" s="275"/>
    </row>
    <row r="425" spans="1:10">
      <c r="A425" s="273"/>
      <c r="B425" s="274"/>
      <c r="C425" s="278"/>
      <c r="D425" s="275"/>
      <c r="E425" s="275"/>
      <c r="F425" s="275"/>
      <c r="G425" s="275"/>
      <c r="H425" s="275"/>
      <c r="I425" s="275"/>
      <c r="J425" s="275"/>
    </row>
    <row r="426" spans="1:10">
      <c r="A426" s="273">
        <v>141</v>
      </c>
      <c r="B426" s="274">
        <v>44</v>
      </c>
      <c r="C426" s="278" t="s">
        <v>119</v>
      </c>
      <c r="D426" s="275" t="s">
        <v>446</v>
      </c>
      <c r="E426" s="275" t="s">
        <v>447</v>
      </c>
      <c r="F426" s="275"/>
      <c r="G426" s="275"/>
      <c r="H426" s="275"/>
      <c r="I426" s="275"/>
      <c r="J426" s="275"/>
    </row>
    <row r="427" spans="1:10">
      <c r="A427" s="273"/>
      <c r="B427" s="274"/>
      <c r="C427" s="278"/>
      <c r="D427" s="275">
        <v>1.1639999999999999</v>
      </c>
      <c r="E427" s="275">
        <v>1.1739999999999999</v>
      </c>
      <c r="F427" s="275"/>
      <c r="G427" s="275"/>
      <c r="H427" s="275"/>
      <c r="I427" s="275"/>
      <c r="J427" s="275"/>
    </row>
    <row r="428" spans="1:10">
      <c r="A428" s="273"/>
      <c r="B428" s="274"/>
      <c r="C428" s="278"/>
      <c r="D428" s="275"/>
      <c r="E428" s="275"/>
      <c r="F428" s="275"/>
      <c r="G428" s="275"/>
      <c r="H428" s="275"/>
      <c r="I428" s="275"/>
      <c r="J428" s="275"/>
    </row>
    <row r="429" spans="1:10">
      <c r="A429" s="273">
        <v>142</v>
      </c>
      <c r="B429" s="274">
        <v>44</v>
      </c>
      <c r="C429" s="278" t="s">
        <v>120</v>
      </c>
      <c r="D429" s="275" t="s">
        <v>446</v>
      </c>
      <c r="E429" s="275" t="s">
        <v>447</v>
      </c>
      <c r="F429" s="275"/>
      <c r="G429" s="275"/>
      <c r="H429" s="275"/>
      <c r="I429" s="275"/>
      <c r="J429" s="275"/>
    </row>
    <row r="430" spans="1:10">
      <c r="A430" s="273"/>
      <c r="B430" s="274"/>
      <c r="C430" s="278"/>
      <c r="D430" s="275">
        <v>1.141</v>
      </c>
      <c r="E430" s="275">
        <v>1.151</v>
      </c>
      <c r="F430" s="275"/>
      <c r="G430" s="275"/>
      <c r="H430" s="275"/>
      <c r="I430" s="275"/>
      <c r="J430" s="275"/>
    </row>
    <row r="431" spans="1:10">
      <c r="A431" s="273"/>
      <c r="B431" s="274"/>
      <c r="C431" s="278"/>
      <c r="D431" s="275"/>
      <c r="E431" s="275"/>
      <c r="F431" s="275"/>
      <c r="G431" s="275"/>
      <c r="H431" s="275"/>
      <c r="I431" s="275"/>
      <c r="J431" s="275"/>
    </row>
    <row r="432" spans="1:10">
      <c r="A432" s="273">
        <v>143</v>
      </c>
      <c r="B432" s="274">
        <v>44</v>
      </c>
      <c r="C432" s="278" t="s">
        <v>121</v>
      </c>
      <c r="D432" s="275" t="s">
        <v>446</v>
      </c>
      <c r="E432" s="275" t="s">
        <v>447</v>
      </c>
      <c r="F432" s="275"/>
      <c r="G432" s="275"/>
      <c r="H432" s="275"/>
      <c r="I432" s="275"/>
      <c r="J432" s="275"/>
    </row>
    <row r="433" spans="1:10">
      <c r="A433" s="273"/>
      <c r="B433" s="274"/>
      <c r="C433" s="278"/>
      <c r="D433" s="275">
        <v>1.119</v>
      </c>
      <c r="E433" s="275">
        <v>1.1279999999999999</v>
      </c>
      <c r="F433" s="275"/>
      <c r="G433" s="275"/>
      <c r="H433" s="275"/>
      <c r="I433" s="275"/>
      <c r="J433" s="275"/>
    </row>
    <row r="434" spans="1:10">
      <c r="A434" s="273"/>
      <c r="B434" s="274"/>
      <c r="C434" s="278"/>
      <c r="D434" s="275"/>
      <c r="E434" s="275"/>
      <c r="F434" s="275"/>
      <c r="G434" s="275"/>
      <c r="H434" s="275"/>
      <c r="I434" s="275"/>
      <c r="J434" s="275"/>
    </row>
    <row r="435" spans="1:10">
      <c r="A435" s="273">
        <v>144</v>
      </c>
      <c r="B435" s="274">
        <v>44</v>
      </c>
      <c r="C435" s="278" t="s">
        <v>122</v>
      </c>
      <c r="D435" s="275" t="s">
        <v>446</v>
      </c>
      <c r="E435" s="275" t="s">
        <v>447</v>
      </c>
      <c r="F435" s="275"/>
      <c r="G435" s="275"/>
      <c r="H435" s="275"/>
      <c r="I435" s="275"/>
      <c r="J435" s="275"/>
    </row>
    <row r="436" spans="1:10">
      <c r="A436" s="273"/>
      <c r="B436" s="274"/>
      <c r="C436" s="278"/>
      <c r="D436" s="275">
        <v>1.0980000000000001</v>
      </c>
      <c r="E436" s="275">
        <v>1.105</v>
      </c>
      <c r="F436" s="275"/>
      <c r="G436" s="275"/>
      <c r="H436" s="275"/>
      <c r="I436" s="275"/>
      <c r="J436" s="275"/>
    </row>
    <row r="437" spans="1:10">
      <c r="A437" s="273"/>
      <c r="B437" s="274"/>
      <c r="C437" s="278"/>
      <c r="D437" s="275"/>
      <c r="E437" s="275"/>
      <c r="F437" s="275"/>
      <c r="G437" s="275"/>
      <c r="H437" s="275"/>
      <c r="I437" s="275"/>
      <c r="J437" s="275"/>
    </row>
    <row r="438" spans="1:10">
      <c r="A438" s="273">
        <v>145</v>
      </c>
      <c r="B438" s="274">
        <v>44</v>
      </c>
      <c r="C438" s="278" t="s">
        <v>123</v>
      </c>
      <c r="D438" s="275" t="s">
        <v>446</v>
      </c>
      <c r="E438" s="275" t="s">
        <v>447</v>
      </c>
      <c r="F438" s="275"/>
      <c r="G438" s="275"/>
      <c r="H438" s="275"/>
      <c r="I438" s="275"/>
      <c r="J438" s="275"/>
    </row>
    <row r="439" spans="1:10">
      <c r="A439" s="273"/>
      <c r="B439" s="274"/>
      <c r="C439" s="278"/>
      <c r="D439" s="275">
        <v>1.077</v>
      </c>
      <c r="E439" s="275">
        <v>1.0840000000000001</v>
      </c>
      <c r="F439" s="275"/>
      <c r="G439" s="275"/>
      <c r="H439" s="275"/>
      <c r="I439" s="275"/>
      <c r="J439" s="275"/>
    </row>
    <row r="440" spans="1:10">
      <c r="A440" s="273"/>
      <c r="B440" s="274"/>
      <c r="C440" s="278"/>
      <c r="D440" s="275"/>
      <c r="E440" s="275"/>
      <c r="F440" s="275"/>
      <c r="G440" s="275"/>
      <c r="H440" s="275"/>
      <c r="I440" s="275"/>
      <c r="J440" s="275"/>
    </row>
    <row r="441" spans="1:10">
      <c r="A441" s="273">
        <v>146</v>
      </c>
      <c r="B441" s="274">
        <v>44</v>
      </c>
      <c r="C441" s="278" t="s">
        <v>124</v>
      </c>
      <c r="D441" s="275" t="s">
        <v>441</v>
      </c>
      <c r="E441" s="275" t="s">
        <v>442</v>
      </c>
      <c r="F441" s="275" t="s">
        <v>443</v>
      </c>
      <c r="G441" s="275" t="s">
        <v>444</v>
      </c>
      <c r="H441" s="275" t="s">
        <v>445</v>
      </c>
      <c r="I441" s="275"/>
      <c r="J441" s="275"/>
    </row>
    <row r="442" spans="1:10">
      <c r="A442" s="273"/>
      <c r="B442" s="274"/>
      <c r="C442" s="278"/>
      <c r="D442" s="275">
        <v>0.3</v>
      </c>
      <c r="E442" s="275">
        <v>0.30199999999999999</v>
      </c>
      <c r="F442" s="275">
        <v>0.89400000000000002</v>
      </c>
      <c r="G442" s="275">
        <v>0.93300000000000005</v>
      </c>
      <c r="H442" s="275">
        <v>0.95299999999999996</v>
      </c>
      <c r="I442" s="275"/>
      <c r="J442" s="275"/>
    </row>
    <row r="443" spans="1:10">
      <c r="A443" s="273"/>
      <c r="B443" s="274"/>
      <c r="C443" s="278"/>
      <c r="D443" s="275"/>
      <c r="E443" s="275"/>
      <c r="F443" s="275"/>
      <c r="G443" s="275"/>
      <c r="H443" s="275"/>
      <c r="I443" s="275"/>
      <c r="J443" s="275"/>
    </row>
    <row r="444" spans="1:10">
      <c r="A444" s="273">
        <v>147</v>
      </c>
      <c r="B444" s="274">
        <v>45</v>
      </c>
      <c r="C444" s="278" t="s">
        <v>125</v>
      </c>
      <c r="D444" s="275" t="s">
        <v>446</v>
      </c>
      <c r="E444" s="275" t="s">
        <v>447</v>
      </c>
      <c r="F444" s="275"/>
      <c r="G444" s="275"/>
      <c r="H444" s="275"/>
      <c r="I444" s="275"/>
      <c r="J444" s="275"/>
    </row>
    <row r="445" spans="1:10">
      <c r="A445" s="273"/>
      <c r="B445" s="274"/>
      <c r="C445" s="278"/>
      <c r="D445" s="275">
        <v>1.141</v>
      </c>
      <c r="E445" s="275">
        <v>1.1539999999999999</v>
      </c>
      <c r="F445" s="275"/>
      <c r="G445" s="275"/>
      <c r="H445" s="275"/>
      <c r="I445" s="275"/>
      <c r="J445" s="275"/>
    </row>
    <row r="446" spans="1:10">
      <c r="A446" s="273"/>
      <c r="B446" s="274"/>
      <c r="C446" s="278"/>
      <c r="D446" s="275"/>
      <c r="E446" s="275"/>
      <c r="F446" s="275"/>
      <c r="G446" s="275"/>
      <c r="H446" s="275"/>
      <c r="I446" s="275"/>
      <c r="J446" s="275"/>
    </row>
    <row r="447" spans="1:10">
      <c r="A447" s="273">
        <v>148</v>
      </c>
      <c r="B447" s="274">
        <v>45</v>
      </c>
      <c r="C447" s="278" t="s">
        <v>126</v>
      </c>
      <c r="D447" s="275" t="s">
        <v>446</v>
      </c>
      <c r="E447" s="275" t="s">
        <v>447</v>
      </c>
      <c r="F447" s="275"/>
      <c r="G447" s="275"/>
      <c r="H447" s="275"/>
      <c r="I447" s="275"/>
      <c r="J447" s="275"/>
    </row>
    <row r="448" spans="1:10">
      <c r="A448" s="273"/>
      <c r="B448" s="274"/>
      <c r="C448" s="278"/>
      <c r="D448" s="275">
        <v>1.1240000000000001</v>
      </c>
      <c r="E448" s="275">
        <v>1.135</v>
      </c>
      <c r="F448" s="275"/>
      <c r="G448" s="275"/>
      <c r="H448" s="275"/>
      <c r="I448" s="275"/>
      <c r="J448" s="275"/>
    </row>
    <row r="449" spans="1:10">
      <c r="A449" s="273"/>
      <c r="B449" s="274"/>
      <c r="C449" s="278"/>
      <c r="D449" s="275"/>
      <c r="E449" s="275"/>
      <c r="F449" s="275"/>
      <c r="G449" s="275"/>
      <c r="H449" s="275"/>
      <c r="I449" s="275"/>
      <c r="J449" s="275"/>
    </row>
    <row r="450" spans="1:10">
      <c r="A450" s="273">
        <v>149</v>
      </c>
      <c r="B450" s="274">
        <v>45</v>
      </c>
      <c r="C450" s="278" t="s">
        <v>127</v>
      </c>
      <c r="D450" s="275" t="s">
        <v>446</v>
      </c>
      <c r="E450" s="275" t="s">
        <v>447</v>
      </c>
      <c r="F450" s="275"/>
      <c r="G450" s="275"/>
      <c r="H450" s="275"/>
      <c r="I450" s="275"/>
      <c r="J450" s="275"/>
    </row>
    <row r="451" spans="1:10">
      <c r="A451" s="273"/>
      <c r="B451" s="274"/>
      <c r="C451" s="278"/>
      <c r="D451" s="275">
        <v>1.105</v>
      </c>
      <c r="E451" s="275">
        <v>1.115</v>
      </c>
      <c r="F451" s="275"/>
      <c r="G451" s="275"/>
      <c r="H451" s="275"/>
      <c r="I451" s="275"/>
      <c r="J451" s="275"/>
    </row>
    <row r="452" spans="1:10">
      <c r="A452" s="273"/>
      <c r="B452" s="274"/>
      <c r="C452" s="278"/>
      <c r="D452" s="275"/>
      <c r="E452" s="275"/>
      <c r="F452" s="275"/>
      <c r="G452" s="275"/>
      <c r="H452" s="275"/>
      <c r="I452" s="275"/>
      <c r="J452" s="275"/>
    </row>
    <row r="453" spans="1:10">
      <c r="A453" s="273">
        <v>150</v>
      </c>
      <c r="B453" s="274">
        <v>45</v>
      </c>
      <c r="C453" s="278" t="s">
        <v>128</v>
      </c>
      <c r="D453" s="275" t="s">
        <v>446</v>
      </c>
      <c r="E453" s="275" t="s">
        <v>447</v>
      </c>
      <c r="F453" s="275"/>
      <c r="G453" s="275"/>
      <c r="H453" s="275"/>
      <c r="I453" s="275"/>
      <c r="J453" s="275"/>
    </row>
    <row r="454" spans="1:10">
      <c r="A454" s="273"/>
      <c r="B454" s="274"/>
      <c r="C454" s="278"/>
      <c r="D454" s="275">
        <v>1.0860000000000001</v>
      </c>
      <c r="E454" s="275">
        <v>1.095</v>
      </c>
      <c r="F454" s="275"/>
      <c r="G454" s="275"/>
      <c r="H454" s="275"/>
      <c r="I454" s="275"/>
      <c r="J454" s="275"/>
    </row>
    <row r="455" spans="1:10">
      <c r="A455" s="273"/>
      <c r="B455" s="274"/>
      <c r="C455" s="278"/>
      <c r="D455" s="275"/>
      <c r="E455" s="275"/>
      <c r="F455" s="275"/>
      <c r="G455" s="275"/>
      <c r="H455" s="275"/>
      <c r="I455" s="275"/>
      <c r="J455" s="275"/>
    </row>
    <row r="456" spans="1:10">
      <c r="A456" s="273">
        <v>151</v>
      </c>
      <c r="B456" s="274">
        <v>45</v>
      </c>
      <c r="C456" s="278" t="s">
        <v>129</v>
      </c>
      <c r="D456" s="275" t="s">
        <v>446</v>
      </c>
      <c r="E456" s="275" t="s">
        <v>447</v>
      </c>
      <c r="F456" s="275"/>
      <c r="G456" s="275"/>
      <c r="H456" s="275"/>
      <c r="I456" s="275"/>
      <c r="J456" s="275"/>
    </row>
    <row r="457" spans="1:10">
      <c r="A457" s="273"/>
      <c r="B457" s="274"/>
      <c r="C457" s="278"/>
      <c r="D457" s="275">
        <v>1.0669999999999999</v>
      </c>
      <c r="E457" s="275">
        <v>1.075</v>
      </c>
      <c r="F457" s="275"/>
      <c r="G457" s="275"/>
      <c r="H457" s="275"/>
      <c r="I457" s="275"/>
      <c r="J457" s="275"/>
    </row>
    <row r="458" spans="1:10">
      <c r="A458" s="273"/>
      <c r="B458" s="274"/>
      <c r="C458" s="278"/>
      <c r="D458" s="275"/>
      <c r="E458" s="275"/>
      <c r="F458" s="275"/>
      <c r="G458" s="275"/>
      <c r="H458" s="275"/>
      <c r="I458" s="275"/>
      <c r="J458" s="275"/>
    </row>
    <row r="459" spans="1:10">
      <c r="A459" s="273">
        <v>152</v>
      </c>
      <c r="B459" s="274">
        <v>45</v>
      </c>
      <c r="C459" s="278" t="s">
        <v>130</v>
      </c>
      <c r="D459" s="275" t="s">
        <v>446</v>
      </c>
      <c r="E459" s="275" t="s">
        <v>447</v>
      </c>
      <c r="F459" s="275"/>
      <c r="G459" s="275"/>
      <c r="H459" s="275"/>
      <c r="I459" s="275"/>
      <c r="J459" s="275"/>
    </row>
    <row r="460" spans="1:10">
      <c r="A460" s="273"/>
      <c r="B460" s="274"/>
      <c r="C460" s="278"/>
      <c r="D460" s="275">
        <v>1.048</v>
      </c>
      <c r="E460" s="275">
        <v>1.056</v>
      </c>
      <c r="F460" s="275"/>
      <c r="G460" s="275"/>
      <c r="H460" s="275"/>
      <c r="I460" s="275"/>
      <c r="J460" s="275"/>
    </row>
    <row r="461" spans="1:10">
      <c r="A461" s="273"/>
      <c r="B461" s="274"/>
      <c r="C461" s="278"/>
      <c r="D461" s="275"/>
      <c r="E461" s="275"/>
      <c r="F461" s="275"/>
      <c r="G461" s="275"/>
      <c r="H461" s="275"/>
      <c r="I461" s="275"/>
      <c r="J461" s="275"/>
    </row>
    <row r="462" spans="1:10">
      <c r="A462" s="273">
        <v>153</v>
      </c>
      <c r="B462" s="274">
        <v>46</v>
      </c>
      <c r="C462" s="278" t="s">
        <v>348</v>
      </c>
      <c r="D462" s="275" t="s">
        <v>446</v>
      </c>
      <c r="E462" s="275" t="s">
        <v>447</v>
      </c>
      <c r="F462" s="275"/>
      <c r="G462" s="275"/>
      <c r="H462" s="275"/>
      <c r="I462" s="275"/>
      <c r="J462" s="275"/>
    </row>
    <row r="463" spans="1:10">
      <c r="A463" s="273"/>
      <c r="B463" s="274"/>
      <c r="C463" s="278"/>
      <c r="D463" s="275">
        <v>1.0680000000000001</v>
      </c>
      <c r="E463" s="275">
        <v>1.08</v>
      </c>
      <c r="F463" s="275"/>
      <c r="G463" s="275"/>
      <c r="H463" s="275"/>
      <c r="I463" s="275"/>
      <c r="J463" s="275"/>
    </row>
    <row r="464" spans="1:10">
      <c r="A464" s="273"/>
      <c r="B464" s="274"/>
      <c r="C464" s="278"/>
      <c r="D464" s="275"/>
      <c r="E464" s="275"/>
      <c r="F464" s="275"/>
      <c r="G464" s="275"/>
      <c r="H464" s="275"/>
      <c r="I464" s="275"/>
      <c r="J464" s="275"/>
    </row>
    <row r="465" spans="1:10">
      <c r="A465" s="273">
        <v>154</v>
      </c>
      <c r="B465" s="274">
        <v>46</v>
      </c>
      <c r="C465" s="278" t="s">
        <v>349</v>
      </c>
      <c r="D465" s="275" t="s">
        <v>446</v>
      </c>
      <c r="E465" s="275" t="s">
        <v>447</v>
      </c>
      <c r="F465" s="275"/>
      <c r="G465" s="275"/>
      <c r="H465" s="275"/>
      <c r="I465" s="275"/>
      <c r="J465" s="275"/>
    </row>
    <row r="466" spans="1:10">
      <c r="A466" s="273"/>
      <c r="B466" s="274"/>
      <c r="C466" s="278"/>
      <c r="D466" s="275">
        <v>1.036</v>
      </c>
      <c r="E466" s="275">
        <v>1.046</v>
      </c>
      <c r="F466" s="275"/>
      <c r="G466" s="275"/>
      <c r="H466" s="275"/>
      <c r="I466" s="275"/>
      <c r="J466" s="275"/>
    </row>
    <row r="467" spans="1:10">
      <c r="A467" s="273"/>
      <c r="B467" s="274"/>
      <c r="C467" s="278"/>
      <c r="D467" s="275"/>
      <c r="E467" s="275"/>
      <c r="F467" s="275"/>
      <c r="G467" s="275"/>
      <c r="H467" s="275"/>
      <c r="I467" s="275"/>
      <c r="J467" s="275"/>
    </row>
    <row r="468" spans="1:10">
      <c r="A468" s="273">
        <v>155</v>
      </c>
      <c r="B468" s="274">
        <v>47</v>
      </c>
      <c r="C468" s="278" t="s">
        <v>131</v>
      </c>
      <c r="D468" s="275" t="s">
        <v>446</v>
      </c>
      <c r="E468" s="275" t="s">
        <v>447</v>
      </c>
      <c r="F468" s="275"/>
      <c r="G468" s="275"/>
      <c r="H468" s="275"/>
      <c r="I468" s="275"/>
      <c r="J468" s="275"/>
    </row>
    <row r="469" spans="1:10">
      <c r="A469" s="273"/>
      <c r="B469" s="274"/>
      <c r="C469" s="278"/>
      <c r="D469" s="275">
        <v>1.0309999999999999</v>
      </c>
      <c r="E469" s="275">
        <v>1.044</v>
      </c>
      <c r="F469" s="275"/>
      <c r="G469" s="275"/>
      <c r="H469" s="275"/>
      <c r="I469" s="275"/>
      <c r="J469" s="275"/>
    </row>
    <row r="470" spans="1:10">
      <c r="A470" s="273"/>
      <c r="B470" s="274"/>
      <c r="C470" s="278"/>
      <c r="D470" s="275"/>
      <c r="E470" s="275"/>
      <c r="F470" s="275"/>
      <c r="G470" s="275"/>
      <c r="H470" s="275"/>
      <c r="I470" s="275"/>
      <c r="J470" s="275"/>
    </row>
    <row r="471" spans="1:10">
      <c r="A471" s="273">
        <v>156</v>
      </c>
      <c r="B471" s="274">
        <v>47</v>
      </c>
      <c r="C471" s="278" t="s">
        <v>132</v>
      </c>
      <c r="D471" s="275" t="s">
        <v>446</v>
      </c>
      <c r="E471" s="275" t="s">
        <v>447</v>
      </c>
      <c r="F471" s="275"/>
      <c r="G471" s="275"/>
      <c r="H471" s="275"/>
      <c r="I471" s="275"/>
      <c r="J471" s="275"/>
    </row>
    <row r="472" spans="1:10">
      <c r="A472" s="273"/>
      <c r="B472" s="274"/>
      <c r="C472" s="278"/>
      <c r="D472" s="275">
        <v>1.0189999999999999</v>
      </c>
      <c r="E472" s="275">
        <v>1.03</v>
      </c>
      <c r="F472" s="275"/>
      <c r="G472" s="275"/>
      <c r="H472" s="275"/>
      <c r="I472" s="275"/>
      <c r="J472" s="275"/>
    </row>
    <row r="473" spans="1:10">
      <c r="A473" s="273"/>
      <c r="B473" s="274"/>
      <c r="C473" s="278"/>
      <c r="D473" s="275"/>
      <c r="E473" s="275"/>
      <c r="F473" s="275"/>
      <c r="G473" s="275"/>
      <c r="H473" s="275"/>
      <c r="I473" s="275"/>
      <c r="J473" s="275"/>
    </row>
    <row r="474" spans="1:10">
      <c r="A474" s="273">
        <v>157</v>
      </c>
      <c r="B474" s="274">
        <v>47</v>
      </c>
      <c r="C474" s="278" t="s">
        <v>133</v>
      </c>
      <c r="D474" s="275" t="s">
        <v>446</v>
      </c>
      <c r="E474" s="275" t="s">
        <v>447</v>
      </c>
      <c r="F474" s="275"/>
      <c r="G474" s="275"/>
      <c r="H474" s="275"/>
      <c r="I474" s="275"/>
      <c r="J474" s="275"/>
    </row>
    <row r="475" spans="1:10">
      <c r="A475" s="273"/>
      <c r="B475" s="274"/>
      <c r="C475" s="278"/>
      <c r="D475" s="275">
        <v>1.0049999999999999</v>
      </c>
      <c r="E475" s="275">
        <v>1.016</v>
      </c>
      <c r="F475" s="275"/>
      <c r="G475" s="275"/>
      <c r="H475" s="275"/>
      <c r="I475" s="275"/>
      <c r="J475" s="275"/>
    </row>
    <row r="476" spans="1:10">
      <c r="A476" s="273"/>
      <c r="B476" s="274"/>
      <c r="C476" s="278"/>
      <c r="D476" s="275"/>
      <c r="E476" s="275"/>
      <c r="F476" s="275"/>
      <c r="G476" s="275"/>
      <c r="H476" s="275"/>
      <c r="I476" s="275"/>
      <c r="J476" s="275"/>
    </row>
    <row r="477" spans="1:10">
      <c r="A477" s="273">
        <v>158</v>
      </c>
      <c r="B477" s="274">
        <v>48</v>
      </c>
      <c r="C477" s="278" t="s">
        <v>350</v>
      </c>
      <c r="D477" s="275" t="s">
        <v>446</v>
      </c>
      <c r="E477" s="275" t="s">
        <v>447</v>
      </c>
      <c r="F477" s="275"/>
      <c r="G477" s="275"/>
      <c r="H477" s="275"/>
      <c r="I477" s="275"/>
      <c r="J477" s="275"/>
    </row>
    <row r="478" spans="1:10">
      <c r="A478" s="273"/>
      <c r="B478" s="274"/>
      <c r="C478" s="278"/>
      <c r="D478" s="275">
        <v>0.97499999999999998</v>
      </c>
      <c r="E478" s="275">
        <v>0.98599999999999999</v>
      </c>
      <c r="F478" s="275"/>
      <c r="G478" s="275"/>
      <c r="H478" s="275"/>
      <c r="I478" s="275"/>
      <c r="J478" s="275"/>
    </row>
    <row r="479" spans="1:10">
      <c r="A479" s="273"/>
      <c r="B479" s="274"/>
      <c r="C479" s="278"/>
      <c r="D479" s="275"/>
      <c r="E479" s="275"/>
      <c r="F479" s="275"/>
      <c r="G479" s="275"/>
      <c r="H479" s="275"/>
      <c r="I479" s="275"/>
      <c r="J479" s="275"/>
    </row>
    <row r="480" spans="1:10">
      <c r="A480" s="273">
        <v>159</v>
      </c>
      <c r="B480" s="274">
        <v>49</v>
      </c>
      <c r="C480" s="278" t="s">
        <v>134</v>
      </c>
      <c r="D480" s="275" t="s">
        <v>446</v>
      </c>
      <c r="E480" s="275" t="s">
        <v>447</v>
      </c>
      <c r="F480" s="275" t="s">
        <v>448</v>
      </c>
      <c r="G480" s="275"/>
      <c r="H480" s="275"/>
      <c r="I480" s="275"/>
      <c r="J480" s="275"/>
    </row>
    <row r="481" spans="1:10">
      <c r="A481" s="273"/>
      <c r="B481" s="274"/>
      <c r="C481" s="278"/>
      <c r="D481" s="275">
        <v>0.92600000000000005</v>
      </c>
      <c r="E481" s="275">
        <v>0.93700000000000006</v>
      </c>
      <c r="F481" s="275">
        <v>2.1829999999999998</v>
      </c>
      <c r="G481" s="275"/>
      <c r="H481" s="275"/>
      <c r="I481" s="275"/>
      <c r="J481" s="275"/>
    </row>
    <row r="482" spans="1:10">
      <c r="A482" s="273"/>
      <c r="B482" s="274"/>
      <c r="C482" s="278"/>
      <c r="D482" s="275"/>
      <c r="E482" s="275"/>
      <c r="F482" s="275"/>
      <c r="G482" s="275"/>
      <c r="H482" s="275"/>
      <c r="I482" s="275"/>
      <c r="J482" s="275"/>
    </row>
    <row r="483" spans="1:10">
      <c r="A483" s="273">
        <v>160</v>
      </c>
      <c r="B483" s="274">
        <v>49</v>
      </c>
      <c r="C483" s="278" t="s">
        <v>135</v>
      </c>
      <c r="D483" s="275" t="s">
        <v>446</v>
      </c>
      <c r="E483" s="275" t="s">
        <v>447</v>
      </c>
      <c r="F483" s="275" t="s">
        <v>448</v>
      </c>
      <c r="G483" s="275"/>
      <c r="H483" s="275"/>
      <c r="I483" s="275"/>
      <c r="J483" s="275"/>
    </row>
    <row r="484" spans="1:10">
      <c r="A484" s="273"/>
      <c r="B484" s="274"/>
      <c r="C484" s="278"/>
      <c r="D484" s="275">
        <v>0.92500000000000004</v>
      </c>
      <c r="E484" s="275">
        <v>0.93600000000000005</v>
      </c>
      <c r="F484" s="275">
        <v>2.113</v>
      </c>
      <c r="G484" s="275"/>
      <c r="H484" s="275"/>
      <c r="I484" s="275"/>
      <c r="J484" s="275"/>
    </row>
    <row r="485" spans="1:10">
      <c r="A485" s="273"/>
      <c r="B485" s="274"/>
      <c r="C485" s="278"/>
      <c r="D485" s="275"/>
      <c r="E485" s="275"/>
      <c r="F485" s="275"/>
      <c r="G485" s="275"/>
      <c r="H485" s="275"/>
      <c r="I485" s="275"/>
      <c r="J485" s="275"/>
    </row>
    <row r="486" spans="1:10">
      <c r="A486" s="273">
        <v>161</v>
      </c>
      <c r="B486" s="274">
        <v>49</v>
      </c>
      <c r="C486" s="278" t="s">
        <v>136</v>
      </c>
      <c r="D486" s="275" t="s">
        <v>446</v>
      </c>
      <c r="E486" s="275" t="s">
        <v>447</v>
      </c>
      <c r="F486" s="275"/>
      <c r="G486" s="275"/>
      <c r="H486" s="275"/>
      <c r="I486" s="275"/>
      <c r="J486" s="275"/>
    </row>
    <row r="487" spans="1:10">
      <c r="A487" s="273"/>
      <c r="B487" s="274"/>
      <c r="C487" s="278"/>
      <c r="D487" s="275">
        <v>0.92400000000000004</v>
      </c>
      <c r="E487" s="275">
        <v>0.93500000000000005</v>
      </c>
      <c r="F487" s="275"/>
      <c r="G487" s="275"/>
      <c r="H487" s="275"/>
      <c r="I487" s="275"/>
      <c r="J487" s="275"/>
    </row>
    <row r="488" spans="1:10">
      <c r="A488" s="273"/>
      <c r="B488" s="274"/>
      <c r="C488" s="278"/>
      <c r="D488" s="275"/>
      <c r="E488" s="275"/>
      <c r="F488" s="275"/>
      <c r="G488" s="275"/>
      <c r="H488" s="275"/>
      <c r="I488" s="275"/>
      <c r="J488" s="275"/>
    </row>
    <row r="489" spans="1:10">
      <c r="A489" s="273">
        <v>162</v>
      </c>
      <c r="B489" s="274">
        <v>50</v>
      </c>
      <c r="C489" s="278" t="s">
        <v>351</v>
      </c>
      <c r="D489" s="275" t="s">
        <v>446</v>
      </c>
      <c r="E489" s="275" t="s">
        <v>447</v>
      </c>
      <c r="F489" s="275" t="s">
        <v>448</v>
      </c>
      <c r="G489" s="275"/>
      <c r="H489" s="275"/>
      <c r="I489" s="275"/>
      <c r="J489" s="275"/>
    </row>
    <row r="490" spans="1:10">
      <c r="A490" s="273"/>
      <c r="B490" s="274"/>
      <c r="C490" s="278"/>
      <c r="D490" s="275">
        <v>0.88200000000000001</v>
      </c>
      <c r="E490" s="275">
        <v>0.89200000000000002</v>
      </c>
      <c r="F490" s="275">
        <v>1.992</v>
      </c>
      <c r="G490" s="275"/>
      <c r="H490" s="275"/>
      <c r="I490" s="275"/>
      <c r="J490" s="275"/>
    </row>
    <row r="491" spans="1:10">
      <c r="A491" s="273"/>
      <c r="B491" s="274"/>
      <c r="C491" s="278"/>
      <c r="D491" s="275"/>
      <c r="E491" s="275"/>
      <c r="F491" s="275"/>
      <c r="G491" s="275"/>
      <c r="H491" s="275"/>
      <c r="I491" s="275"/>
      <c r="J491" s="275"/>
    </row>
    <row r="492" spans="1:10">
      <c r="A492" s="273">
        <v>163</v>
      </c>
      <c r="B492" s="274">
        <v>50</v>
      </c>
      <c r="C492" s="278" t="s">
        <v>352</v>
      </c>
      <c r="D492" s="275" t="s">
        <v>446</v>
      </c>
      <c r="E492" s="275" t="s">
        <v>447</v>
      </c>
      <c r="F492" s="275"/>
      <c r="G492" s="275"/>
      <c r="H492" s="275"/>
      <c r="I492" s="275"/>
      <c r="J492" s="275"/>
    </row>
    <row r="493" spans="1:10">
      <c r="A493" s="273"/>
      <c r="B493" s="274"/>
      <c r="C493" s="278"/>
      <c r="D493" s="275">
        <v>0.879</v>
      </c>
      <c r="E493" s="275">
        <v>0.88900000000000001</v>
      </c>
      <c r="F493" s="275"/>
      <c r="G493" s="275"/>
      <c r="H493" s="275"/>
      <c r="I493" s="275"/>
      <c r="J493" s="275"/>
    </row>
    <row r="494" spans="1:10">
      <c r="A494" s="273"/>
      <c r="B494" s="274"/>
      <c r="C494" s="278"/>
      <c r="D494" s="275"/>
      <c r="E494" s="275"/>
      <c r="F494" s="275"/>
      <c r="G494" s="275"/>
      <c r="H494" s="275"/>
      <c r="I494" s="275"/>
      <c r="J494" s="275"/>
    </row>
    <row r="495" spans="1:10">
      <c r="A495" s="273">
        <v>164</v>
      </c>
      <c r="B495" s="274">
        <v>51</v>
      </c>
      <c r="C495" s="278" t="s">
        <v>353</v>
      </c>
      <c r="D495" s="275" t="s">
        <v>446</v>
      </c>
      <c r="E495" s="275" t="s">
        <v>447</v>
      </c>
      <c r="F495" s="275" t="s">
        <v>448</v>
      </c>
      <c r="G495" s="275"/>
      <c r="H495" s="275"/>
      <c r="I495" s="275"/>
      <c r="J495" s="275"/>
    </row>
    <row r="496" spans="1:10">
      <c r="A496" s="273"/>
      <c r="B496" s="274"/>
      <c r="C496" s="278"/>
      <c r="D496" s="275">
        <v>0.84099999999999997</v>
      </c>
      <c r="E496" s="275">
        <v>0.85099999999999998</v>
      </c>
      <c r="F496" s="275">
        <v>1.8460000000000001</v>
      </c>
      <c r="G496" s="275"/>
      <c r="H496" s="275"/>
      <c r="I496" s="275"/>
      <c r="J496" s="275"/>
    </row>
    <row r="497" spans="1:10">
      <c r="A497" s="273"/>
      <c r="B497" s="274"/>
      <c r="C497" s="278"/>
      <c r="D497" s="275"/>
      <c r="E497" s="275"/>
      <c r="F497" s="275"/>
      <c r="G497" s="275"/>
      <c r="H497" s="275"/>
      <c r="I497" s="275"/>
      <c r="J497" s="275"/>
    </row>
    <row r="498" spans="1:10">
      <c r="A498" s="273">
        <v>165</v>
      </c>
      <c r="B498" s="274">
        <v>51</v>
      </c>
      <c r="C498" s="278" t="s">
        <v>354</v>
      </c>
      <c r="D498" s="275" t="s">
        <v>446</v>
      </c>
      <c r="E498" s="275" t="s">
        <v>447</v>
      </c>
      <c r="F498" s="275"/>
      <c r="G498" s="275"/>
      <c r="H498" s="275"/>
      <c r="I498" s="275"/>
      <c r="J498" s="275"/>
    </row>
    <row r="499" spans="1:10">
      <c r="A499" s="273"/>
      <c r="B499" s="274"/>
      <c r="C499" s="278"/>
      <c r="D499" s="275">
        <v>0.83899999999999997</v>
      </c>
      <c r="E499" s="275">
        <v>0.84799999999999998</v>
      </c>
      <c r="F499" s="275"/>
      <c r="G499" s="275"/>
      <c r="H499" s="275"/>
      <c r="I499" s="275"/>
      <c r="J499" s="275"/>
    </row>
    <row r="500" spans="1:10">
      <c r="A500" s="273"/>
      <c r="B500" s="274"/>
      <c r="C500" s="278"/>
      <c r="D500" s="275"/>
      <c r="E500" s="275"/>
      <c r="F500" s="275"/>
      <c r="G500" s="275"/>
      <c r="H500" s="275"/>
      <c r="I500" s="275"/>
      <c r="J500" s="275"/>
    </row>
    <row r="501" spans="1:10">
      <c r="A501" s="273">
        <v>166</v>
      </c>
      <c r="B501" s="274">
        <v>52</v>
      </c>
      <c r="C501" s="278" t="s">
        <v>355</v>
      </c>
      <c r="D501" s="275" t="s">
        <v>446</v>
      </c>
      <c r="E501" s="275" t="s">
        <v>447</v>
      </c>
      <c r="F501" s="275" t="s">
        <v>448</v>
      </c>
      <c r="G501" s="275" t="s">
        <v>449</v>
      </c>
      <c r="H501" s="275" t="s">
        <v>450</v>
      </c>
      <c r="I501" s="275"/>
      <c r="J501" s="275"/>
    </row>
    <row r="502" spans="1:10">
      <c r="A502" s="273"/>
      <c r="B502" s="274"/>
      <c r="C502" s="278"/>
      <c r="D502" s="275">
        <v>0.80600000000000005</v>
      </c>
      <c r="E502" s="275">
        <v>0.81499999999999995</v>
      </c>
      <c r="F502" s="275">
        <v>1.778</v>
      </c>
      <c r="G502" s="275">
        <v>2.0190000000000001</v>
      </c>
      <c r="H502" s="275">
        <v>2.0859999999999999</v>
      </c>
      <c r="I502" s="275"/>
      <c r="J502" s="275"/>
    </row>
    <row r="503" spans="1:10">
      <c r="A503" s="273"/>
      <c r="B503" s="274"/>
      <c r="C503" s="278"/>
      <c r="D503" s="275"/>
      <c r="E503" s="275"/>
      <c r="F503" s="275"/>
      <c r="G503" s="275"/>
      <c r="H503" s="275"/>
      <c r="I503" s="275"/>
      <c r="J503" s="275"/>
    </row>
    <row r="504" spans="1:10">
      <c r="A504" s="273">
        <v>167</v>
      </c>
      <c r="B504" s="274">
        <v>52</v>
      </c>
      <c r="C504" s="278" t="s">
        <v>356</v>
      </c>
      <c r="D504" s="275" t="s">
        <v>446</v>
      </c>
      <c r="E504" s="275" t="s">
        <v>447</v>
      </c>
      <c r="F504" s="275" t="s">
        <v>448</v>
      </c>
      <c r="G504" s="275"/>
      <c r="H504" s="275"/>
      <c r="I504" s="275"/>
      <c r="J504" s="275"/>
    </row>
    <row r="505" spans="1:10">
      <c r="A505" s="273"/>
      <c r="B505" s="274"/>
      <c r="C505" s="278"/>
      <c r="D505" s="275">
        <v>0.80500000000000005</v>
      </c>
      <c r="E505" s="275">
        <v>0.81399999999999995</v>
      </c>
      <c r="F505" s="275">
        <v>1.7270000000000001</v>
      </c>
      <c r="G505" s="275"/>
      <c r="H505" s="275"/>
      <c r="I505" s="275"/>
      <c r="J505" s="275"/>
    </row>
    <row r="506" spans="1:10">
      <c r="A506" s="273"/>
      <c r="B506" s="274"/>
      <c r="C506" s="278"/>
      <c r="D506" s="275"/>
      <c r="E506" s="275"/>
      <c r="F506" s="275"/>
      <c r="G506" s="275"/>
      <c r="H506" s="275"/>
      <c r="I506" s="275"/>
      <c r="J506" s="275"/>
    </row>
    <row r="507" spans="1:10">
      <c r="A507" s="273">
        <v>168</v>
      </c>
      <c r="B507" s="274">
        <v>52</v>
      </c>
      <c r="C507" s="278" t="s">
        <v>137</v>
      </c>
      <c r="D507" s="275" t="s">
        <v>446</v>
      </c>
      <c r="E507" s="275" t="s">
        <v>447</v>
      </c>
      <c r="F507" s="275" t="s">
        <v>448</v>
      </c>
      <c r="G507" s="275"/>
      <c r="H507" s="275"/>
      <c r="I507" s="275"/>
      <c r="J507" s="275"/>
    </row>
    <row r="508" spans="1:10">
      <c r="A508" s="273"/>
      <c r="B508" s="274"/>
      <c r="C508" s="278"/>
      <c r="D508" s="275">
        <v>0.80400000000000005</v>
      </c>
      <c r="E508" s="275">
        <v>0.81299999999999994</v>
      </c>
      <c r="F508" s="275">
        <v>1.698</v>
      </c>
      <c r="G508" s="275"/>
      <c r="H508" s="275"/>
      <c r="I508" s="275"/>
      <c r="J508" s="275"/>
    </row>
    <row r="509" spans="1:10">
      <c r="A509" s="273"/>
      <c r="B509" s="274"/>
      <c r="C509" s="278"/>
      <c r="D509" s="275"/>
      <c r="E509" s="275"/>
      <c r="F509" s="275"/>
      <c r="G509" s="275"/>
      <c r="H509" s="275"/>
      <c r="I509" s="275"/>
      <c r="J509" s="275"/>
    </row>
    <row r="510" spans="1:10">
      <c r="A510" s="273">
        <v>169</v>
      </c>
      <c r="B510" s="274">
        <v>52</v>
      </c>
      <c r="C510" s="278" t="s">
        <v>138</v>
      </c>
      <c r="D510" s="275" t="s">
        <v>446</v>
      </c>
      <c r="E510" s="275" t="s">
        <v>447</v>
      </c>
      <c r="F510" s="275"/>
      <c r="G510" s="275"/>
      <c r="H510" s="275"/>
      <c r="I510" s="275"/>
      <c r="J510" s="275"/>
    </row>
    <row r="511" spans="1:10">
      <c r="A511" s="273"/>
      <c r="B511" s="274"/>
      <c r="C511" s="278"/>
      <c r="D511" s="275">
        <v>0.80200000000000005</v>
      </c>
      <c r="E511" s="275">
        <v>0.81100000000000005</v>
      </c>
      <c r="F511" s="275"/>
      <c r="G511" s="275"/>
      <c r="H511" s="275"/>
      <c r="I511" s="275"/>
      <c r="J511" s="275"/>
    </row>
    <row r="512" spans="1:10">
      <c r="A512" s="273"/>
      <c r="B512" s="274"/>
      <c r="C512" s="278"/>
      <c r="D512" s="275"/>
      <c r="E512" s="275"/>
      <c r="F512" s="275"/>
      <c r="G512" s="275"/>
      <c r="H512" s="275"/>
      <c r="I512" s="275"/>
      <c r="J512" s="275"/>
    </row>
    <row r="513" spans="1:10">
      <c r="A513" s="273">
        <v>170</v>
      </c>
      <c r="B513" s="274">
        <v>53</v>
      </c>
      <c r="C513" s="278" t="s">
        <v>139</v>
      </c>
      <c r="D513" s="275" t="s">
        <v>446</v>
      </c>
      <c r="E513" s="275" t="s">
        <v>447</v>
      </c>
      <c r="F513" s="275" t="s">
        <v>448</v>
      </c>
      <c r="G513" s="275" t="s">
        <v>449</v>
      </c>
      <c r="H513" s="275" t="s">
        <v>450</v>
      </c>
      <c r="I513" s="275"/>
      <c r="J513" s="275"/>
    </row>
    <row r="514" spans="1:10">
      <c r="A514" s="273"/>
      <c r="B514" s="274"/>
      <c r="C514" s="278"/>
      <c r="D514" s="275">
        <v>0.77400000000000002</v>
      </c>
      <c r="E514" s="275">
        <v>0.78300000000000003</v>
      </c>
      <c r="F514" s="275">
        <v>1.712</v>
      </c>
      <c r="G514" s="275">
        <v>1.9410000000000001</v>
      </c>
      <c r="H514" s="275">
        <v>2.0139999999999998</v>
      </c>
      <c r="I514" s="275"/>
      <c r="J514" s="275"/>
    </row>
    <row r="515" spans="1:10">
      <c r="A515" s="273"/>
      <c r="B515" s="274"/>
      <c r="C515" s="278"/>
      <c r="D515" s="275"/>
      <c r="E515" s="275"/>
      <c r="F515" s="275"/>
      <c r="G515" s="275"/>
      <c r="H515" s="275"/>
      <c r="I515" s="275"/>
      <c r="J515" s="275"/>
    </row>
    <row r="516" spans="1:10">
      <c r="A516" s="273">
        <v>171</v>
      </c>
      <c r="B516" s="274">
        <v>53</v>
      </c>
      <c r="C516" s="278" t="s">
        <v>357</v>
      </c>
      <c r="D516" s="275" t="s">
        <v>446</v>
      </c>
      <c r="E516" s="275" t="s">
        <v>447</v>
      </c>
      <c r="F516" s="275" t="s">
        <v>448</v>
      </c>
      <c r="G516" s="275" t="s">
        <v>449</v>
      </c>
      <c r="H516" s="275" t="s">
        <v>450</v>
      </c>
      <c r="I516" s="275"/>
      <c r="J516" s="275"/>
    </row>
    <row r="517" spans="1:10">
      <c r="A517" s="273"/>
      <c r="B517" s="274"/>
      <c r="C517" s="278"/>
      <c r="D517" s="275">
        <v>0.77300000000000002</v>
      </c>
      <c r="E517" s="275">
        <v>0.78200000000000003</v>
      </c>
      <c r="F517" s="275">
        <v>1.671</v>
      </c>
      <c r="G517" s="275">
        <v>1.861</v>
      </c>
      <c r="H517" s="275">
        <v>1.921</v>
      </c>
      <c r="I517" s="275"/>
      <c r="J517" s="275"/>
    </row>
    <row r="518" spans="1:10">
      <c r="A518" s="273"/>
      <c r="B518" s="274"/>
      <c r="C518" s="278"/>
      <c r="D518" s="275"/>
      <c r="E518" s="275"/>
      <c r="F518" s="275"/>
      <c r="G518" s="275"/>
      <c r="H518" s="275"/>
      <c r="I518" s="275"/>
      <c r="J518" s="275"/>
    </row>
    <row r="519" spans="1:10">
      <c r="A519" s="273">
        <v>172</v>
      </c>
      <c r="B519" s="274">
        <v>53</v>
      </c>
      <c r="C519" s="278" t="s">
        <v>358</v>
      </c>
      <c r="D519" s="275" t="s">
        <v>446</v>
      </c>
      <c r="E519" s="275" t="s">
        <v>447</v>
      </c>
      <c r="F519" s="275" t="s">
        <v>448</v>
      </c>
      <c r="G519" s="275"/>
      <c r="H519" s="275"/>
      <c r="I519" s="275"/>
      <c r="J519" s="275"/>
    </row>
    <row r="520" spans="1:10">
      <c r="A520" s="273"/>
      <c r="B520" s="274"/>
      <c r="C520" s="278"/>
      <c r="D520" s="275">
        <v>0.77200000000000002</v>
      </c>
      <c r="E520" s="275">
        <v>0.78</v>
      </c>
      <c r="F520" s="275">
        <v>1.627</v>
      </c>
      <c r="G520" s="275"/>
      <c r="H520" s="275"/>
      <c r="I520" s="275"/>
      <c r="J520" s="275"/>
    </row>
    <row r="521" spans="1:10">
      <c r="A521" s="273"/>
      <c r="B521" s="274"/>
      <c r="C521" s="278"/>
      <c r="D521" s="275"/>
      <c r="E521" s="275"/>
      <c r="F521" s="275"/>
      <c r="G521" s="275"/>
      <c r="H521" s="275"/>
      <c r="I521" s="275"/>
      <c r="J521" s="275"/>
    </row>
    <row r="522" spans="1:10">
      <c r="A522" s="273">
        <v>173</v>
      </c>
      <c r="B522" s="274">
        <v>53</v>
      </c>
      <c r="C522" s="278" t="s">
        <v>359</v>
      </c>
      <c r="D522" s="275" t="s">
        <v>446</v>
      </c>
      <c r="E522" s="275" t="s">
        <v>447</v>
      </c>
      <c r="F522" s="275"/>
      <c r="G522" s="275"/>
      <c r="H522" s="275"/>
      <c r="I522" s="275"/>
      <c r="J522" s="275"/>
    </row>
    <row r="523" spans="1:10">
      <c r="A523" s="273"/>
      <c r="B523" s="274"/>
      <c r="C523" s="278"/>
      <c r="D523" s="275">
        <v>0.76900000000000002</v>
      </c>
      <c r="E523" s="275">
        <v>0.77700000000000002</v>
      </c>
      <c r="F523" s="275"/>
      <c r="G523" s="275"/>
      <c r="H523" s="275"/>
      <c r="I523" s="275"/>
      <c r="J523" s="275"/>
    </row>
    <row r="524" spans="1:10">
      <c r="A524" s="273"/>
      <c r="B524" s="274"/>
      <c r="C524" s="278"/>
      <c r="D524" s="275"/>
      <c r="E524" s="275"/>
      <c r="F524" s="275"/>
      <c r="G524" s="275"/>
      <c r="H524" s="275"/>
      <c r="I524" s="275"/>
      <c r="J524" s="275"/>
    </row>
    <row r="525" spans="1:10">
      <c r="A525" s="273">
        <v>174</v>
      </c>
      <c r="B525" s="274">
        <v>53</v>
      </c>
      <c r="C525" s="278" t="s">
        <v>360</v>
      </c>
      <c r="D525" s="275" t="s">
        <v>446</v>
      </c>
      <c r="E525" s="275" t="s">
        <v>447</v>
      </c>
      <c r="F525" s="275" t="s">
        <v>448</v>
      </c>
      <c r="G525" s="275" t="s">
        <v>449</v>
      </c>
      <c r="H525" s="275" t="s">
        <v>450</v>
      </c>
      <c r="I525" s="275"/>
      <c r="J525" s="275"/>
    </row>
    <row r="526" spans="1:10">
      <c r="A526" s="273"/>
      <c r="B526" s="274"/>
      <c r="C526" s="278"/>
      <c r="D526" s="275">
        <v>0.77400000000000002</v>
      </c>
      <c r="E526" s="275">
        <v>0.78300000000000003</v>
      </c>
      <c r="F526" s="275">
        <v>1.7430000000000001</v>
      </c>
      <c r="G526" s="275">
        <v>2.0169999999999999</v>
      </c>
      <c r="H526" s="275">
        <v>2.113</v>
      </c>
      <c r="I526" s="275"/>
      <c r="J526" s="275"/>
    </row>
    <row r="527" spans="1:10">
      <c r="A527" s="273"/>
      <c r="B527" s="274"/>
      <c r="C527" s="278"/>
      <c r="D527" s="275"/>
      <c r="E527" s="275"/>
      <c r="F527" s="275"/>
      <c r="G527" s="275"/>
      <c r="H527" s="275"/>
      <c r="I527" s="275"/>
      <c r="J527" s="275"/>
    </row>
    <row r="528" spans="1:10">
      <c r="A528" s="273">
        <v>175</v>
      </c>
      <c r="B528" s="274">
        <v>54</v>
      </c>
      <c r="C528" s="278" t="s">
        <v>361</v>
      </c>
      <c r="D528" s="275" t="s">
        <v>446</v>
      </c>
      <c r="E528" s="275" t="s">
        <v>447</v>
      </c>
      <c r="F528" s="275" t="s">
        <v>448</v>
      </c>
      <c r="G528" s="275" t="s">
        <v>449</v>
      </c>
      <c r="H528" s="275" t="s">
        <v>450</v>
      </c>
      <c r="I528" s="275"/>
      <c r="J528" s="275"/>
    </row>
    <row r="529" spans="1:10">
      <c r="A529" s="273"/>
      <c r="B529" s="274"/>
      <c r="C529" s="278"/>
      <c r="D529" s="275">
        <v>0.74399999999999999</v>
      </c>
      <c r="E529" s="275">
        <v>0.753</v>
      </c>
      <c r="F529" s="275">
        <v>1.615</v>
      </c>
      <c r="G529" s="275">
        <v>1.7969999999999999</v>
      </c>
      <c r="H529" s="275">
        <v>1.8620000000000001</v>
      </c>
      <c r="I529" s="275"/>
      <c r="J529" s="275"/>
    </row>
    <row r="530" spans="1:10">
      <c r="A530" s="273"/>
      <c r="B530" s="274"/>
      <c r="C530" s="278"/>
      <c r="D530" s="275"/>
      <c r="E530" s="275"/>
      <c r="F530" s="275"/>
      <c r="G530" s="275"/>
      <c r="H530" s="275"/>
      <c r="I530" s="275"/>
      <c r="J530" s="275"/>
    </row>
    <row r="531" spans="1:10">
      <c r="A531" s="273">
        <v>176</v>
      </c>
      <c r="B531" s="274">
        <v>54</v>
      </c>
      <c r="C531" s="278" t="s">
        <v>362</v>
      </c>
      <c r="D531" s="275" t="s">
        <v>446</v>
      </c>
      <c r="E531" s="275" t="s">
        <v>447</v>
      </c>
      <c r="F531" s="275" t="s">
        <v>448</v>
      </c>
      <c r="G531" s="275" t="s">
        <v>449</v>
      </c>
      <c r="H531" s="275" t="s">
        <v>450</v>
      </c>
      <c r="I531" s="275"/>
      <c r="J531" s="275"/>
    </row>
    <row r="532" spans="1:10">
      <c r="A532" s="273"/>
      <c r="B532" s="274"/>
      <c r="C532" s="278"/>
      <c r="D532" s="275">
        <v>0.74299999999999999</v>
      </c>
      <c r="E532" s="275">
        <v>0.752</v>
      </c>
      <c r="F532" s="275">
        <v>1.5780000000000001</v>
      </c>
      <c r="G532" s="275">
        <v>1.734</v>
      </c>
      <c r="H532" s="275">
        <v>1.79</v>
      </c>
      <c r="I532" s="275"/>
      <c r="J532" s="275"/>
    </row>
    <row r="533" spans="1:10">
      <c r="A533" s="273"/>
      <c r="B533" s="274"/>
      <c r="C533" s="278"/>
      <c r="D533" s="275"/>
      <c r="E533" s="275"/>
      <c r="F533" s="275"/>
      <c r="G533" s="275"/>
      <c r="H533" s="275"/>
      <c r="I533" s="275"/>
      <c r="J533" s="275"/>
    </row>
    <row r="534" spans="1:10">
      <c r="A534" s="273">
        <v>177</v>
      </c>
      <c r="B534" s="274">
        <v>54</v>
      </c>
      <c r="C534" s="278" t="s">
        <v>363</v>
      </c>
      <c r="D534" s="275" t="s">
        <v>446</v>
      </c>
      <c r="E534" s="275" t="s">
        <v>447</v>
      </c>
      <c r="F534" s="275" t="s">
        <v>448</v>
      </c>
      <c r="G534" s="275"/>
      <c r="H534" s="275"/>
      <c r="I534" s="275"/>
      <c r="J534" s="275"/>
    </row>
    <row r="535" spans="1:10">
      <c r="A535" s="273"/>
      <c r="B535" s="274"/>
      <c r="C535" s="278"/>
      <c r="D535" s="275">
        <v>0.74099999999999999</v>
      </c>
      <c r="E535" s="275">
        <v>0.75</v>
      </c>
      <c r="F535" s="275">
        <v>1.542</v>
      </c>
      <c r="G535" s="275"/>
      <c r="H535" s="275"/>
      <c r="I535" s="275"/>
      <c r="J535" s="275"/>
    </row>
    <row r="536" spans="1:10">
      <c r="A536" s="273"/>
      <c r="B536" s="274"/>
      <c r="C536" s="278"/>
      <c r="D536" s="275"/>
      <c r="E536" s="275"/>
      <c r="F536" s="275"/>
      <c r="G536" s="275"/>
      <c r="H536" s="275"/>
      <c r="I536" s="275"/>
      <c r="J536" s="275"/>
    </row>
    <row r="537" spans="1:10">
      <c r="A537" s="273">
        <v>178</v>
      </c>
      <c r="B537" s="274">
        <v>54</v>
      </c>
      <c r="C537" s="278" t="s">
        <v>364</v>
      </c>
      <c r="D537" s="275" t="s">
        <v>446</v>
      </c>
      <c r="E537" s="275" t="s">
        <v>447</v>
      </c>
      <c r="F537" s="275"/>
      <c r="G537" s="275"/>
      <c r="H537" s="275"/>
      <c r="I537" s="275"/>
      <c r="J537" s="275"/>
    </row>
    <row r="538" spans="1:10">
      <c r="A538" s="273"/>
      <c r="B538" s="274"/>
      <c r="C538" s="278"/>
      <c r="D538" s="275">
        <v>0.73899999999999999</v>
      </c>
      <c r="E538" s="275">
        <v>0.747</v>
      </c>
      <c r="F538" s="275"/>
      <c r="G538" s="275"/>
      <c r="H538" s="275"/>
      <c r="I538" s="275"/>
      <c r="J538" s="275"/>
    </row>
    <row r="539" spans="1:10">
      <c r="A539" s="273"/>
      <c r="B539" s="274"/>
      <c r="C539" s="278"/>
      <c r="D539" s="275"/>
      <c r="E539" s="275"/>
      <c r="F539" s="275"/>
      <c r="G539" s="275"/>
      <c r="H539" s="275"/>
      <c r="I539" s="275"/>
      <c r="J539" s="275"/>
    </row>
    <row r="540" spans="1:10">
      <c r="A540" s="273">
        <v>179</v>
      </c>
      <c r="B540" s="274">
        <v>55</v>
      </c>
      <c r="C540" s="278" t="s">
        <v>140</v>
      </c>
      <c r="D540" s="275" t="s">
        <v>446</v>
      </c>
      <c r="E540" s="275" t="s">
        <v>447</v>
      </c>
      <c r="F540" s="275" t="s">
        <v>448</v>
      </c>
      <c r="G540" s="275" t="s">
        <v>449</v>
      </c>
      <c r="H540" s="275" t="s">
        <v>450</v>
      </c>
      <c r="I540" s="275"/>
      <c r="J540" s="275"/>
    </row>
    <row r="541" spans="1:10">
      <c r="A541" s="273"/>
      <c r="B541" s="274"/>
      <c r="C541" s="278"/>
      <c r="D541" s="275">
        <v>0.71699999999999997</v>
      </c>
      <c r="E541" s="275">
        <v>0.72499999999999998</v>
      </c>
      <c r="F541" s="275">
        <v>1.56</v>
      </c>
      <c r="G541" s="275">
        <v>1.734</v>
      </c>
      <c r="H541" s="275">
        <v>1.804</v>
      </c>
      <c r="I541" s="275"/>
      <c r="J541" s="275"/>
    </row>
    <row r="542" spans="1:10">
      <c r="A542" s="273"/>
      <c r="B542" s="274"/>
      <c r="C542" s="278"/>
      <c r="D542" s="275"/>
      <c r="E542" s="275"/>
      <c r="F542" s="275"/>
      <c r="G542" s="275"/>
      <c r="H542" s="275"/>
      <c r="I542" s="275"/>
      <c r="J542" s="275"/>
    </row>
    <row r="543" spans="1:10">
      <c r="A543" s="273">
        <v>180</v>
      </c>
      <c r="B543" s="274">
        <v>56</v>
      </c>
      <c r="C543" s="278" t="s">
        <v>365</v>
      </c>
      <c r="D543" s="275" t="s">
        <v>446</v>
      </c>
      <c r="E543" s="275" t="s">
        <v>447</v>
      </c>
      <c r="F543" s="275" t="s">
        <v>448</v>
      </c>
      <c r="G543" s="275" t="s">
        <v>449</v>
      </c>
      <c r="H543" s="275" t="s">
        <v>450</v>
      </c>
      <c r="I543" s="275"/>
      <c r="J543" s="275"/>
    </row>
    <row r="544" spans="1:10">
      <c r="A544" s="273"/>
      <c r="B544" s="274"/>
      <c r="C544" s="278"/>
      <c r="D544" s="275">
        <v>0.69199999999999995</v>
      </c>
      <c r="E544" s="275">
        <v>0.7</v>
      </c>
      <c r="F544" s="275">
        <v>1.4830000000000001</v>
      </c>
      <c r="G544" s="275">
        <v>1.627</v>
      </c>
      <c r="H544" s="275">
        <v>1.69</v>
      </c>
      <c r="I544" s="275"/>
      <c r="J544" s="275"/>
    </row>
    <row r="545" spans="1:10">
      <c r="A545" s="273"/>
      <c r="B545" s="274"/>
      <c r="C545" s="278"/>
      <c r="D545" s="275"/>
      <c r="E545" s="275"/>
      <c r="F545" s="275"/>
      <c r="G545" s="275"/>
      <c r="H545" s="275"/>
      <c r="I545" s="275"/>
      <c r="J545" s="275"/>
    </row>
    <row r="546" spans="1:10">
      <c r="A546" s="273">
        <v>181</v>
      </c>
      <c r="B546" s="274">
        <v>57</v>
      </c>
      <c r="C546" s="278" t="s">
        <v>366</v>
      </c>
      <c r="D546" s="275" t="s">
        <v>453</v>
      </c>
      <c r="E546" s="275" t="s">
        <v>454</v>
      </c>
      <c r="F546" s="275"/>
      <c r="G546" s="275"/>
      <c r="H546" s="275"/>
      <c r="I546" s="275"/>
      <c r="J546" s="275"/>
    </row>
    <row r="547" spans="1:10">
      <c r="A547" s="273"/>
      <c r="B547" s="274"/>
      <c r="C547" s="278"/>
      <c r="D547" s="275">
        <v>2.1520000000000001</v>
      </c>
      <c r="E547" s="275">
        <v>2.1840000000000002</v>
      </c>
      <c r="F547" s="275"/>
      <c r="G547" s="275"/>
      <c r="H547" s="275"/>
      <c r="I547" s="275"/>
      <c r="J547" s="275"/>
    </row>
    <row r="548" spans="1:10">
      <c r="A548" s="273"/>
      <c r="B548" s="274"/>
      <c r="C548" s="278"/>
      <c r="D548" s="275"/>
      <c r="E548" s="275"/>
      <c r="F548" s="275"/>
      <c r="G548" s="275"/>
      <c r="H548" s="275"/>
      <c r="I548" s="275"/>
      <c r="J548" s="275"/>
    </row>
    <row r="549" spans="1:10">
      <c r="A549" s="273">
        <v>182</v>
      </c>
      <c r="B549" s="274">
        <v>57</v>
      </c>
      <c r="C549" s="278" t="s">
        <v>141</v>
      </c>
      <c r="D549" s="275" t="s">
        <v>446</v>
      </c>
      <c r="E549" s="275" t="s">
        <v>447</v>
      </c>
      <c r="F549" s="275" t="s">
        <v>448</v>
      </c>
      <c r="G549" s="275" t="s">
        <v>449</v>
      </c>
      <c r="H549" s="275" t="s">
        <v>450</v>
      </c>
      <c r="I549" s="275"/>
      <c r="J549" s="275"/>
    </row>
    <row r="550" spans="1:10">
      <c r="A550" s="273"/>
      <c r="B550" s="274"/>
      <c r="C550" s="278"/>
      <c r="D550" s="275">
        <v>0.66800000000000004</v>
      </c>
      <c r="E550" s="275">
        <v>0.67600000000000005</v>
      </c>
      <c r="F550" s="275">
        <v>1.4139999999999999</v>
      </c>
      <c r="G550" s="275">
        <v>1.536</v>
      </c>
      <c r="H550" s="275">
        <v>1.5940000000000001</v>
      </c>
      <c r="I550" s="275"/>
      <c r="J550" s="275"/>
    </row>
    <row r="551" spans="1:10">
      <c r="A551" s="273"/>
      <c r="B551" s="274"/>
      <c r="C551" s="278"/>
      <c r="D551" s="275"/>
      <c r="E551" s="275"/>
      <c r="F551" s="275"/>
      <c r="G551" s="275"/>
      <c r="H551" s="275"/>
      <c r="I551" s="275"/>
      <c r="J551" s="275"/>
    </row>
    <row r="552" spans="1:10">
      <c r="A552" s="273">
        <v>183</v>
      </c>
      <c r="B552" s="274">
        <v>58</v>
      </c>
      <c r="C552" s="278" t="s">
        <v>367</v>
      </c>
      <c r="D552" s="275" t="s">
        <v>451</v>
      </c>
      <c r="E552" s="275" t="s">
        <v>452</v>
      </c>
      <c r="F552" s="275"/>
      <c r="G552" s="275"/>
      <c r="H552" s="275"/>
      <c r="I552" s="275"/>
      <c r="J552" s="275"/>
    </row>
    <row r="553" spans="1:10">
      <c r="A553" s="273"/>
      <c r="B553" s="274"/>
      <c r="C553" s="278"/>
      <c r="D553" s="275">
        <v>0.73299999999999998</v>
      </c>
      <c r="E553" s="275">
        <v>0.73899999999999999</v>
      </c>
      <c r="F553" s="275"/>
      <c r="G553" s="275"/>
      <c r="H553" s="275"/>
      <c r="I553" s="275"/>
      <c r="J553" s="275"/>
    </row>
    <row r="554" spans="1:10">
      <c r="A554" s="273"/>
      <c r="B554" s="274"/>
      <c r="C554" s="278"/>
      <c r="D554" s="275"/>
      <c r="E554" s="275"/>
      <c r="F554" s="275"/>
      <c r="G554" s="275"/>
      <c r="H554" s="275"/>
      <c r="I554" s="275"/>
      <c r="J554" s="275"/>
    </row>
    <row r="555" spans="1:10">
      <c r="A555" s="273">
        <v>184</v>
      </c>
      <c r="B555" s="274">
        <v>58</v>
      </c>
      <c r="C555" s="278" t="s">
        <v>142</v>
      </c>
      <c r="D555" s="275" t="s">
        <v>451</v>
      </c>
      <c r="E555" s="275" t="s">
        <v>452</v>
      </c>
      <c r="F555" s="275"/>
      <c r="G555" s="275"/>
      <c r="H555" s="275"/>
      <c r="I555" s="275"/>
      <c r="J555" s="275"/>
    </row>
    <row r="556" spans="1:10">
      <c r="A556" s="273"/>
      <c r="B556" s="274"/>
      <c r="C556" s="278"/>
      <c r="D556" s="275">
        <v>0.71</v>
      </c>
      <c r="E556" s="275">
        <v>0.71499999999999997</v>
      </c>
      <c r="F556" s="275"/>
      <c r="G556" s="275"/>
      <c r="H556" s="275"/>
      <c r="I556" s="275"/>
      <c r="J556" s="275"/>
    </row>
    <row r="557" spans="1:10">
      <c r="A557" s="273"/>
      <c r="B557" s="274"/>
      <c r="C557" s="278"/>
      <c r="D557" s="275"/>
      <c r="E557" s="275"/>
      <c r="F557" s="275"/>
      <c r="G557" s="275"/>
      <c r="H557" s="275"/>
      <c r="I557" s="275"/>
      <c r="J557" s="275"/>
    </row>
    <row r="558" spans="1:10">
      <c r="A558" s="273">
        <v>185</v>
      </c>
      <c r="B558" s="274">
        <v>58</v>
      </c>
      <c r="C558" s="278" t="s">
        <v>143</v>
      </c>
      <c r="D558" s="275" t="s">
        <v>446</v>
      </c>
      <c r="E558" s="275" t="s">
        <v>447</v>
      </c>
      <c r="F558" s="275" t="s">
        <v>448</v>
      </c>
      <c r="G558" s="275" t="s">
        <v>449</v>
      </c>
      <c r="H558" s="275" t="s">
        <v>450</v>
      </c>
      <c r="I558" s="275"/>
      <c r="J558" s="275"/>
    </row>
    <row r="559" spans="1:10">
      <c r="A559" s="273"/>
      <c r="B559" s="274"/>
      <c r="C559" s="278"/>
      <c r="D559" s="275">
        <v>0.64600000000000002</v>
      </c>
      <c r="E559" s="275">
        <v>0.65400000000000003</v>
      </c>
      <c r="F559" s="275">
        <v>1.3520000000000001</v>
      </c>
      <c r="G559" s="275">
        <v>1.4570000000000001</v>
      </c>
      <c r="H559" s="275">
        <v>1.512</v>
      </c>
      <c r="I559" s="275"/>
      <c r="J559" s="275"/>
    </row>
    <row r="560" spans="1:10">
      <c r="A560" s="273"/>
      <c r="B560" s="274"/>
      <c r="C560" s="278"/>
      <c r="D560" s="275"/>
      <c r="E560" s="275"/>
      <c r="F560" s="275"/>
      <c r="G560" s="275"/>
      <c r="H560" s="275"/>
      <c r="I560" s="275"/>
      <c r="J560" s="275"/>
    </row>
    <row r="561" spans="1:10">
      <c r="A561" s="273">
        <v>186</v>
      </c>
      <c r="B561" s="274">
        <v>59</v>
      </c>
      <c r="C561" s="278" t="s">
        <v>368</v>
      </c>
      <c r="D561" s="275" t="s">
        <v>451</v>
      </c>
      <c r="E561" s="275" t="s">
        <v>452</v>
      </c>
      <c r="F561" s="275"/>
      <c r="G561" s="275"/>
      <c r="H561" s="275"/>
      <c r="I561" s="275"/>
      <c r="J561" s="275"/>
    </row>
    <row r="562" spans="1:10">
      <c r="A562" s="273"/>
      <c r="B562" s="274"/>
      <c r="C562" s="278"/>
      <c r="D562" s="275">
        <v>0.69799999999999995</v>
      </c>
      <c r="E562" s="275">
        <v>0.70399999999999996</v>
      </c>
      <c r="F562" s="275"/>
      <c r="G562" s="275"/>
      <c r="H562" s="275"/>
      <c r="I562" s="275"/>
      <c r="J562" s="275"/>
    </row>
    <row r="563" spans="1:10">
      <c r="A563" s="273"/>
      <c r="B563" s="274"/>
      <c r="C563" s="278"/>
      <c r="D563" s="275"/>
      <c r="E563" s="275"/>
      <c r="F563" s="275"/>
      <c r="G563" s="275"/>
      <c r="H563" s="275"/>
      <c r="I563" s="275"/>
      <c r="J563" s="275"/>
    </row>
    <row r="564" spans="1:10">
      <c r="A564" s="273">
        <v>187</v>
      </c>
      <c r="B564" s="274">
        <v>59</v>
      </c>
      <c r="C564" s="278" t="s">
        <v>144</v>
      </c>
      <c r="D564" s="275" t="s">
        <v>451</v>
      </c>
      <c r="E564" s="275" t="s">
        <v>452</v>
      </c>
      <c r="F564" s="275"/>
      <c r="G564" s="275"/>
      <c r="H564" s="275"/>
      <c r="I564" s="275"/>
      <c r="J564" s="275"/>
    </row>
    <row r="565" spans="1:10">
      <c r="A565" s="273"/>
      <c r="B565" s="274"/>
      <c r="C565" s="278"/>
      <c r="D565" s="275">
        <v>0.68</v>
      </c>
      <c r="E565" s="275">
        <v>0.68500000000000005</v>
      </c>
      <c r="F565" s="275"/>
      <c r="G565" s="275"/>
      <c r="H565" s="275"/>
      <c r="I565" s="275"/>
      <c r="J565" s="275"/>
    </row>
    <row r="566" spans="1:10">
      <c r="A566" s="273"/>
      <c r="B566" s="274"/>
      <c r="C566" s="278"/>
      <c r="D566" s="275"/>
      <c r="E566" s="275"/>
      <c r="F566" s="275"/>
      <c r="G566" s="275"/>
      <c r="H566" s="275"/>
      <c r="I566" s="275"/>
      <c r="J566" s="275"/>
    </row>
    <row r="567" spans="1:10">
      <c r="A567" s="273">
        <v>188</v>
      </c>
      <c r="B567" s="274">
        <v>59</v>
      </c>
      <c r="C567" s="278" t="s">
        <v>145</v>
      </c>
      <c r="D567" s="275" t="s">
        <v>451</v>
      </c>
      <c r="E567" s="275" t="s">
        <v>452</v>
      </c>
      <c r="F567" s="275"/>
      <c r="G567" s="275"/>
      <c r="H567" s="275"/>
      <c r="I567" s="275"/>
      <c r="J567" s="275"/>
    </row>
    <row r="568" spans="1:10">
      <c r="A568" s="273"/>
      <c r="B568" s="274"/>
      <c r="C568" s="278"/>
      <c r="D568" s="275">
        <v>0.66200000000000003</v>
      </c>
      <c r="E568" s="275">
        <v>0.66600000000000004</v>
      </c>
      <c r="F568" s="275"/>
      <c r="G568" s="275"/>
      <c r="H568" s="275"/>
      <c r="I568" s="275"/>
      <c r="J568" s="275"/>
    </row>
    <row r="569" spans="1:10">
      <c r="A569" s="273"/>
      <c r="B569" s="274"/>
      <c r="C569" s="278"/>
      <c r="D569" s="275"/>
      <c r="E569" s="275"/>
      <c r="F569" s="275"/>
      <c r="G569" s="275"/>
      <c r="H569" s="275"/>
      <c r="I569" s="275"/>
      <c r="J569" s="275"/>
    </row>
    <row r="570" spans="1:10">
      <c r="A570" s="273">
        <v>189</v>
      </c>
      <c r="B570" s="274">
        <v>60</v>
      </c>
      <c r="C570" s="278" t="s">
        <v>369</v>
      </c>
      <c r="D570" s="275" t="s">
        <v>451</v>
      </c>
      <c r="E570" s="275" t="s">
        <v>452</v>
      </c>
      <c r="F570" s="275"/>
      <c r="G570" s="275"/>
      <c r="H570" s="275"/>
      <c r="I570" s="275"/>
      <c r="J570" s="275"/>
    </row>
    <row r="571" spans="1:10">
      <c r="A571" s="273"/>
      <c r="B571" s="274"/>
      <c r="C571" s="278"/>
      <c r="D571" s="275">
        <v>0.66800000000000004</v>
      </c>
      <c r="E571" s="275">
        <v>0.67400000000000004</v>
      </c>
      <c r="F571" s="275"/>
      <c r="G571" s="275"/>
      <c r="H571" s="275"/>
      <c r="I571" s="275"/>
      <c r="J571" s="275"/>
    </row>
    <row r="572" spans="1:10">
      <c r="A572" s="273"/>
      <c r="B572" s="274"/>
      <c r="C572" s="278"/>
      <c r="D572" s="275"/>
      <c r="E572" s="275"/>
      <c r="F572" s="275"/>
      <c r="G572" s="275"/>
      <c r="H572" s="275"/>
      <c r="I572" s="275"/>
      <c r="J572" s="275"/>
    </row>
    <row r="573" spans="1:10">
      <c r="A573" s="273">
        <v>190</v>
      </c>
      <c r="B573" s="274">
        <v>60</v>
      </c>
      <c r="C573" s="278" t="s">
        <v>146</v>
      </c>
      <c r="D573" s="275" t="s">
        <v>451</v>
      </c>
      <c r="E573" s="275" t="s">
        <v>452</v>
      </c>
      <c r="F573" s="275"/>
      <c r="G573" s="275"/>
      <c r="H573" s="275"/>
      <c r="I573" s="275"/>
      <c r="J573" s="275"/>
    </row>
    <row r="574" spans="1:10">
      <c r="A574" s="273"/>
      <c r="B574" s="274"/>
      <c r="C574" s="278"/>
      <c r="D574" s="275">
        <v>0.65300000000000002</v>
      </c>
      <c r="E574" s="275">
        <v>0.65800000000000003</v>
      </c>
      <c r="F574" s="275"/>
      <c r="G574" s="275"/>
      <c r="H574" s="275"/>
      <c r="I574" s="275"/>
      <c r="J574" s="275"/>
    </row>
    <row r="575" spans="1:10">
      <c r="A575" s="273"/>
      <c r="B575" s="274"/>
      <c r="C575" s="278"/>
      <c r="D575" s="275"/>
      <c r="E575" s="275"/>
      <c r="F575" s="275"/>
      <c r="G575" s="275"/>
      <c r="H575" s="275"/>
      <c r="I575" s="275"/>
      <c r="J575" s="275"/>
    </row>
    <row r="576" spans="1:10">
      <c r="A576" s="273">
        <v>191</v>
      </c>
      <c r="B576" s="274">
        <v>61</v>
      </c>
      <c r="C576" s="278" t="s">
        <v>370</v>
      </c>
      <c r="D576" s="275" t="s">
        <v>451</v>
      </c>
      <c r="E576" s="275" t="s">
        <v>452</v>
      </c>
      <c r="F576" s="275"/>
      <c r="G576" s="275"/>
      <c r="H576" s="275"/>
      <c r="I576" s="275"/>
      <c r="J576" s="275"/>
    </row>
    <row r="577" spans="1:10">
      <c r="A577" s="273"/>
      <c r="B577" s="274"/>
      <c r="C577" s="278"/>
      <c r="D577" s="275">
        <v>0.629</v>
      </c>
      <c r="E577" s="275">
        <v>0.63400000000000001</v>
      </c>
      <c r="F577" s="275"/>
      <c r="G577" s="275"/>
      <c r="H577" s="275"/>
      <c r="I577" s="275"/>
      <c r="J577" s="275"/>
    </row>
    <row r="578" spans="1:10">
      <c r="A578" s="273"/>
      <c r="B578" s="274"/>
      <c r="C578" s="278"/>
      <c r="D578" s="275"/>
      <c r="E578" s="275"/>
      <c r="F578" s="275"/>
      <c r="G578" s="275"/>
      <c r="H578" s="275"/>
      <c r="I578" s="275"/>
      <c r="J578" s="275"/>
    </row>
    <row r="579" spans="1:10">
      <c r="A579" s="273">
        <v>192</v>
      </c>
      <c r="B579" s="274">
        <v>62</v>
      </c>
      <c r="C579" s="278" t="s">
        <v>371</v>
      </c>
      <c r="D579" s="275" t="s">
        <v>451</v>
      </c>
      <c r="E579" s="275" t="s">
        <v>452</v>
      </c>
      <c r="F579" s="275"/>
      <c r="G579" s="275"/>
      <c r="H579" s="275"/>
      <c r="I579" s="275"/>
      <c r="J579" s="275"/>
    </row>
    <row r="580" spans="1:10">
      <c r="A580" s="273"/>
      <c r="B580" s="274"/>
      <c r="C580" s="278"/>
      <c r="D580" s="275">
        <v>0.61799999999999999</v>
      </c>
      <c r="E580" s="275">
        <v>0.623</v>
      </c>
      <c r="F580" s="275"/>
      <c r="G580" s="275"/>
      <c r="H580" s="275"/>
      <c r="I580" s="275"/>
      <c r="J580" s="275"/>
    </row>
    <row r="581" spans="1:10">
      <c r="A581" s="273"/>
      <c r="B581" s="274"/>
      <c r="C581" s="278"/>
      <c r="D581" s="275"/>
      <c r="E581" s="275"/>
      <c r="F581" s="275"/>
      <c r="G581" s="275"/>
      <c r="H581" s="275"/>
      <c r="I581" s="275"/>
      <c r="J581" s="275"/>
    </row>
    <row r="582" spans="1:10">
      <c r="A582" s="273">
        <v>193</v>
      </c>
      <c r="B582" s="274">
        <v>62</v>
      </c>
      <c r="C582" s="278" t="s">
        <v>147</v>
      </c>
      <c r="D582" s="275" t="s">
        <v>451</v>
      </c>
      <c r="E582" s="275" t="s">
        <v>452</v>
      </c>
      <c r="F582" s="275"/>
      <c r="G582" s="275"/>
      <c r="H582" s="275"/>
      <c r="I582" s="275"/>
      <c r="J582" s="275"/>
    </row>
    <row r="583" spans="1:10">
      <c r="A583" s="273"/>
      <c r="B583" s="274"/>
      <c r="C583" s="278"/>
      <c r="D583" s="275">
        <v>0.60799999999999998</v>
      </c>
      <c r="E583" s="275">
        <v>0.61199999999999999</v>
      </c>
      <c r="F583" s="275"/>
      <c r="G583" s="275"/>
      <c r="H583" s="275"/>
      <c r="I583" s="275"/>
      <c r="J583" s="275"/>
    </row>
    <row r="584" spans="1:10">
      <c r="A584" s="273"/>
      <c r="B584" s="274"/>
      <c r="C584" s="278"/>
      <c r="D584" s="275"/>
      <c r="E584" s="275"/>
      <c r="F584" s="275"/>
      <c r="G584" s="275"/>
      <c r="H584" s="275"/>
      <c r="I584" s="275"/>
      <c r="J584" s="275"/>
    </row>
    <row r="585" spans="1:10">
      <c r="A585" s="273">
        <v>194</v>
      </c>
      <c r="B585" s="274">
        <v>63</v>
      </c>
      <c r="C585" s="278" t="s">
        <v>372</v>
      </c>
      <c r="D585" s="275" t="s">
        <v>451</v>
      </c>
      <c r="E585" s="275" t="s">
        <v>452</v>
      </c>
      <c r="F585" s="275"/>
      <c r="G585" s="275"/>
      <c r="H585" s="275"/>
      <c r="I585" s="275"/>
      <c r="J585" s="275"/>
    </row>
    <row r="586" spans="1:10">
      <c r="A586" s="273"/>
      <c r="B586" s="274"/>
      <c r="C586" s="278"/>
      <c r="D586" s="275">
        <v>0.59699999999999998</v>
      </c>
      <c r="E586" s="275">
        <v>0.60199999999999998</v>
      </c>
      <c r="F586" s="275"/>
      <c r="G586" s="275"/>
      <c r="H586" s="275"/>
      <c r="I586" s="275"/>
      <c r="J586" s="275"/>
    </row>
    <row r="587" spans="1:10">
      <c r="A587" s="273"/>
      <c r="B587" s="274"/>
      <c r="C587" s="278"/>
      <c r="D587" s="275"/>
      <c r="E587" s="275"/>
      <c r="F587" s="275"/>
      <c r="G587" s="275"/>
      <c r="H587" s="275"/>
      <c r="I587" s="275"/>
      <c r="J587" s="275"/>
    </row>
    <row r="588" spans="1:10">
      <c r="A588" s="273">
        <v>195</v>
      </c>
      <c r="B588" s="274">
        <v>63</v>
      </c>
      <c r="C588" s="278" t="s">
        <v>148</v>
      </c>
      <c r="D588" s="275" t="s">
        <v>451</v>
      </c>
      <c r="E588" s="275" t="s">
        <v>452</v>
      </c>
      <c r="F588" s="275"/>
      <c r="G588" s="275"/>
      <c r="H588" s="275"/>
      <c r="I588" s="275"/>
      <c r="J588" s="275"/>
    </row>
    <row r="589" spans="1:10">
      <c r="A589" s="273"/>
      <c r="B589" s="274"/>
      <c r="C589" s="278"/>
      <c r="D589" s="275">
        <v>0.58799999999999997</v>
      </c>
      <c r="E589" s="275">
        <v>0.59299999999999997</v>
      </c>
      <c r="F589" s="275"/>
      <c r="G589" s="275"/>
      <c r="H589" s="275"/>
      <c r="I589" s="275"/>
      <c r="J589" s="275"/>
    </row>
    <row r="590" spans="1:10">
      <c r="A590" s="273"/>
      <c r="B590" s="274"/>
      <c r="C590" s="278"/>
      <c r="D590" s="275"/>
      <c r="E590" s="275"/>
      <c r="F590" s="275"/>
      <c r="G590" s="275"/>
      <c r="H590" s="275"/>
      <c r="I590" s="275"/>
      <c r="J590" s="275"/>
    </row>
    <row r="591" spans="1:10">
      <c r="A591" s="273">
        <v>196</v>
      </c>
      <c r="B591" s="274">
        <v>64</v>
      </c>
      <c r="C591" s="278" t="s">
        <v>149</v>
      </c>
      <c r="D591" s="275" t="s">
        <v>451</v>
      </c>
      <c r="E591" s="275" t="s">
        <v>452</v>
      </c>
      <c r="F591" s="275" t="s">
        <v>453</v>
      </c>
      <c r="G591" s="275" t="s">
        <v>454</v>
      </c>
      <c r="H591" s="275" t="s">
        <v>455</v>
      </c>
      <c r="I591" s="275"/>
      <c r="J591" s="275"/>
    </row>
    <row r="592" spans="1:10">
      <c r="A592" s="273"/>
      <c r="B592" s="274"/>
      <c r="C592" s="278"/>
      <c r="D592" s="275">
        <v>0.56899999999999995</v>
      </c>
      <c r="E592" s="275">
        <v>0.57499999999999996</v>
      </c>
      <c r="F592" s="275">
        <v>1.9330000000000001</v>
      </c>
      <c r="G592" s="275">
        <v>1.978</v>
      </c>
      <c r="H592" s="275">
        <v>3.3809999999999998</v>
      </c>
      <c r="I592" s="275"/>
      <c r="J592" s="275"/>
    </row>
    <row r="593" spans="1:10">
      <c r="A593" s="273"/>
      <c r="B593" s="274"/>
      <c r="C593" s="278"/>
      <c r="D593" s="275"/>
      <c r="E593" s="275"/>
      <c r="F593" s="275"/>
      <c r="G593" s="275"/>
      <c r="H593" s="275"/>
      <c r="I593" s="275"/>
      <c r="J593" s="275"/>
    </row>
    <row r="594" spans="1:10">
      <c r="A594" s="273">
        <v>197</v>
      </c>
      <c r="B594" s="274">
        <v>64</v>
      </c>
      <c r="C594" s="278" t="s">
        <v>150</v>
      </c>
      <c r="D594" s="275" t="s">
        <v>451</v>
      </c>
      <c r="E594" s="275" t="s">
        <v>452</v>
      </c>
      <c r="F594" s="275" t="s">
        <v>453</v>
      </c>
      <c r="G594" s="275" t="s">
        <v>454</v>
      </c>
      <c r="H594" s="275"/>
      <c r="I594" s="275"/>
      <c r="J594" s="275"/>
    </row>
    <row r="595" spans="1:10">
      <c r="A595" s="273"/>
      <c r="B595" s="274"/>
      <c r="C595" s="278"/>
      <c r="D595" s="275">
        <v>0.56899999999999995</v>
      </c>
      <c r="E595" s="275">
        <v>0.57499999999999996</v>
      </c>
      <c r="F595" s="275">
        <v>1.8959999999999999</v>
      </c>
      <c r="G595" s="275">
        <v>1.9370000000000001</v>
      </c>
      <c r="H595" s="275"/>
      <c r="I595" s="275"/>
      <c r="J595" s="275"/>
    </row>
    <row r="596" spans="1:10">
      <c r="A596" s="273"/>
      <c r="B596" s="274"/>
      <c r="C596" s="278"/>
      <c r="D596" s="275"/>
      <c r="E596" s="275"/>
      <c r="F596" s="275"/>
      <c r="G596" s="275"/>
      <c r="H596" s="275"/>
      <c r="I596" s="275"/>
      <c r="J596" s="275"/>
    </row>
    <row r="597" spans="1:10">
      <c r="A597" s="273">
        <v>198</v>
      </c>
      <c r="B597" s="274">
        <v>64</v>
      </c>
      <c r="C597" s="278" t="s">
        <v>151</v>
      </c>
      <c r="D597" s="275" t="s">
        <v>451</v>
      </c>
      <c r="E597" s="275" t="s">
        <v>452</v>
      </c>
      <c r="F597" s="275"/>
      <c r="G597" s="275"/>
      <c r="H597" s="275"/>
      <c r="I597" s="275"/>
      <c r="J597" s="275"/>
    </row>
    <row r="598" spans="1:10">
      <c r="A598" s="273"/>
      <c r="B598" s="274"/>
      <c r="C598" s="278"/>
      <c r="D598" s="275">
        <v>0.56899999999999995</v>
      </c>
      <c r="E598" s="275">
        <v>0.57399999999999995</v>
      </c>
      <c r="F598" s="275"/>
      <c r="G598" s="275"/>
      <c r="H598" s="275"/>
      <c r="I598" s="275"/>
      <c r="J598" s="275"/>
    </row>
    <row r="599" spans="1:10">
      <c r="A599" s="273"/>
      <c r="B599" s="274"/>
      <c r="C599" s="278"/>
      <c r="D599" s="275"/>
      <c r="E599" s="275"/>
      <c r="F599" s="275"/>
      <c r="G599" s="275"/>
      <c r="H599" s="275"/>
      <c r="I599" s="275"/>
      <c r="J599" s="275"/>
    </row>
    <row r="600" spans="1:10">
      <c r="A600" s="273">
        <v>199</v>
      </c>
      <c r="B600" s="274">
        <v>65</v>
      </c>
      <c r="C600" s="278" t="s">
        <v>152</v>
      </c>
      <c r="D600" s="275" t="s">
        <v>451</v>
      </c>
      <c r="E600" s="275" t="s">
        <v>452</v>
      </c>
      <c r="F600" s="275" t="s">
        <v>455</v>
      </c>
      <c r="G600" s="275"/>
      <c r="H600" s="275"/>
      <c r="I600" s="275"/>
      <c r="J600" s="275"/>
    </row>
    <row r="601" spans="1:10">
      <c r="A601" s="273"/>
      <c r="B601" s="274"/>
      <c r="C601" s="278"/>
      <c r="D601" s="275">
        <v>0.55900000000000005</v>
      </c>
      <c r="E601" s="275">
        <v>0.56499999999999995</v>
      </c>
      <c r="F601" s="275">
        <v>3.4889999999999999</v>
      </c>
      <c r="G601" s="275"/>
      <c r="H601" s="275"/>
      <c r="I601" s="275"/>
      <c r="J601" s="275"/>
    </row>
    <row r="602" spans="1:10">
      <c r="A602" s="273"/>
      <c r="B602" s="274"/>
      <c r="C602" s="278"/>
      <c r="D602" s="275"/>
      <c r="E602" s="275"/>
      <c r="F602" s="275"/>
      <c r="G602" s="275"/>
      <c r="H602" s="275"/>
      <c r="I602" s="275"/>
      <c r="J602" s="275"/>
    </row>
    <row r="603" spans="1:10">
      <c r="A603" s="273">
        <v>200</v>
      </c>
      <c r="B603" s="274">
        <v>65</v>
      </c>
      <c r="C603" s="278" t="s">
        <v>373</v>
      </c>
      <c r="D603" s="275" t="s">
        <v>451</v>
      </c>
      <c r="E603" s="275" t="s">
        <v>452</v>
      </c>
      <c r="F603" s="275"/>
      <c r="G603" s="275"/>
      <c r="H603" s="275"/>
      <c r="I603" s="275"/>
      <c r="J603" s="275"/>
    </row>
    <row r="604" spans="1:10">
      <c r="A604" s="273"/>
      <c r="B604" s="274"/>
      <c r="C604" s="278"/>
      <c r="D604" s="275">
        <v>0.55200000000000005</v>
      </c>
      <c r="E604" s="275">
        <v>0.55700000000000005</v>
      </c>
      <c r="F604" s="275"/>
      <c r="G604" s="275"/>
      <c r="H604" s="275"/>
      <c r="I604" s="275"/>
      <c r="J604" s="275"/>
    </row>
    <row r="605" spans="1:10">
      <c r="A605" s="273"/>
      <c r="B605" s="274"/>
      <c r="C605" s="278"/>
      <c r="D605" s="275"/>
      <c r="E605" s="275"/>
      <c r="F605" s="275"/>
      <c r="G605" s="275"/>
      <c r="H605" s="275"/>
      <c r="I605" s="275"/>
      <c r="J605" s="275"/>
    </row>
    <row r="606" spans="1:10">
      <c r="A606" s="273">
        <v>201</v>
      </c>
      <c r="B606" s="274">
        <v>65</v>
      </c>
      <c r="C606" s="278" t="s">
        <v>153</v>
      </c>
      <c r="D606" s="275" t="s">
        <v>451</v>
      </c>
      <c r="E606" s="275" t="s">
        <v>452</v>
      </c>
      <c r="F606" s="275"/>
      <c r="G606" s="275"/>
      <c r="H606" s="275"/>
      <c r="I606" s="275"/>
      <c r="J606" s="275"/>
    </row>
    <row r="607" spans="1:10">
      <c r="A607" s="273"/>
      <c r="B607" s="274"/>
      <c r="C607" s="278"/>
      <c r="D607" s="275">
        <v>0.54500000000000004</v>
      </c>
      <c r="E607" s="275">
        <v>0.54900000000000004</v>
      </c>
      <c r="F607" s="275"/>
      <c r="G607" s="275"/>
      <c r="H607" s="275"/>
      <c r="I607" s="275"/>
      <c r="J607" s="275"/>
    </row>
    <row r="608" spans="1:10">
      <c r="A608" s="273"/>
      <c r="B608" s="274"/>
      <c r="C608" s="278"/>
      <c r="D608" s="275"/>
      <c r="E608" s="275"/>
      <c r="F608" s="275"/>
      <c r="G608" s="275"/>
      <c r="H608" s="275"/>
      <c r="I608" s="275"/>
      <c r="J608" s="275"/>
    </row>
    <row r="609" spans="1:10">
      <c r="A609" s="273">
        <v>202</v>
      </c>
      <c r="B609" s="274">
        <v>66</v>
      </c>
      <c r="C609" s="278" t="s">
        <v>374</v>
      </c>
      <c r="D609" s="275" t="s">
        <v>451</v>
      </c>
      <c r="E609" s="275" t="s">
        <v>452</v>
      </c>
      <c r="F609" s="275"/>
      <c r="G609" s="275"/>
      <c r="H609" s="275"/>
      <c r="I609" s="275"/>
      <c r="J609" s="275"/>
    </row>
    <row r="610" spans="1:10">
      <c r="A610" s="273"/>
      <c r="B610" s="274"/>
      <c r="C610" s="278"/>
      <c r="D610" s="275">
        <v>0.54200000000000004</v>
      </c>
      <c r="E610" s="275">
        <v>0.54800000000000004</v>
      </c>
      <c r="F610" s="275"/>
      <c r="G610" s="275"/>
      <c r="H610" s="275"/>
      <c r="I610" s="275"/>
      <c r="J610" s="275"/>
    </row>
    <row r="611" spans="1:10">
      <c r="A611" s="273"/>
      <c r="B611" s="274"/>
      <c r="C611" s="278"/>
      <c r="D611" s="275"/>
      <c r="E611" s="275"/>
      <c r="F611" s="275"/>
      <c r="G611" s="275"/>
      <c r="H611" s="275"/>
      <c r="I611" s="275"/>
      <c r="J611" s="275"/>
    </row>
    <row r="612" spans="1:10">
      <c r="A612" s="273">
        <v>203</v>
      </c>
      <c r="B612" s="274">
        <v>66</v>
      </c>
      <c r="C612" s="278" t="s">
        <v>154</v>
      </c>
      <c r="D612" s="275" t="s">
        <v>451</v>
      </c>
      <c r="E612" s="275" t="s">
        <v>452</v>
      </c>
      <c r="F612" s="275"/>
      <c r="G612" s="275"/>
      <c r="H612" s="275"/>
      <c r="I612" s="275"/>
      <c r="J612" s="275"/>
    </row>
    <row r="613" spans="1:10">
      <c r="A613" s="273"/>
      <c r="B613" s="274"/>
      <c r="C613" s="278"/>
      <c r="D613" s="275">
        <v>0.53600000000000003</v>
      </c>
      <c r="E613" s="275">
        <v>0.54200000000000004</v>
      </c>
      <c r="F613" s="275"/>
      <c r="G613" s="275"/>
      <c r="H613" s="275"/>
      <c r="I613" s="275"/>
      <c r="J613" s="275"/>
    </row>
    <row r="614" spans="1:10">
      <c r="A614" s="273"/>
      <c r="B614" s="274"/>
      <c r="C614" s="278"/>
      <c r="D614" s="275"/>
      <c r="E614" s="275"/>
      <c r="F614" s="275"/>
      <c r="G614" s="275"/>
      <c r="H614" s="275"/>
      <c r="I614" s="275"/>
      <c r="J614" s="275"/>
    </row>
    <row r="615" spans="1:10">
      <c r="A615" s="273">
        <v>204</v>
      </c>
      <c r="B615" s="274">
        <v>67</v>
      </c>
      <c r="C615" s="278" t="s">
        <v>375</v>
      </c>
      <c r="D615" s="275" t="s">
        <v>451</v>
      </c>
      <c r="E615" s="275" t="s">
        <v>452</v>
      </c>
      <c r="F615" s="275"/>
      <c r="G615" s="275"/>
      <c r="H615" s="275"/>
      <c r="I615" s="275"/>
      <c r="J615" s="275"/>
    </row>
    <row r="616" spans="1:10">
      <c r="A616" s="273"/>
      <c r="B616" s="274"/>
      <c r="C616" s="278"/>
      <c r="D616" s="275">
        <v>0.52100000000000002</v>
      </c>
      <c r="E616" s="275">
        <v>0.52700000000000002</v>
      </c>
      <c r="F616" s="275"/>
      <c r="G616" s="275"/>
      <c r="H616" s="275"/>
      <c r="I616" s="275"/>
      <c r="J616" s="275"/>
    </row>
    <row r="617" spans="1:10">
      <c r="A617" s="273"/>
      <c r="B617" s="274"/>
      <c r="C617" s="278"/>
      <c r="D617" s="275"/>
      <c r="E617" s="275"/>
      <c r="F617" s="275"/>
      <c r="G617" s="275"/>
      <c r="H617" s="275"/>
      <c r="I617" s="275"/>
      <c r="J617" s="275"/>
    </row>
    <row r="618" spans="1:10">
      <c r="A618" s="273">
        <v>205</v>
      </c>
      <c r="B618" s="274">
        <v>68</v>
      </c>
      <c r="C618" s="278" t="s">
        <v>376</v>
      </c>
      <c r="D618" s="275" t="s">
        <v>451</v>
      </c>
      <c r="E618" s="275" t="s">
        <v>452</v>
      </c>
      <c r="F618" s="275"/>
      <c r="G618" s="275"/>
      <c r="H618" s="275"/>
      <c r="I618" s="275"/>
      <c r="J618" s="275"/>
    </row>
    <row r="619" spans="1:10">
      <c r="A619" s="273"/>
      <c r="B619" s="274"/>
      <c r="C619" s="278"/>
      <c r="D619" s="275">
        <v>0.50800000000000001</v>
      </c>
      <c r="E619" s="275">
        <v>0.51300000000000001</v>
      </c>
      <c r="F619" s="275"/>
      <c r="G619" s="275"/>
      <c r="H619" s="275"/>
      <c r="I619" s="275"/>
      <c r="J619" s="275"/>
    </row>
    <row r="620" spans="1:10">
      <c r="A620" s="273"/>
      <c r="B620" s="274"/>
      <c r="C620" s="278"/>
      <c r="D620" s="275"/>
      <c r="E620" s="275"/>
      <c r="F620" s="275"/>
      <c r="G620" s="275"/>
      <c r="H620" s="275"/>
      <c r="I620" s="275"/>
      <c r="J620" s="275"/>
    </row>
    <row r="621" spans="1:10">
      <c r="A621" s="273">
        <v>206</v>
      </c>
      <c r="B621" s="274">
        <v>69</v>
      </c>
      <c r="C621" s="278" t="s">
        <v>377</v>
      </c>
      <c r="D621" s="275" t="s">
        <v>451</v>
      </c>
      <c r="E621" s="275" t="s">
        <v>452</v>
      </c>
      <c r="F621" s="275"/>
      <c r="G621" s="275"/>
      <c r="H621" s="275"/>
      <c r="I621" s="275"/>
      <c r="J621" s="275"/>
    </row>
    <row r="622" spans="1:10">
      <c r="A622" s="273"/>
      <c r="B622" s="274"/>
      <c r="C622" s="278"/>
      <c r="D622" s="275">
        <v>0.499</v>
      </c>
      <c r="E622" s="275">
        <v>0.505</v>
      </c>
      <c r="F622" s="275"/>
      <c r="G622" s="275"/>
      <c r="H622" s="275"/>
      <c r="I622" s="275"/>
      <c r="J622" s="275"/>
    </row>
    <row r="623" spans="1:10">
      <c r="A623" s="273"/>
      <c r="B623" s="274"/>
      <c r="C623" s="278"/>
      <c r="D623" s="275"/>
      <c r="E623" s="275"/>
      <c r="F623" s="275"/>
      <c r="G623" s="275"/>
      <c r="H623" s="275"/>
      <c r="I623" s="275"/>
      <c r="J623" s="275"/>
    </row>
    <row r="624" spans="1:10">
      <c r="A624" s="273">
        <v>207</v>
      </c>
      <c r="B624" s="274">
        <v>69</v>
      </c>
      <c r="C624" s="278" t="s">
        <v>155</v>
      </c>
      <c r="D624" s="275" t="s">
        <v>451</v>
      </c>
      <c r="E624" s="275" t="s">
        <v>452</v>
      </c>
      <c r="F624" s="275"/>
      <c r="G624" s="275"/>
      <c r="H624" s="275"/>
      <c r="I624" s="275"/>
      <c r="J624" s="275"/>
    </row>
    <row r="625" spans="1:10">
      <c r="A625" s="273"/>
      <c r="B625" s="274"/>
      <c r="C625" s="278"/>
      <c r="D625" s="275">
        <v>0.49399999999999999</v>
      </c>
      <c r="E625" s="275">
        <v>0.5</v>
      </c>
      <c r="F625" s="275"/>
      <c r="G625" s="275"/>
      <c r="H625" s="275"/>
      <c r="I625" s="275"/>
      <c r="J625" s="275"/>
    </row>
    <row r="626" spans="1:10">
      <c r="A626" s="273"/>
      <c r="B626" s="274"/>
      <c r="C626" s="278"/>
      <c r="D626" s="275"/>
      <c r="E626" s="275"/>
      <c r="F626" s="275"/>
      <c r="G626" s="275"/>
      <c r="H626" s="275"/>
      <c r="I626" s="275"/>
      <c r="J626" s="275"/>
    </row>
    <row r="627" spans="1:10">
      <c r="A627" s="273">
        <v>208</v>
      </c>
      <c r="B627" s="274">
        <v>70</v>
      </c>
      <c r="C627" s="278" t="s">
        <v>378</v>
      </c>
      <c r="D627" s="275" t="s">
        <v>451</v>
      </c>
      <c r="E627" s="275" t="s">
        <v>452</v>
      </c>
      <c r="F627" s="275"/>
      <c r="G627" s="275"/>
      <c r="H627" s="275"/>
      <c r="I627" s="275"/>
      <c r="J627" s="275"/>
    </row>
    <row r="628" spans="1:10">
      <c r="A628" s="273"/>
      <c r="B628" s="274"/>
      <c r="C628" s="278"/>
      <c r="D628" s="275">
        <v>0.48599999999999999</v>
      </c>
      <c r="E628" s="275">
        <v>0.49199999999999999</v>
      </c>
      <c r="F628" s="275"/>
      <c r="G628" s="275"/>
      <c r="H628" s="275"/>
      <c r="I628" s="275"/>
      <c r="J628" s="275"/>
    </row>
    <row r="629" spans="1:10">
      <c r="A629" s="273"/>
      <c r="B629" s="274"/>
      <c r="C629" s="278"/>
      <c r="D629" s="275"/>
      <c r="E629" s="275"/>
      <c r="F629" s="275"/>
      <c r="G629" s="275"/>
      <c r="H629" s="275"/>
      <c r="I629" s="275"/>
      <c r="J629" s="275"/>
    </row>
    <row r="630" spans="1:10">
      <c r="A630" s="273">
        <v>209</v>
      </c>
      <c r="B630" s="274">
        <v>70</v>
      </c>
      <c r="C630" s="278" t="s">
        <v>156</v>
      </c>
      <c r="D630" s="275" t="s">
        <v>451</v>
      </c>
      <c r="E630" s="275" t="s">
        <v>452</v>
      </c>
      <c r="F630" s="275"/>
      <c r="G630" s="275"/>
      <c r="H630" s="275"/>
      <c r="I630" s="275"/>
      <c r="J630" s="275"/>
    </row>
    <row r="631" spans="1:10">
      <c r="A631" s="273"/>
      <c r="B631" s="274"/>
      <c r="C631" s="278"/>
      <c r="D631" s="275">
        <v>0.48199999999999998</v>
      </c>
      <c r="E631" s="275">
        <v>0.48799999999999999</v>
      </c>
      <c r="F631" s="275"/>
      <c r="G631" s="275"/>
      <c r="H631" s="275"/>
      <c r="I631" s="275"/>
      <c r="J631" s="275"/>
    </row>
    <row r="632" spans="1:10">
      <c r="A632" s="273"/>
      <c r="B632" s="274"/>
      <c r="C632" s="278"/>
      <c r="D632" s="275"/>
      <c r="E632" s="275"/>
      <c r="F632" s="275"/>
      <c r="G632" s="275"/>
      <c r="H632" s="275"/>
      <c r="I632" s="275"/>
      <c r="J632" s="275"/>
    </row>
    <row r="633" spans="1:10">
      <c r="A633" s="273">
        <v>210</v>
      </c>
      <c r="B633" s="274">
        <v>71</v>
      </c>
      <c r="C633" s="278" t="s">
        <v>379</v>
      </c>
      <c r="D633" s="275" t="s">
        <v>451</v>
      </c>
      <c r="E633" s="275" t="s">
        <v>452</v>
      </c>
      <c r="F633" s="275"/>
      <c r="G633" s="275"/>
      <c r="H633" s="275"/>
      <c r="I633" s="275"/>
      <c r="J633" s="275"/>
    </row>
    <row r="634" spans="1:10">
      <c r="A634" s="273"/>
      <c r="B634" s="274"/>
      <c r="C634" s="278"/>
      <c r="D634" s="275">
        <v>0.47</v>
      </c>
      <c r="E634" s="275">
        <v>0.47599999999999998</v>
      </c>
      <c r="F634" s="275"/>
      <c r="G634" s="275"/>
      <c r="H634" s="275"/>
      <c r="I634" s="275"/>
      <c r="J634" s="275"/>
    </row>
    <row r="635" spans="1:10">
      <c r="A635" s="273"/>
      <c r="B635" s="274"/>
      <c r="C635" s="278"/>
      <c r="D635" s="275"/>
      <c r="E635" s="275"/>
      <c r="F635" s="275"/>
      <c r="G635" s="275"/>
      <c r="H635" s="275"/>
      <c r="I635" s="275"/>
      <c r="J635" s="275"/>
    </row>
    <row r="636" spans="1:10">
      <c r="A636" s="273">
        <v>211</v>
      </c>
      <c r="B636" s="274">
        <v>72</v>
      </c>
      <c r="C636" s="278" t="s">
        <v>380</v>
      </c>
      <c r="D636" s="275" t="s">
        <v>451</v>
      </c>
      <c r="E636" s="275" t="s">
        <v>452</v>
      </c>
      <c r="F636" s="275" t="s">
        <v>453</v>
      </c>
      <c r="G636" s="275" t="s">
        <v>454</v>
      </c>
      <c r="H636" s="275"/>
      <c r="I636" s="275"/>
      <c r="J636" s="275"/>
    </row>
    <row r="637" spans="1:10">
      <c r="A637" s="273"/>
      <c r="B637" s="274"/>
      <c r="C637" s="278"/>
      <c r="D637" s="275">
        <v>0.45600000000000002</v>
      </c>
      <c r="E637" s="275">
        <v>0.46100000000000002</v>
      </c>
      <c r="F637" s="275">
        <v>1.6279999999999999</v>
      </c>
      <c r="G637" s="275">
        <v>1.677</v>
      </c>
      <c r="H637" s="275"/>
      <c r="I637" s="275"/>
      <c r="J637" s="275"/>
    </row>
    <row r="638" spans="1:10">
      <c r="A638" s="273"/>
      <c r="B638" s="274"/>
      <c r="C638" s="278"/>
      <c r="D638" s="275"/>
      <c r="E638" s="275"/>
      <c r="F638" s="275"/>
      <c r="G638" s="275"/>
      <c r="H638" s="275"/>
      <c r="I638" s="275"/>
      <c r="J638" s="275"/>
    </row>
    <row r="639" spans="1:10">
      <c r="A639" s="273">
        <v>212</v>
      </c>
      <c r="B639" s="274">
        <v>72</v>
      </c>
      <c r="C639" s="278" t="s">
        <v>157</v>
      </c>
      <c r="D639" s="275" t="s">
        <v>451</v>
      </c>
      <c r="E639" s="275" t="s">
        <v>452</v>
      </c>
      <c r="F639" s="275" t="s">
        <v>453</v>
      </c>
      <c r="G639" s="275" t="s">
        <v>454</v>
      </c>
      <c r="H639" s="275"/>
      <c r="I639" s="275"/>
      <c r="J639" s="275"/>
    </row>
    <row r="640" spans="1:10">
      <c r="A640" s="273"/>
      <c r="B640" s="274"/>
      <c r="C640" s="278"/>
      <c r="D640" s="275">
        <v>0.45600000000000002</v>
      </c>
      <c r="E640" s="275">
        <v>0.46100000000000002</v>
      </c>
      <c r="F640" s="275">
        <v>1.569</v>
      </c>
      <c r="G640" s="275">
        <v>1.611</v>
      </c>
      <c r="H640" s="275"/>
      <c r="I640" s="275"/>
      <c r="J640" s="275"/>
    </row>
    <row r="641" spans="1:10">
      <c r="A641" s="273"/>
      <c r="B641" s="274"/>
      <c r="C641" s="278"/>
      <c r="D641" s="275"/>
      <c r="E641" s="275"/>
      <c r="F641" s="275"/>
      <c r="G641" s="275"/>
      <c r="H641" s="275"/>
      <c r="I641" s="275"/>
      <c r="J641" s="275"/>
    </row>
    <row r="642" spans="1:10">
      <c r="A642" s="273">
        <v>213</v>
      </c>
      <c r="B642" s="274">
        <v>72</v>
      </c>
      <c r="C642" s="278" t="s">
        <v>158</v>
      </c>
      <c r="D642" s="275" t="s">
        <v>451</v>
      </c>
      <c r="E642" s="275" t="s">
        <v>452</v>
      </c>
      <c r="F642" s="275"/>
      <c r="G642" s="275"/>
      <c r="H642" s="275"/>
      <c r="I642" s="275"/>
      <c r="J642" s="275"/>
    </row>
    <row r="643" spans="1:10">
      <c r="A643" s="273"/>
      <c r="B643" s="274"/>
      <c r="C643" s="278"/>
      <c r="D643" s="275">
        <v>0.45600000000000002</v>
      </c>
      <c r="E643" s="275">
        <v>0.46100000000000002</v>
      </c>
      <c r="F643" s="275"/>
      <c r="G643" s="275"/>
      <c r="H643" s="275"/>
      <c r="I643" s="275"/>
      <c r="J643" s="275"/>
    </row>
    <row r="644" spans="1:10">
      <c r="A644" s="273"/>
      <c r="B644" s="274"/>
      <c r="C644" s="278"/>
      <c r="D644" s="275"/>
      <c r="E644" s="275"/>
      <c r="F644" s="275"/>
      <c r="G644" s="275"/>
      <c r="H644" s="275"/>
      <c r="I644" s="275"/>
      <c r="J644" s="275"/>
    </row>
    <row r="645" spans="1:10">
      <c r="A645" s="273">
        <v>214</v>
      </c>
      <c r="B645" s="274">
        <v>73</v>
      </c>
      <c r="C645" s="278" t="s">
        <v>381</v>
      </c>
      <c r="D645" s="275" t="s">
        <v>451</v>
      </c>
      <c r="E645" s="275" t="s">
        <v>452</v>
      </c>
      <c r="F645" s="275" t="s">
        <v>453</v>
      </c>
      <c r="G645" s="275" t="s">
        <v>454</v>
      </c>
      <c r="H645" s="275"/>
      <c r="I645" s="275"/>
      <c r="J645" s="275"/>
    </row>
    <row r="646" spans="1:10">
      <c r="A646" s="273"/>
      <c r="B646" s="274"/>
      <c r="C646" s="278"/>
      <c r="D646" s="275">
        <v>0.442</v>
      </c>
      <c r="E646" s="275">
        <v>0.44700000000000001</v>
      </c>
      <c r="F646" s="275">
        <v>1.53</v>
      </c>
      <c r="G646" s="275">
        <v>1.577</v>
      </c>
      <c r="H646" s="275"/>
      <c r="I646" s="275"/>
      <c r="J646" s="275"/>
    </row>
    <row r="647" spans="1:10">
      <c r="A647" s="273"/>
      <c r="B647" s="274"/>
      <c r="C647" s="278"/>
      <c r="D647" s="275"/>
      <c r="E647" s="275"/>
      <c r="F647" s="275"/>
      <c r="G647" s="275"/>
      <c r="H647" s="275"/>
      <c r="I647" s="275"/>
      <c r="J647" s="275"/>
    </row>
    <row r="648" spans="1:10">
      <c r="A648" s="273">
        <v>215</v>
      </c>
      <c r="B648" s="274">
        <v>73</v>
      </c>
      <c r="C648" s="278" t="s">
        <v>159</v>
      </c>
      <c r="D648" s="275" t="s">
        <v>451</v>
      </c>
      <c r="E648" s="275" t="s">
        <v>452</v>
      </c>
      <c r="F648" s="275" t="s">
        <v>453</v>
      </c>
      <c r="G648" s="275" t="s">
        <v>454</v>
      </c>
      <c r="H648" s="275"/>
      <c r="I648" s="275"/>
      <c r="J648" s="275"/>
    </row>
    <row r="649" spans="1:10">
      <c r="A649" s="273"/>
      <c r="B649" s="274"/>
      <c r="C649" s="278"/>
      <c r="D649" s="275">
        <v>0.442</v>
      </c>
      <c r="E649" s="275">
        <v>0.44700000000000001</v>
      </c>
      <c r="F649" s="275">
        <v>1.4870000000000001</v>
      </c>
      <c r="G649" s="275">
        <v>1.5269999999999999</v>
      </c>
      <c r="H649" s="275"/>
      <c r="I649" s="275"/>
      <c r="J649" s="275"/>
    </row>
    <row r="650" spans="1:10">
      <c r="A650" s="273"/>
      <c r="B650" s="274"/>
      <c r="C650" s="278"/>
      <c r="D650" s="275"/>
      <c r="E650" s="275"/>
      <c r="F650" s="275"/>
      <c r="G650" s="275"/>
      <c r="H650" s="275"/>
      <c r="I650" s="275"/>
      <c r="J650" s="275"/>
    </row>
    <row r="651" spans="1:10">
      <c r="A651" s="273">
        <v>216</v>
      </c>
      <c r="B651" s="274">
        <v>73</v>
      </c>
      <c r="C651" s="278" t="s">
        <v>160</v>
      </c>
      <c r="D651" s="275" t="s">
        <v>451</v>
      </c>
      <c r="E651" s="275" t="s">
        <v>452</v>
      </c>
      <c r="F651" s="275" t="s">
        <v>453</v>
      </c>
      <c r="G651" s="275" t="s">
        <v>454</v>
      </c>
      <c r="H651" s="275"/>
      <c r="I651" s="275"/>
      <c r="J651" s="275"/>
    </row>
    <row r="652" spans="1:10">
      <c r="A652" s="273"/>
      <c r="B652" s="274"/>
      <c r="C652" s="278"/>
      <c r="D652" s="275">
        <v>0.442</v>
      </c>
      <c r="E652" s="275">
        <v>0.44700000000000001</v>
      </c>
      <c r="F652" s="275">
        <v>1.448</v>
      </c>
      <c r="G652" s="275">
        <v>1.4830000000000001</v>
      </c>
      <c r="H652" s="275"/>
      <c r="I652" s="275"/>
      <c r="J652" s="275"/>
    </row>
    <row r="653" spans="1:10">
      <c r="A653" s="273"/>
      <c r="B653" s="274"/>
      <c r="C653" s="278"/>
      <c r="D653" s="275"/>
      <c r="E653" s="275"/>
      <c r="F653" s="275"/>
      <c r="G653" s="275"/>
      <c r="H653" s="275"/>
      <c r="I653" s="275"/>
      <c r="J653" s="275"/>
    </row>
    <row r="654" spans="1:10">
      <c r="A654" s="273">
        <v>217</v>
      </c>
      <c r="B654" s="274">
        <v>73</v>
      </c>
      <c r="C654" s="278" t="s">
        <v>161</v>
      </c>
      <c r="D654" s="275" t="s">
        <v>451</v>
      </c>
      <c r="E654" s="275" t="s">
        <v>452</v>
      </c>
      <c r="F654" s="275"/>
      <c r="G654" s="275"/>
      <c r="H654" s="275"/>
      <c r="I654" s="275"/>
      <c r="J654" s="275"/>
    </row>
    <row r="655" spans="1:10">
      <c r="A655" s="273"/>
      <c r="B655" s="274"/>
      <c r="C655" s="278"/>
      <c r="D655" s="275">
        <v>0.442</v>
      </c>
      <c r="E655" s="275">
        <v>0.44700000000000001</v>
      </c>
      <c r="F655" s="275"/>
      <c r="G655" s="275"/>
      <c r="H655" s="275"/>
      <c r="I655" s="275"/>
      <c r="J655" s="275"/>
    </row>
    <row r="656" spans="1:10">
      <c r="A656" s="273"/>
      <c r="B656" s="274"/>
      <c r="C656" s="278"/>
      <c r="D656" s="275"/>
      <c r="E656" s="275"/>
      <c r="F656" s="275"/>
      <c r="G656" s="275"/>
      <c r="H656" s="275"/>
      <c r="I656" s="275"/>
      <c r="J656" s="275"/>
    </row>
    <row r="657" spans="1:10">
      <c r="A657" s="273">
        <v>218</v>
      </c>
      <c r="B657" s="274">
        <v>74</v>
      </c>
      <c r="C657" s="278" t="s">
        <v>162</v>
      </c>
      <c r="D657" s="275" t="s">
        <v>451</v>
      </c>
      <c r="E657" s="275" t="s">
        <v>452</v>
      </c>
      <c r="F657" s="275" t="s">
        <v>453</v>
      </c>
      <c r="G657" s="275" t="s">
        <v>454</v>
      </c>
      <c r="H657" s="275" t="s">
        <v>455</v>
      </c>
      <c r="I657" s="275"/>
      <c r="J657" s="275"/>
    </row>
    <row r="658" spans="1:10">
      <c r="A658" s="273"/>
      <c r="B658" s="274"/>
      <c r="C658" s="278"/>
      <c r="D658" s="275">
        <v>0.42899999999999999</v>
      </c>
      <c r="E658" s="275">
        <v>0.434</v>
      </c>
      <c r="F658" s="275">
        <v>1.46</v>
      </c>
      <c r="G658" s="275">
        <v>1.506</v>
      </c>
      <c r="H658" s="275">
        <v>2.6850000000000001</v>
      </c>
      <c r="I658" s="275"/>
      <c r="J658" s="275"/>
    </row>
    <row r="659" spans="1:10">
      <c r="A659" s="273"/>
      <c r="B659" s="274"/>
      <c r="C659" s="278"/>
      <c r="D659" s="275"/>
      <c r="E659" s="275"/>
      <c r="F659" s="275"/>
      <c r="G659" s="275"/>
      <c r="H659" s="275"/>
      <c r="I659" s="275"/>
      <c r="J659" s="275"/>
    </row>
    <row r="660" spans="1:10">
      <c r="A660" s="273">
        <v>219</v>
      </c>
      <c r="B660" s="274">
        <v>74</v>
      </c>
      <c r="C660" s="278" t="s">
        <v>163</v>
      </c>
      <c r="D660" s="275" t="s">
        <v>451</v>
      </c>
      <c r="E660" s="275" t="s">
        <v>452</v>
      </c>
      <c r="F660" s="275" t="s">
        <v>453</v>
      </c>
      <c r="G660" s="275" t="s">
        <v>454</v>
      </c>
      <c r="H660" s="275"/>
      <c r="I660" s="275"/>
      <c r="J660" s="275"/>
    </row>
    <row r="661" spans="1:10">
      <c r="A661" s="273"/>
      <c r="B661" s="274"/>
      <c r="C661" s="278"/>
      <c r="D661" s="275">
        <v>0.42899999999999999</v>
      </c>
      <c r="E661" s="275">
        <v>0.434</v>
      </c>
      <c r="F661" s="275">
        <v>1.4490000000000001</v>
      </c>
      <c r="G661" s="275">
        <v>1.4930000000000001</v>
      </c>
      <c r="H661" s="275"/>
      <c r="I661" s="275"/>
      <c r="J661" s="275"/>
    </row>
    <row r="662" spans="1:10">
      <c r="A662" s="273"/>
      <c r="B662" s="274"/>
      <c r="C662" s="278"/>
      <c r="D662" s="275"/>
      <c r="E662" s="275"/>
      <c r="F662" s="275"/>
      <c r="G662" s="275"/>
      <c r="H662" s="275"/>
      <c r="I662" s="275"/>
      <c r="J662" s="275"/>
    </row>
    <row r="663" spans="1:10">
      <c r="A663" s="273">
        <v>220</v>
      </c>
      <c r="B663" s="274">
        <v>74</v>
      </c>
      <c r="C663" s="278" t="s">
        <v>164</v>
      </c>
      <c r="D663" s="275" t="s">
        <v>451</v>
      </c>
      <c r="E663" s="275" t="s">
        <v>452</v>
      </c>
      <c r="F663" s="275" t="s">
        <v>453</v>
      </c>
      <c r="G663" s="275" t="s">
        <v>454</v>
      </c>
      <c r="H663" s="275"/>
      <c r="I663" s="275"/>
      <c r="J663" s="275"/>
    </row>
    <row r="664" spans="1:10">
      <c r="A664" s="273"/>
      <c r="B664" s="274"/>
      <c r="C664" s="278"/>
      <c r="D664" s="275">
        <v>0.42899999999999999</v>
      </c>
      <c r="E664" s="275">
        <v>0.434</v>
      </c>
      <c r="F664" s="275">
        <v>1.4159999999999999</v>
      </c>
      <c r="G664" s="275">
        <v>1.4550000000000001</v>
      </c>
      <c r="H664" s="275"/>
      <c r="I664" s="275"/>
      <c r="J664" s="275"/>
    </row>
    <row r="665" spans="1:10">
      <c r="A665" s="273"/>
      <c r="B665" s="274"/>
      <c r="C665" s="278"/>
      <c r="D665" s="275"/>
      <c r="E665" s="275"/>
      <c r="F665" s="275"/>
      <c r="G665" s="275"/>
      <c r="H665" s="275"/>
      <c r="I665" s="275"/>
      <c r="J665" s="275"/>
    </row>
    <row r="666" spans="1:10">
      <c r="A666" s="273">
        <v>221</v>
      </c>
      <c r="B666" s="274">
        <v>74</v>
      </c>
      <c r="C666" s="278" t="s">
        <v>165</v>
      </c>
      <c r="D666" s="275" t="s">
        <v>451</v>
      </c>
      <c r="E666" s="275" t="s">
        <v>452</v>
      </c>
      <c r="F666" s="275" t="s">
        <v>453</v>
      </c>
      <c r="G666" s="275" t="s">
        <v>454</v>
      </c>
      <c r="H666" s="275"/>
      <c r="I666" s="275"/>
      <c r="J666" s="275"/>
    </row>
    <row r="667" spans="1:10">
      <c r="A667" s="273"/>
      <c r="B667" s="274"/>
      <c r="C667" s="278"/>
      <c r="D667" s="275">
        <v>0.42899999999999999</v>
      </c>
      <c r="E667" s="275">
        <v>0.434</v>
      </c>
      <c r="F667" s="275">
        <v>1.3839999999999999</v>
      </c>
      <c r="G667" s="275">
        <v>1.419</v>
      </c>
      <c r="H667" s="275"/>
      <c r="I667" s="275"/>
      <c r="J667" s="275"/>
    </row>
    <row r="668" spans="1:10">
      <c r="A668" s="273"/>
      <c r="B668" s="274"/>
      <c r="C668" s="278"/>
      <c r="D668" s="275"/>
      <c r="E668" s="275"/>
      <c r="F668" s="275"/>
      <c r="G668" s="275"/>
      <c r="H668" s="275"/>
      <c r="I668" s="275"/>
      <c r="J668" s="275"/>
    </row>
    <row r="669" spans="1:10">
      <c r="A669" s="273">
        <v>222</v>
      </c>
      <c r="B669" s="274">
        <v>74</v>
      </c>
      <c r="C669" s="278" t="s">
        <v>166</v>
      </c>
      <c r="D669" s="275" t="s">
        <v>451</v>
      </c>
      <c r="E669" s="275" t="s">
        <v>452</v>
      </c>
      <c r="F669" s="275" t="s">
        <v>453</v>
      </c>
      <c r="G669" s="275" t="s">
        <v>454</v>
      </c>
      <c r="H669" s="275"/>
      <c r="I669" s="275"/>
      <c r="J669" s="275"/>
    </row>
    <row r="670" spans="1:10">
      <c r="A670" s="273"/>
      <c r="B670" s="274"/>
      <c r="C670" s="278"/>
      <c r="D670" s="275">
        <v>0.42899999999999999</v>
      </c>
      <c r="E670" s="275">
        <v>0.434</v>
      </c>
      <c r="F670" s="275">
        <v>1.355</v>
      </c>
      <c r="G670" s="275">
        <v>1.387</v>
      </c>
      <c r="H670" s="275"/>
      <c r="I670" s="275"/>
      <c r="J670" s="275"/>
    </row>
    <row r="671" spans="1:10">
      <c r="A671" s="273"/>
      <c r="B671" s="274"/>
      <c r="C671" s="278"/>
      <c r="D671" s="275"/>
      <c r="E671" s="275"/>
      <c r="F671" s="275"/>
      <c r="G671" s="275"/>
      <c r="H671" s="275"/>
      <c r="I671" s="275"/>
      <c r="J671" s="275"/>
    </row>
    <row r="672" spans="1:10">
      <c r="A672" s="273">
        <v>223</v>
      </c>
      <c r="B672" s="274">
        <v>74</v>
      </c>
      <c r="C672" s="278" t="s">
        <v>167</v>
      </c>
      <c r="D672" s="275" t="s">
        <v>451</v>
      </c>
      <c r="E672" s="275" t="s">
        <v>452</v>
      </c>
      <c r="F672" s="275"/>
      <c r="G672" s="275"/>
      <c r="H672" s="275"/>
      <c r="I672" s="275"/>
      <c r="J672" s="275"/>
    </row>
    <row r="673" spans="1:10">
      <c r="A673" s="273"/>
      <c r="B673" s="274"/>
      <c r="C673" s="278"/>
      <c r="D673" s="275">
        <v>0.42899999999999999</v>
      </c>
      <c r="E673" s="275">
        <v>0.434</v>
      </c>
      <c r="F673" s="275"/>
      <c r="G673" s="275"/>
      <c r="H673" s="275"/>
      <c r="I673" s="275"/>
      <c r="J673" s="275"/>
    </row>
    <row r="674" spans="1:10">
      <c r="A674" s="273"/>
      <c r="B674" s="274"/>
      <c r="C674" s="278"/>
      <c r="D674" s="275"/>
      <c r="E674" s="275"/>
      <c r="F674" s="275"/>
      <c r="G674" s="275"/>
      <c r="H674" s="275"/>
      <c r="I674" s="275"/>
      <c r="J674" s="275"/>
    </row>
    <row r="675" spans="1:10">
      <c r="A675" s="273">
        <v>224</v>
      </c>
      <c r="B675" s="274">
        <v>75</v>
      </c>
      <c r="C675" s="278" t="s">
        <v>168</v>
      </c>
      <c r="D675" s="275" t="s">
        <v>451</v>
      </c>
      <c r="E675" s="275" t="s">
        <v>452</v>
      </c>
      <c r="F675" s="275" t="s">
        <v>453</v>
      </c>
      <c r="G675" s="275" t="s">
        <v>454</v>
      </c>
      <c r="H675" s="275" t="s">
        <v>455</v>
      </c>
      <c r="I675" s="275"/>
      <c r="J675" s="275"/>
    </row>
    <row r="676" spans="1:10">
      <c r="A676" s="273"/>
      <c r="B676" s="274"/>
      <c r="C676" s="278"/>
      <c r="D676" s="275">
        <v>0.41699999999999998</v>
      </c>
      <c r="E676" s="275">
        <v>0.42199999999999999</v>
      </c>
      <c r="F676" s="275">
        <v>1.387</v>
      </c>
      <c r="G676" s="275">
        <v>1.4319999999999999</v>
      </c>
      <c r="H676" s="275">
        <v>2.589</v>
      </c>
      <c r="I676" s="275"/>
      <c r="J676" s="275"/>
    </row>
    <row r="677" spans="1:10">
      <c r="A677" s="273"/>
      <c r="B677" s="274"/>
      <c r="C677" s="278"/>
      <c r="D677" s="275"/>
      <c r="E677" s="275"/>
      <c r="F677" s="275"/>
      <c r="G677" s="275"/>
      <c r="H677" s="275"/>
      <c r="I677" s="275"/>
      <c r="J677" s="275"/>
    </row>
    <row r="678" spans="1:10">
      <c r="A678" s="273">
        <v>225</v>
      </c>
      <c r="B678" s="274">
        <v>75</v>
      </c>
      <c r="C678" s="278" t="s">
        <v>169</v>
      </c>
      <c r="D678" s="275" t="s">
        <v>451</v>
      </c>
      <c r="E678" s="275" t="s">
        <v>452</v>
      </c>
      <c r="F678" s="275" t="s">
        <v>453</v>
      </c>
      <c r="G678" s="275" t="s">
        <v>454</v>
      </c>
      <c r="H678" s="275"/>
      <c r="I678" s="275"/>
      <c r="J678" s="275"/>
    </row>
    <row r="679" spans="1:10">
      <c r="A679" s="273"/>
      <c r="B679" s="274"/>
      <c r="C679" s="278"/>
      <c r="D679" s="275">
        <v>0.41699999999999998</v>
      </c>
      <c r="E679" s="275">
        <v>0.42199999999999999</v>
      </c>
      <c r="F679" s="275">
        <v>1.38</v>
      </c>
      <c r="G679" s="275">
        <v>1.4219999999999999</v>
      </c>
      <c r="H679" s="275"/>
      <c r="I679" s="275"/>
      <c r="J679" s="275"/>
    </row>
    <row r="680" spans="1:10">
      <c r="A680" s="273"/>
      <c r="B680" s="274"/>
      <c r="C680" s="278"/>
      <c r="D680" s="275"/>
      <c r="E680" s="275"/>
      <c r="F680" s="275"/>
      <c r="G680" s="275"/>
      <c r="H680" s="275"/>
      <c r="I680" s="275"/>
      <c r="J680" s="275"/>
    </row>
    <row r="681" spans="1:10">
      <c r="A681" s="273">
        <v>226</v>
      </c>
      <c r="B681" s="274">
        <v>75</v>
      </c>
      <c r="C681" s="278" t="s">
        <v>170</v>
      </c>
      <c r="D681" s="275" t="s">
        <v>451</v>
      </c>
      <c r="E681" s="275" t="s">
        <v>452</v>
      </c>
      <c r="F681" s="275" t="s">
        <v>453</v>
      </c>
      <c r="G681" s="275" t="s">
        <v>454</v>
      </c>
      <c r="H681" s="275"/>
      <c r="I681" s="275"/>
      <c r="J681" s="275"/>
    </row>
    <row r="682" spans="1:10">
      <c r="A682" s="273"/>
      <c r="B682" s="274"/>
      <c r="C682" s="278"/>
      <c r="D682" s="275">
        <v>0.41699999999999998</v>
      </c>
      <c r="E682" s="275">
        <v>0.42199999999999999</v>
      </c>
      <c r="F682" s="275">
        <v>1.353</v>
      </c>
      <c r="G682" s="275">
        <v>1.391</v>
      </c>
      <c r="H682" s="275"/>
      <c r="I682" s="275"/>
      <c r="J682" s="275"/>
    </row>
    <row r="683" spans="1:10">
      <c r="A683" s="273"/>
      <c r="B683" s="274"/>
      <c r="C683" s="278"/>
      <c r="D683" s="275"/>
      <c r="E683" s="275"/>
      <c r="F683" s="275"/>
      <c r="G683" s="275"/>
      <c r="H683" s="275"/>
      <c r="I683" s="275"/>
      <c r="J683" s="275"/>
    </row>
    <row r="684" spans="1:10">
      <c r="A684" s="273">
        <v>227</v>
      </c>
      <c r="B684" s="274">
        <v>75</v>
      </c>
      <c r="C684" s="278" t="s">
        <v>171</v>
      </c>
      <c r="D684" s="275" t="s">
        <v>451</v>
      </c>
      <c r="E684" s="275" t="s">
        <v>452</v>
      </c>
      <c r="F684" s="275" t="s">
        <v>453</v>
      </c>
      <c r="G684" s="275" t="s">
        <v>454</v>
      </c>
      <c r="H684" s="275"/>
      <c r="I684" s="275"/>
      <c r="J684" s="275"/>
    </row>
    <row r="685" spans="1:10">
      <c r="A685" s="273"/>
      <c r="B685" s="274"/>
      <c r="C685" s="278"/>
      <c r="D685" s="275">
        <v>0.41699999999999998</v>
      </c>
      <c r="E685" s="275">
        <v>0.42199999999999999</v>
      </c>
      <c r="F685" s="275">
        <v>1.327</v>
      </c>
      <c r="G685" s="275">
        <v>1.3620000000000001</v>
      </c>
      <c r="H685" s="275"/>
      <c r="I685" s="275"/>
      <c r="J685" s="275"/>
    </row>
    <row r="686" spans="1:10">
      <c r="A686" s="273"/>
      <c r="B686" s="274"/>
      <c r="C686" s="278"/>
      <c r="D686" s="275"/>
      <c r="E686" s="275"/>
      <c r="F686" s="275"/>
      <c r="G686" s="275"/>
      <c r="H686" s="275"/>
      <c r="I686" s="275"/>
      <c r="J686" s="275"/>
    </row>
    <row r="687" spans="1:10">
      <c r="A687" s="273">
        <v>228</v>
      </c>
      <c r="B687" s="274">
        <v>75</v>
      </c>
      <c r="C687" s="278" t="s">
        <v>172</v>
      </c>
      <c r="D687" s="275" t="s">
        <v>451</v>
      </c>
      <c r="E687" s="275" t="s">
        <v>452</v>
      </c>
      <c r="F687" s="275" t="s">
        <v>453</v>
      </c>
      <c r="G687" s="275" t="s">
        <v>454</v>
      </c>
      <c r="H687" s="275"/>
      <c r="I687" s="275"/>
      <c r="J687" s="275"/>
    </row>
    <row r="688" spans="1:10">
      <c r="A688" s="273"/>
      <c r="B688" s="274"/>
      <c r="C688" s="278"/>
      <c r="D688" s="275">
        <v>0.41699999999999998</v>
      </c>
      <c r="E688" s="275">
        <v>0.42199999999999999</v>
      </c>
      <c r="F688" s="275">
        <v>1.3029999999999999</v>
      </c>
      <c r="G688" s="275">
        <v>1.3340000000000001</v>
      </c>
      <c r="H688" s="275"/>
      <c r="I688" s="275"/>
      <c r="J688" s="275"/>
    </row>
    <row r="689" spans="1:10">
      <c r="A689" s="273"/>
      <c r="B689" s="274"/>
      <c r="C689" s="278"/>
      <c r="D689" s="275"/>
      <c r="E689" s="275"/>
      <c r="F689" s="275"/>
      <c r="G689" s="275"/>
      <c r="H689" s="275"/>
      <c r="I689" s="275"/>
      <c r="J689" s="275"/>
    </row>
    <row r="690" spans="1:10">
      <c r="A690" s="273">
        <v>229</v>
      </c>
      <c r="B690" s="274">
        <v>75</v>
      </c>
      <c r="C690" s="278" t="s">
        <v>173</v>
      </c>
      <c r="D690" s="275" t="s">
        <v>451</v>
      </c>
      <c r="E690" s="275" t="s">
        <v>452</v>
      </c>
      <c r="F690" s="275" t="s">
        <v>453</v>
      </c>
      <c r="G690" s="275" t="s">
        <v>454</v>
      </c>
      <c r="H690" s="275"/>
      <c r="I690" s="275"/>
      <c r="J690" s="275"/>
    </row>
    <row r="691" spans="1:10">
      <c r="A691" s="273"/>
      <c r="B691" s="274"/>
      <c r="C691" s="278"/>
      <c r="D691" s="275">
        <v>0.41699999999999998</v>
      </c>
      <c r="E691" s="275">
        <v>0.42199999999999999</v>
      </c>
      <c r="F691" s="275">
        <v>1.28</v>
      </c>
      <c r="G691" s="275">
        <v>1.3089999999999999</v>
      </c>
      <c r="H691" s="275"/>
      <c r="I691" s="275"/>
      <c r="J691" s="275"/>
    </row>
    <row r="692" spans="1:10">
      <c r="A692" s="273"/>
      <c r="B692" s="274"/>
      <c r="C692" s="278"/>
      <c r="D692" s="275"/>
      <c r="E692" s="275"/>
      <c r="F692" s="275"/>
      <c r="G692" s="275"/>
      <c r="H692" s="275"/>
      <c r="I692" s="275"/>
      <c r="J692" s="275"/>
    </row>
    <row r="693" spans="1:10">
      <c r="A693" s="273">
        <v>230</v>
      </c>
      <c r="B693" s="274">
        <v>75</v>
      </c>
      <c r="C693" s="278" t="s">
        <v>174</v>
      </c>
      <c r="D693" s="275" t="s">
        <v>451</v>
      </c>
      <c r="E693" s="275" t="s">
        <v>452</v>
      </c>
      <c r="F693" s="275"/>
      <c r="G693" s="275"/>
      <c r="H693" s="275"/>
      <c r="I693" s="275"/>
      <c r="J693" s="275"/>
    </row>
    <row r="694" spans="1:10">
      <c r="A694" s="273"/>
      <c r="B694" s="274"/>
      <c r="C694" s="278"/>
      <c r="D694" s="275">
        <v>0.41599999999999998</v>
      </c>
      <c r="E694" s="275">
        <v>0.42099999999999999</v>
      </c>
      <c r="F694" s="275"/>
      <c r="G694" s="275"/>
      <c r="H694" s="275"/>
      <c r="I694" s="275"/>
      <c r="J694" s="275"/>
    </row>
    <row r="695" spans="1:10">
      <c r="A695" s="273"/>
      <c r="B695" s="274"/>
      <c r="C695" s="278"/>
      <c r="D695" s="275"/>
      <c r="E695" s="275"/>
      <c r="F695" s="275"/>
      <c r="G695" s="275"/>
      <c r="H695" s="275"/>
      <c r="I695" s="275"/>
      <c r="J695" s="275"/>
    </row>
    <row r="696" spans="1:10">
      <c r="A696" s="273">
        <v>231</v>
      </c>
      <c r="B696" s="274">
        <v>76</v>
      </c>
      <c r="C696" s="278" t="s">
        <v>175</v>
      </c>
      <c r="D696" s="275" t="s">
        <v>451</v>
      </c>
      <c r="E696" s="275" t="s">
        <v>452</v>
      </c>
      <c r="F696" s="275" t="s">
        <v>453</v>
      </c>
      <c r="G696" s="275" t="s">
        <v>454</v>
      </c>
      <c r="H696" s="275" t="s">
        <v>455</v>
      </c>
      <c r="I696" s="275"/>
      <c r="J696" s="275"/>
    </row>
    <row r="697" spans="1:10">
      <c r="A697" s="273"/>
      <c r="B697" s="274"/>
      <c r="C697" s="278"/>
      <c r="D697" s="275">
        <v>0.40600000000000003</v>
      </c>
      <c r="E697" s="275">
        <v>0.41099999999999998</v>
      </c>
      <c r="F697" s="275">
        <v>1.325</v>
      </c>
      <c r="G697" s="275">
        <v>1.3680000000000001</v>
      </c>
      <c r="H697" s="275">
        <v>2.5019999999999998</v>
      </c>
      <c r="I697" s="275"/>
      <c r="J697" s="275"/>
    </row>
    <row r="698" spans="1:10">
      <c r="A698" s="273"/>
      <c r="B698" s="274"/>
      <c r="C698" s="278"/>
      <c r="D698" s="275"/>
      <c r="E698" s="275"/>
      <c r="F698" s="275"/>
      <c r="G698" s="275"/>
      <c r="H698" s="275"/>
      <c r="I698" s="275"/>
      <c r="J698" s="275"/>
    </row>
    <row r="699" spans="1:10">
      <c r="A699" s="273">
        <v>232</v>
      </c>
      <c r="B699" s="274">
        <v>76</v>
      </c>
      <c r="C699" s="278" t="s">
        <v>176</v>
      </c>
      <c r="D699" s="275" t="s">
        <v>451</v>
      </c>
      <c r="E699" s="275" t="s">
        <v>452</v>
      </c>
      <c r="F699" s="275" t="s">
        <v>453</v>
      </c>
      <c r="G699" s="275" t="s">
        <v>454</v>
      </c>
      <c r="H699" s="275"/>
      <c r="I699" s="275"/>
      <c r="J699" s="275"/>
    </row>
    <row r="700" spans="1:10">
      <c r="A700" s="273"/>
      <c r="B700" s="274"/>
      <c r="C700" s="278"/>
      <c r="D700" s="275">
        <v>0.40600000000000003</v>
      </c>
      <c r="E700" s="275">
        <v>0.41099999999999998</v>
      </c>
      <c r="F700" s="275">
        <v>1.319</v>
      </c>
      <c r="G700" s="275">
        <v>1.361</v>
      </c>
      <c r="H700" s="275"/>
      <c r="I700" s="275"/>
      <c r="J700" s="275"/>
    </row>
    <row r="701" spans="1:10">
      <c r="A701" s="273"/>
      <c r="B701" s="274"/>
      <c r="C701" s="278"/>
      <c r="D701" s="275"/>
      <c r="E701" s="275"/>
      <c r="F701" s="275"/>
      <c r="G701" s="275"/>
      <c r="H701" s="275"/>
      <c r="I701" s="275"/>
      <c r="J701" s="275"/>
    </row>
    <row r="702" spans="1:10">
      <c r="A702" s="273">
        <v>233</v>
      </c>
      <c r="B702" s="274">
        <v>76</v>
      </c>
      <c r="C702" s="278" t="s">
        <v>177</v>
      </c>
      <c r="D702" s="275" t="s">
        <v>451</v>
      </c>
      <c r="E702" s="275" t="s">
        <v>452</v>
      </c>
      <c r="F702" s="275" t="s">
        <v>453</v>
      </c>
      <c r="G702" s="275" t="s">
        <v>454</v>
      </c>
      <c r="H702" s="275"/>
      <c r="I702" s="275"/>
      <c r="J702" s="275"/>
    </row>
    <row r="703" spans="1:10">
      <c r="A703" s="273"/>
      <c r="B703" s="274"/>
      <c r="C703" s="278"/>
      <c r="D703" s="275">
        <v>0.40600000000000003</v>
      </c>
      <c r="E703" s="275">
        <v>0.41</v>
      </c>
      <c r="F703" s="275">
        <v>1.2969999999999999</v>
      </c>
      <c r="G703" s="275">
        <v>1.335</v>
      </c>
      <c r="H703" s="275"/>
      <c r="I703" s="275"/>
      <c r="J703" s="275"/>
    </row>
    <row r="704" spans="1:10">
      <c r="A704" s="273"/>
      <c r="B704" s="274"/>
      <c r="C704" s="278"/>
      <c r="D704" s="275"/>
      <c r="E704" s="275"/>
      <c r="F704" s="275"/>
      <c r="G704" s="275"/>
      <c r="H704" s="275"/>
      <c r="I704" s="275"/>
      <c r="J704" s="275"/>
    </row>
    <row r="705" spans="1:10">
      <c r="A705" s="273">
        <v>234</v>
      </c>
      <c r="B705" s="274">
        <v>76</v>
      </c>
      <c r="C705" s="278" t="s">
        <v>178</v>
      </c>
      <c r="D705" s="275" t="s">
        <v>451</v>
      </c>
      <c r="E705" s="275" t="s">
        <v>452</v>
      </c>
      <c r="F705" s="275" t="s">
        <v>453</v>
      </c>
      <c r="G705" s="275" t="s">
        <v>454</v>
      </c>
      <c r="H705" s="275"/>
      <c r="I705" s="275"/>
      <c r="J705" s="275"/>
    </row>
    <row r="706" spans="1:10">
      <c r="A706" s="273"/>
      <c r="B706" s="274"/>
      <c r="C706" s="278"/>
      <c r="D706" s="275">
        <v>0.40600000000000003</v>
      </c>
      <c r="E706" s="275">
        <v>0.41</v>
      </c>
      <c r="F706" s="275">
        <v>1.276</v>
      </c>
      <c r="G706" s="275">
        <v>1.31</v>
      </c>
      <c r="H706" s="275"/>
      <c r="I706" s="275"/>
      <c r="J706" s="275"/>
    </row>
    <row r="707" spans="1:10">
      <c r="A707" s="273"/>
      <c r="B707" s="274"/>
      <c r="C707" s="278"/>
      <c r="D707" s="275"/>
      <c r="E707" s="275"/>
      <c r="F707" s="275"/>
      <c r="G707" s="275"/>
      <c r="H707" s="275"/>
      <c r="I707" s="275"/>
      <c r="J707" s="275"/>
    </row>
    <row r="708" spans="1:10">
      <c r="A708" s="273">
        <v>235</v>
      </c>
      <c r="B708" s="274">
        <v>76</v>
      </c>
      <c r="C708" s="278" t="s">
        <v>179</v>
      </c>
      <c r="D708" s="275" t="s">
        <v>451</v>
      </c>
      <c r="E708" s="275" t="s">
        <v>452</v>
      </c>
      <c r="F708" s="275" t="s">
        <v>453</v>
      </c>
      <c r="G708" s="275" t="s">
        <v>454</v>
      </c>
      <c r="H708" s="275"/>
      <c r="I708" s="275"/>
      <c r="J708" s="275"/>
    </row>
    <row r="709" spans="1:10">
      <c r="A709" s="273"/>
      <c r="B709" s="274"/>
      <c r="C709" s="278"/>
      <c r="D709" s="275">
        <v>0.40500000000000003</v>
      </c>
      <c r="E709" s="275">
        <v>0.41</v>
      </c>
      <c r="F709" s="275">
        <v>1.2549999999999999</v>
      </c>
      <c r="G709" s="275">
        <v>1.286</v>
      </c>
      <c r="H709" s="275"/>
      <c r="I709" s="275"/>
      <c r="J709" s="275"/>
    </row>
    <row r="710" spans="1:10">
      <c r="A710" s="273"/>
      <c r="B710" s="274"/>
      <c r="C710" s="278"/>
      <c r="D710" s="275"/>
      <c r="E710" s="275"/>
      <c r="F710" s="275"/>
      <c r="G710" s="275"/>
      <c r="H710" s="275"/>
      <c r="I710" s="275"/>
      <c r="J710" s="275"/>
    </row>
    <row r="711" spans="1:10">
      <c r="A711" s="273">
        <v>236</v>
      </c>
      <c r="B711" s="274">
        <v>76</v>
      </c>
      <c r="C711" s="278" t="s">
        <v>180</v>
      </c>
      <c r="D711" s="275" t="s">
        <v>451</v>
      </c>
      <c r="E711" s="275" t="s">
        <v>452</v>
      </c>
      <c r="F711" s="275" t="s">
        <v>453</v>
      </c>
      <c r="G711" s="275" t="s">
        <v>454</v>
      </c>
      <c r="H711" s="275"/>
      <c r="I711" s="275"/>
      <c r="J711" s="275"/>
    </row>
    <row r="712" spans="1:10">
      <c r="A712" s="273"/>
      <c r="B712" s="274"/>
      <c r="C712" s="278"/>
      <c r="D712" s="275">
        <v>0.40500000000000003</v>
      </c>
      <c r="E712" s="275">
        <v>0.41</v>
      </c>
      <c r="F712" s="275">
        <v>1.2350000000000001</v>
      </c>
      <c r="G712" s="275">
        <v>1.264</v>
      </c>
      <c r="H712" s="275"/>
      <c r="I712" s="275"/>
      <c r="J712" s="275"/>
    </row>
    <row r="713" spans="1:10">
      <c r="A713" s="273"/>
      <c r="B713" s="274"/>
      <c r="C713" s="278"/>
      <c r="D713" s="275"/>
      <c r="E713" s="275"/>
      <c r="F713" s="275"/>
      <c r="G713" s="275"/>
      <c r="H713" s="275"/>
      <c r="I713" s="275"/>
      <c r="J713" s="275"/>
    </row>
    <row r="714" spans="1:10">
      <c r="A714" s="273">
        <v>237</v>
      </c>
      <c r="B714" s="274">
        <v>76</v>
      </c>
      <c r="C714" s="278" t="s">
        <v>181</v>
      </c>
      <c r="D714" s="275" t="s">
        <v>451</v>
      </c>
      <c r="E714" s="275" t="s">
        <v>452</v>
      </c>
      <c r="F714" s="275" t="s">
        <v>453</v>
      </c>
      <c r="G714" s="275" t="s">
        <v>454</v>
      </c>
      <c r="H714" s="275"/>
      <c r="I714" s="275"/>
      <c r="J714" s="275"/>
    </row>
    <row r="715" spans="1:10">
      <c r="A715" s="273"/>
      <c r="B715" s="274"/>
      <c r="C715" s="278"/>
      <c r="D715" s="275">
        <v>0.40500000000000003</v>
      </c>
      <c r="E715" s="275">
        <v>0.41</v>
      </c>
      <c r="F715" s="275">
        <v>1.216</v>
      </c>
      <c r="G715" s="275">
        <v>1.2430000000000001</v>
      </c>
      <c r="H715" s="275"/>
      <c r="I715" s="275"/>
      <c r="J715" s="275"/>
    </row>
    <row r="716" spans="1:10">
      <c r="A716" s="273"/>
      <c r="B716" s="274"/>
      <c r="C716" s="278"/>
      <c r="D716" s="275"/>
      <c r="E716" s="275"/>
      <c r="F716" s="275"/>
      <c r="G716" s="275"/>
      <c r="H716" s="275"/>
      <c r="I716" s="275"/>
      <c r="J716" s="275"/>
    </row>
    <row r="717" spans="1:10">
      <c r="A717" s="273">
        <v>238</v>
      </c>
      <c r="B717" s="274">
        <v>76</v>
      </c>
      <c r="C717" s="278" t="s">
        <v>182</v>
      </c>
      <c r="D717" s="275" t="s">
        <v>451</v>
      </c>
      <c r="E717" s="275" t="s">
        <v>452</v>
      </c>
      <c r="F717" s="275"/>
      <c r="G717" s="275"/>
      <c r="H717" s="275"/>
      <c r="I717" s="275"/>
      <c r="J717" s="275"/>
    </row>
    <row r="718" spans="1:10">
      <c r="A718" s="273"/>
      <c r="B718" s="274"/>
      <c r="C718" s="278"/>
      <c r="D718" s="275">
        <v>0.40500000000000003</v>
      </c>
      <c r="E718" s="275">
        <v>0.41</v>
      </c>
      <c r="F718" s="275"/>
      <c r="G718" s="275"/>
      <c r="H718" s="275"/>
      <c r="I718" s="275"/>
      <c r="J718" s="275"/>
    </row>
    <row r="719" spans="1:10">
      <c r="A719" s="273"/>
      <c r="B719" s="274"/>
      <c r="C719" s="278"/>
      <c r="D719" s="275"/>
      <c r="E719" s="275"/>
      <c r="F719" s="275"/>
      <c r="G719" s="275"/>
      <c r="H719" s="275"/>
      <c r="I719" s="275"/>
      <c r="J719" s="275"/>
    </row>
    <row r="720" spans="1:10">
      <c r="A720" s="273">
        <v>239</v>
      </c>
      <c r="B720" s="274">
        <v>77</v>
      </c>
      <c r="C720" s="278" t="s">
        <v>183</v>
      </c>
      <c r="D720" s="275" t="s">
        <v>451</v>
      </c>
      <c r="E720" s="275" t="s">
        <v>452</v>
      </c>
      <c r="F720" s="275" t="s">
        <v>453</v>
      </c>
      <c r="G720" s="275" t="s">
        <v>454</v>
      </c>
      <c r="H720" s="275" t="s">
        <v>455</v>
      </c>
      <c r="I720" s="275"/>
      <c r="J720" s="275"/>
    </row>
    <row r="721" spans="1:10">
      <c r="A721" s="273"/>
      <c r="B721" s="274"/>
      <c r="C721" s="278"/>
      <c r="D721" s="275">
        <v>0.39500000000000002</v>
      </c>
      <c r="E721" s="275">
        <v>0.4</v>
      </c>
      <c r="F721" s="275">
        <v>1.27</v>
      </c>
      <c r="G721" s="275">
        <v>1.3109999999999999</v>
      </c>
      <c r="H721" s="275">
        <v>2.4239999999999999</v>
      </c>
      <c r="I721" s="275"/>
      <c r="J721" s="275"/>
    </row>
    <row r="722" spans="1:10">
      <c r="A722" s="273"/>
      <c r="B722" s="274"/>
      <c r="C722" s="278"/>
      <c r="D722" s="275"/>
      <c r="E722" s="275"/>
      <c r="F722" s="275"/>
      <c r="G722" s="275"/>
      <c r="H722" s="275"/>
      <c r="I722" s="275"/>
      <c r="J722" s="275"/>
    </row>
    <row r="723" spans="1:10">
      <c r="A723" s="273">
        <v>240</v>
      </c>
      <c r="B723" s="274">
        <v>77</v>
      </c>
      <c r="C723" s="278" t="s">
        <v>184</v>
      </c>
      <c r="D723" s="275" t="s">
        <v>451</v>
      </c>
      <c r="E723" s="275" t="s">
        <v>452</v>
      </c>
      <c r="F723" s="275" t="s">
        <v>453</v>
      </c>
      <c r="G723" s="275" t="s">
        <v>454</v>
      </c>
      <c r="H723" s="275"/>
      <c r="I723" s="275"/>
      <c r="J723" s="275"/>
    </row>
    <row r="724" spans="1:10">
      <c r="A724" s="273"/>
      <c r="B724" s="274"/>
      <c r="C724" s="278"/>
      <c r="D724" s="275">
        <v>0.39500000000000002</v>
      </c>
      <c r="E724" s="275">
        <v>0.4</v>
      </c>
      <c r="F724" s="275">
        <v>1.2649999999999999</v>
      </c>
      <c r="G724" s="275">
        <v>1.306</v>
      </c>
      <c r="H724" s="275"/>
      <c r="I724" s="275"/>
      <c r="J724" s="275"/>
    </row>
    <row r="725" spans="1:10">
      <c r="A725" s="273"/>
      <c r="B725" s="274"/>
      <c r="C725" s="278"/>
      <c r="D725" s="275"/>
      <c r="E725" s="275"/>
      <c r="F725" s="275"/>
      <c r="G725" s="275"/>
      <c r="H725" s="275"/>
      <c r="I725" s="275"/>
      <c r="J725" s="275"/>
    </row>
    <row r="726" spans="1:10">
      <c r="A726" s="273">
        <v>241</v>
      </c>
      <c r="B726" s="274">
        <v>77</v>
      </c>
      <c r="C726" s="278" t="s">
        <v>185</v>
      </c>
      <c r="D726" s="275" t="s">
        <v>451</v>
      </c>
      <c r="E726" s="275" t="s">
        <v>452</v>
      </c>
      <c r="F726" s="275" t="s">
        <v>453</v>
      </c>
      <c r="G726" s="275" t="s">
        <v>454</v>
      </c>
      <c r="H726" s="275"/>
      <c r="I726" s="275"/>
      <c r="J726" s="275"/>
    </row>
    <row r="727" spans="1:10">
      <c r="A727" s="273"/>
      <c r="B727" s="274"/>
      <c r="C727" s="278"/>
      <c r="D727" s="275">
        <v>0.39500000000000002</v>
      </c>
      <c r="E727" s="275">
        <v>0.4</v>
      </c>
      <c r="F727" s="275">
        <v>1.2470000000000001</v>
      </c>
      <c r="G727" s="275">
        <v>1.284</v>
      </c>
      <c r="H727" s="275"/>
      <c r="I727" s="275"/>
      <c r="J727" s="275"/>
    </row>
    <row r="728" spans="1:10">
      <c r="A728" s="273"/>
      <c r="B728" s="274"/>
      <c r="C728" s="278"/>
      <c r="D728" s="275"/>
      <c r="E728" s="275"/>
      <c r="F728" s="275"/>
      <c r="G728" s="275"/>
      <c r="H728" s="275"/>
      <c r="I728" s="275"/>
      <c r="J728" s="275"/>
    </row>
    <row r="729" spans="1:10">
      <c r="A729" s="273">
        <v>242</v>
      </c>
      <c r="B729" s="274">
        <v>77</v>
      </c>
      <c r="C729" s="278" t="s">
        <v>186</v>
      </c>
      <c r="D729" s="275" t="s">
        <v>451</v>
      </c>
      <c r="E729" s="275" t="s">
        <v>452</v>
      </c>
      <c r="F729" s="275" t="s">
        <v>453</v>
      </c>
      <c r="G729" s="275" t="s">
        <v>454</v>
      </c>
      <c r="H729" s="275"/>
      <c r="I729" s="275"/>
      <c r="J729" s="275"/>
    </row>
    <row r="730" spans="1:10">
      <c r="A730" s="273"/>
      <c r="B730" s="274"/>
      <c r="C730" s="278"/>
      <c r="D730" s="275">
        <v>0.39500000000000002</v>
      </c>
      <c r="E730" s="275">
        <v>0.4</v>
      </c>
      <c r="F730" s="275">
        <v>1.2290000000000001</v>
      </c>
      <c r="G730" s="275">
        <v>1.262</v>
      </c>
      <c r="H730" s="275"/>
      <c r="I730" s="275"/>
      <c r="J730" s="275"/>
    </row>
    <row r="731" spans="1:10">
      <c r="A731" s="273"/>
      <c r="B731" s="274"/>
      <c r="C731" s="278"/>
      <c r="D731" s="275"/>
      <c r="E731" s="275"/>
      <c r="F731" s="275"/>
      <c r="G731" s="275"/>
      <c r="H731" s="275"/>
      <c r="I731" s="275"/>
      <c r="J731" s="275"/>
    </row>
    <row r="732" spans="1:10">
      <c r="A732" s="273">
        <v>243</v>
      </c>
      <c r="B732" s="274">
        <v>77</v>
      </c>
      <c r="C732" s="278" t="s">
        <v>187</v>
      </c>
      <c r="D732" s="275" t="s">
        <v>451</v>
      </c>
      <c r="E732" s="275" t="s">
        <v>452</v>
      </c>
      <c r="F732" s="275" t="s">
        <v>453</v>
      </c>
      <c r="G732" s="275" t="s">
        <v>454</v>
      </c>
      <c r="H732" s="275"/>
      <c r="I732" s="275"/>
      <c r="J732" s="275"/>
    </row>
    <row r="733" spans="1:10">
      <c r="A733" s="273"/>
      <c r="B733" s="274"/>
      <c r="C733" s="278"/>
      <c r="D733" s="275">
        <v>0.39500000000000002</v>
      </c>
      <c r="E733" s="275">
        <v>0.39900000000000002</v>
      </c>
      <c r="F733" s="275">
        <v>1.2110000000000001</v>
      </c>
      <c r="G733" s="275">
        <v>1.242</v>
      </c>
      <c r="H733" s="275"/>
      <c r="I733" s="275"/>
      <c r="J733" s="275"/>
    </row>
    <row r="734" spans="1:10">
      <c r="A734" s="273"/>
      <c r="B734" s="274"/>
      <c r="C734" s="278"/>
      <c r="D734" s="275"/>
      <c r="E734" s="275"/>
      <c r="F734" s="275"/>
      <c r="G734" s="275"/>
      <c r="H734" s="275"/>
      <c r="I734" s="275"/>
      <c r="J734" s="275"/>
    </row>
    <row r="735" spans="1:10">
      <c r="A735" s="273">
        <v>244</v>
      </c>
      <c r="B735" s="274">
        <v>77</v>
      </c>
      <c r="C735" s="278" t="s">
        <v>188</v>
      </c>
      <c r="D735" s="275" t="s">
        <v>451</v>
      </c>
      <c r="E735" s="275" t="s">
        <v>452</v>
      </c>
      <c r="F735" s="275" t="s">
        <v>453</v>
      </c>
      <c r="G735" s="275" t="s">
        <v>454</v>
      </c>
      <c r="H735" s="275"/>
      <c r="I735" s="275"/>
      <c r="J735" s="275"/>
    </row>
    <row r="736" spans="1:10">
      <c r="A736" s="273"/>
      <c r="B736" s="274"/>
      <c r="C736" s="278"/>
      <c r="D736" s="275">
        <v>0.39500000000000002</v>
      </c>
      <c r="E736" s="275">
        <v>0.39900000000000002</v>
      </c>
      <c r="F736" s="275">
        <v>1.194</v>
      </c>
      <c r="G736" s="275">
        <v>1.222</v>
      </c>
      <c r="H736" s="275"/>
      <c r="I736" s="275"/>
      <c r="J736" s="275"/>
    </row>
    <row r="737" spans="1:10">
      <c r="A737" s="273"/>
      <c r="B737" s="274"/>
      <c r="C737" s="278"/>
      <c r="D737" s="275"/>
      <c r="E737" s="275"/>
      <c r="F737" s="275"/>
      <c r="G737" s="275"/>
      <c r="H737" s="275"/>
      <c r="I737" s="275"/>
      <c r="J737" s="275"/>
    </row>
    <row r="738" spans="1:10">
      <c r="A738" s="273">
        <v>245</v>
      </c>
      <c r="B738" s="274">
        <v>78</v>
      </c>
      <c r="C738" s="278" t="s">
        <v>382</v>
      </c>
      <c r="D738" s="275" t="s">
        <v>451</v>
      </c>
      <c r="E738" s="275" t="s">
        <v>452</v>
      </c>
      <c r="F738" s="275" t="s">
        <v>453</v>
      </c>
      <c r="G738" s="275" t="s">
        <v>454</v>
      </c>
      <c r="H738" s="275"/>
      <c r="I738" s="275"/>
      <c r="J738" s="275"/>
    </row>
    <row r="739" spans="1:10">
      <c r="A739" s="273"/>
      <c r="B739" s="274"/>
      <c r="C739" s="278"/>
      <c r="D739" s="275">
        <v>0.38500000000000001</v>
      </c>
      <c r="E739" s="275">
        <v>0.38900000000000001</v>
      </c>
      <c r="F739" s="275">
        <v>1.2170000000000001</v>
      </c>
      <c r="G739" s="275">
        <v>1.256</v>
      </c>
      <c r="H739" s="275"/>
      <c r="I739" s="275"/>
      <c r="J739" s="275"/>
    </row>
    <row r="740" spans="1:10">
      <c r="A740" s="273"/>
      <c r="B740" s="274"/>
      <c r="C740" s="278"/>
      <c r="D740" s="275"/>
      <c r="E740" s="275"/>
      <c r="F740" s="275"/>
      <c r="G740" s="275"/>
      <c r="H740" s="275"/>
      <c r="I740" s="275"/>
      <c r="J740" s="275"/>
    </row>
    <row r="741" spans="1:10">
      <c r="A741" s="273">
        <v>246</v>
      </c>
      <c r="B741" s="274">
        <v>78</v>
      </c>
      <c r="C741" s="278" t="s">
        <v>383</v>
      </c>
      <c r="D741" s="275" t="s">
        <v>451</v>
      </c>
      <c r="E741" s="275" t="s">
        <v>452</v>
      </c>
      <c r="F741" s="275" t="s">
        <v>453</v>
      </c>
      <c r="G741" s="275" t="s">
        <v>454</v>
      </c>
      <c r="H741" s="275"/>
      <c r="I741" s="275"/>
      <c r="J741" s="275"/>
    </row>
    <row r="742" spans="1:10">
      <c r="A742" s="273"/>
      <c r="B742" s="274"/>
      <c r="C742" s="278"/>
      <c r="D742" s="275">
        <v>0.38500000000000001</v>
      </c>
      <c r="E742" s="275">
        <v>0.38900000000000001</v>
      </c>
      <c r="F742" s="275">
        <v>1.1859999999999999</v>
      </c>
      <c r="G742" s="275">
        <v>1.2190000000000001</v>
      </c>
      <c r="H742" s="275"/>
      <c r="I742" s="275"/>
      <c r="J742" s="275"/>
    </row>
    <row r="743" spans="1:10">
      <c r="A743" s="273"/>
      <c r="B743" s="274"/>
      <c r="C743" s="278"/>
      <c r="D743" s="275"/>
      <c r="E743" s="275"/>
      <c r="F743" s="275"/>
      <c r="G743" s="275"/>
      <c r="H743" s="275"/>
      <c r="I743" s="275"/>
      <c r="J743" s="275"/>
    </row>
    <row r="744" spans="1:10">
      <c r="A744" s="273">
        <v>247</v>
      </c>
      <c r="B744" s="274">
        <v>78</v>
      </c>
      <c r="C744" s="278" t="s">
        <v>189</v>
      </c>
      <c r="D744" s="275" t="s">
        <v>451</v>
      </c>
      <c r="E744" s="275" t="s">
        <v>452</v>
      </c>
      <c r="F744" s="275" t="s">
        <v>453</v>
      </c>
      <c r="G744" s="275" t="s">
        <v>454</v>
      </c>
      <c r="H744" s="275"/>
      <c r="I744" s="275"/>
      <c r="J744" s="275"/>
    </row>
    <row r="745" spans="1:10">
      <c r="A745" s="273"/>
      <c r="B745" s="274"/>
      <c r="C745" s="278"/>
      <c r="D745" s="275">
        <v>0.38500000000000001</v>
      </c>
      <c r="E745" s="275">
        <v>0.38900000000000001</v>
      </c>
      <c r="F745" s="275">
        <v>1.17</v>
      </c>
      <c r="G745" s="275">
        <v>1.2010000000000001</v>
      </c>
      <c r="H745" s="275"/>
      <c r="I745" s="275"/>
      <c r="J745" s="275"/>
    </row>
    <row r="746" spans="1:10">
      <c r="A746" s="273"/>
      <c r="B746" s="274"/>
      <c r="C746" s="278"/>
      <c r="D746" s="275"/>
      <c r="E746" s="275"/>
      <c r="F746" s="275"/>
      <c r="G746" s="275"/>
      <c r="H746" s="275"/>
      <c r="I746" s="275"/>
      <c r="J746" s="275"/>
    </row>
    <row r="747" spans="1:10">
      <c r="A747" s="273">
        <v>248</v>
      </c>
      <c r="B747" s="274">
        <v>78</v>
      </c>
      <c r="C747" s="278" t="s">
        <v>190</v>
      </c>
      <c r="D747" s="275" t="s">
        <v>451</v>
      </c>
      <c r="E747" s="275" t="s">
        <v>452</v>
      </c>
      <c r="F747" s="275" t="s">
        <v>453</v>
      </c>
      <c r="G747" s="275" t="s">
        <v>454</v>
      </c>
      <c r="H747" s="275"/>
      <c r="I747" s="275"/>
      <c r="J747" s="275"/>
    </row>
    <row r="748" spans="1:10">
      <c r="A748" s="273"/>
      <c r="B748" s="274"/>
      <c r="C748" s="278"/>
      <c r="D748" s="275">
        <v>0.38400000000000001</v>
      </c>
      <c r="E748" s="275">
        <v>0.38900000000000001</v>
      </c>
      <c r="F748" s="275">
        <v>1.155</v>
      </c>
      <c r="G748" s="275">
        <v>1.1839999999999999</v>
      </c>
      <c r="H748" s="275"/>
      <c r="I748" s="275"/>
      <c r="J748" s="275"/>
    </row>
    <row r="749" spans="1:10">
      <c r="A749" s="273"/>
      <c r="B749" s="274"/>
      <c r="C749" s="278"/>
      <c r="D749" s="275"/>
      <c r="E749" s="275"/>
      <c r="F749" s="275"/>
      <c r="G749" s="275"/>
      <c r="H749" s="275"/>
      <c r="I749" s="275"/>
      <c r="J749" s="275"/>
    </row>
    <row r="750" spans="1:10">
      <c r="A750" s="273">
        <v>249</v>
      </c>
      <c r="B750" s="274">
        <v>79</v>
      </c>
      <c r="C750" s="278" t="s">
        <v>191</v>
      </c>
      <c r="D750" s="275" t="s">
        <v>451</v>
      </c>
      <c r="E750" s="275" t="s">
        <v>452</v>
      </c>
      <c r="F750" s="275" t="s">
        <v>453</v>
      </c>
      <c r="G750" s="275" t="s">
        <v>454</v>
      </c>
      <c r="H750" s="275"/>
      <c r="I750" s="275"/>
      <c r="J750" s="275"/>
    </row>
    <row r="751" spans="1:10">
      <c r="A751" s="273"/>
      <c r="B751" s="274"/>
      <c r="C751" s="278"/>
      <c r="D751" s="275">
        <v>0.375</v>
      </c>
      <c r="E751" s="275">
        <v>0.38</v>
      </c>
      <c r="F751" s="275">
        <v>1.1850000000000001</v>
      </c>
      <c r="G751" s="275">
        <v>1.228</v>
      </c>
      <c r="H751" s="275"/>
      <c r="I751" s="275"/>
      <c r="J751" s="275"/>
    </row>
    <row r="752" spans="1:10">
      <c r="A752" s="273"/>
      <c r="B752" s="274"/>
      <c r="C752" s="278"/>
      <c r="D752" s="275"/>
      <c r="E752" s="275"/>
      <c r="F752" s="275"/>
      <c r="G752" s="275"/>
      <c r="H752" s="275"/>
      <c r="I752" s="275"/>
      <c r="J752" s="275"/>
    </row>
    <row r="753" spans="1:10">
      <c r="A753" s="273">
        <v>250</v>
      </c>
      <c r="B753" s="274">
        <v>79</v>
      </c>
      <c r="C753" s="278" t="s">
        <v>192</v>
      </c>
      <c r="D753" s="275" t="s">
        <v>451</v>
      </c>
      <c r="E753" s="275" t="s">
        <v>452</v>
      </c>
      <c r="F753" s="275" t="s">
        <v>453</v>
      </c>
      <c r="G753" s="275" t="s">
        <v>454</v>
      </c>
      <c r="H753" s="275"/>
      <c r="I753" s="275"/>
      <c r="J753" s="275"/>
    </row>
    <row r="754" spans="1:10">
      <c r="A754" s="273"/>
      <c r="B754" s="274"/>
      <c r="C754" s="278"/>
      <c r="D754" s="275">
        <v>0.375</v>
      </c>
      <c r="E754" s="275">
        <v>0.38</v>
      </c>
      <c r="F754" s="275">
        <v>1.173</v>
      </c>
      <c r="G754" s="275">
        <v>1.212</v>
      </c>
      <c r="H754" s="275"/>
      <c r="I754" s="275"/>
      <c r="J754" s="275"/>
    </row>
    <row r="755" spans="1:10">
      <c r="A755" s="273"/>
      <c r="B755" s="274"/>
      <c r="C755" s="278"/>
      <c r="D755" s="275"/>
      <c r="E755" s="275"/>
      <c r="F755" s="275"/>
      <c r="G755" s="275"/>
      <c r="H755" s="275"/>
      <c r="I755" s="275"/>
      <c r="J755" s="275"/>
    </row>
    <row r="756" spans="1:10">
      <c r="A756" s="273">
        <v>251</v>
      </c>
      <c r="B756" s="274">
        <v>79</v>
      </c>
      <c r="C756" s="278" t="s">
        <v>193</v>
      </c>
      <c r="D756" s="275" t="s">
        <v>451</v>
      </c>
      <c r="E756" s="275" t="s">
        <v>452</v>
      </c>
      <c r="F756" s="275" t="s">
        <v>453</v>
      </c>
      <c r="G756" s="275" t="s">
        <v>454</v>
      </c>
      <c r="H756" s="275"/>
      <c r="I756" s="275"/>
      <c r="J756" s="275"/>
    </row>
    <row r="757" spans="1:10">
      <c r="A757" s="273"/>
      <c r="B757" s="274"/>
      <c r="C757" s="278"/>
      <c r="D757" s="275">
        <v>0.375</v>
      </c>
      <c r="E757" s="275">
        <v>0.38</v>
      </c>
      <c r="F757" s="275">
        <v>1.1599999999999999</v>
      </c>
      <c r="G757" s="275">
        <v>1.196</v>
      </c>
      <c r="H757" s="275"/>
      <c r="I757" s="275"/>
      <c r="J757" s="275"/>
    </row>
    <row r="758" spans="1:10">
      <c r="A758" s="273"/>
      <c r="B758" s="274"/>
      <c r="C758" s="278"/>
      <c r="D758" s="275"/>
      <c r="E758" s="275"/>
      <c r="F758" s="275"/>
      <c r="G758" s="275"/>
      <c r="H758" s="275"/>
      <c r="I758" s="275"/>
      <c r="J758" s="275"/>
    </row>
    <row r="759" spans="1:10">
      <c r="A759" s="273">
        <v>252</v>
      </c>
      <c r="B759" s="274">
        <v>79</v>
      </c>
      <c r="C759" s="278" t="s">
        <v>384</v>
      </c>
      <c r="D759" s="275" t="s">
        <v>451</v>
      </c>
      <c r="E759" s="275" t="s">
        <v>452</v>
      </c>
      <c r="F759" s="275" t="s">
        <v>453</v>
      </c>
      <c r="G759" s="275" t="s">
        <v>454</v>
      </c>
      <c r="H759" s="275"/>
      <c r="I759" s="275"/>
      <c r="J759" s="275"/>
    </row>
    <row r="760" spans="1:10">
      <c r="A760" s="273"/>
      <c r="B760" s="274"/>
      <c r="C760" s="278"/>
      <c r="D760" s="275">
        <v>0.375</v>
      </c>
      <c r="E760" s="275">
        <v>0.38</v>
      </c>
      <c r="F760" s="275">
        <v>1.133</v>
      </c>
      <c r="G760" s="275">
        <v>1.163</v>
      </c>
      <c r="H760" s="275"/>
      <c r="I760" s="275"/>
      <c r="J760" s="275"/>
    </row>
    <row r="761" spans="1:10">
      <c r="A761" s="273"/>
      <c r="B761" s="274"/>
      <c r="C761" s="278"/>
      <c r="D761" s="275"/>
      <c r="E761" s="275"/>
      <c r="F761" s="275"/>
      <c r="G761" s="275"/>
      <c r="H761" s="275"/>
      <c r="I761" s="275"/>
      <c r="J761" s="275"/>
    </row>
    <row r="762" spans="1:10">
      <c r="A762" s="273">
        <v>253</v>
      </c>
      <c r="B762" s="274">
        <v>80</v>
      </c>
      <c r="C762" s="278" t="s">
        <v>194</v>
      </c>
      <c r="D762" s="275" t="s">
        <v>451</v>
      </c>
      <c r="E762" s="275" t="s">
        <v>452</v>
      </c>
      <c r="F762" s="275" t="s">
        <v>453</v>
      </c>
      <c r="G762" s="275" t="s">
        <v>454</v>
      </c>
      <c r="H762" s="275" t="s">
        <v>455</v>
      </c>
      <c r="I762" s="275"/>
      <c r="J762" s="275"/>
    </row>
    <row r="763" spans="1:10">
      <c r="A763" s="273"/>
      <c r="B763" s="274"/>
      <c r="C763" s="278"/>
      <c r="D763" s="275">
        <v>0.36599999999999999</v>
      </c>
      <c r="E763" s="275">
        <v>0.371</v>
      </c>
      <c r="F763" s="275">
        <v>1.1359999999999999</v>
      </c>
      <c r="G763" s="275">
        <v>1.1739999999999999</v>
      </c>
      <c r="H763" s="275">
        <v>2.2229999999999999</v>
      </c>
      <c r="I763" s="275"/>
      <c r="J763" s="275"/>
    </row>
    <row r="764" spans="1:10">
      <c r="A764" s="273"/>
      <c r="B764" s="274"/>
      <c r="C764" s="278"/>
      <c r="D764" s="275"/>
      <c r="E764" s="275"/>
      <c r="F764" s="275"/>
      <c r="G764" s="275"/>
      <c r="H764" s="275"/>
      <c r="I764" s="275"/>
      <c r="J764" s="275"/>
    </row>
    <row r="765" spans="1:10">
      <c r="A765" s="273">
        <v>254</v>
      </c>
      <c r="B765" s="274">
        <v>80</v>
      </c>
      <c r="C765" s="278" t="s">
        <v>195</v>
      </c>
      <c r="D765" s="275" t="s">
        <v>451</v>
      </c>
      <c r="E765" s="275" t="s">
        <v>452</v>
      </c>
      <c r="F765" s="275" t="s">
        <v>453</v>
      </c>
      <c r="G765" s="275" t="s">
        <v>454</v>
      </c>
      <c r="H765" s="275"/>
      <c r="I765" s="275"/>
      <c r="J765" s="275"/>
    </row>
    <row r="766" spans="1:10">
      <c r="A766" s="273"/>
      <c r="B766" s="274"/>
      <c r="C766" s="278"/>
      <c r="D766" s="275">
        <v>0.36599999999999999</v>
      </c>
      <c r="E766" s="275">
        <v>0.371</v>
      </c>
      <c r="F766" s="275">
        <v>1.133</v>
      </c>
      <c r="G766" s="275">
        <v>1.171</v>
      </c>
      <c r="H766" s="275"/>
      <c r="I766" s="275"/>
      <c r="J766" s="275"/>
    </row>
    <row r="767" spans="1:10">
      <c r="A767" s="273"/>
      <c r="B767" s="274"/>
      <c r="C767" s="278"/>
      <c r="D767" s="275"/>
      <c r="E767" s="275"/>
      <c r="F767" s="275"/>
      <c r="G767" s="275"/>
      <c r="H767" s="275"/>
      <c r="I767" s="275"/>
      <c r="J767" s="275"/>
    </row>
    <row r="768" spans="1:10">
      <c r="A768" s="273">
        <v>255</v>
      </c>
      <c r="B768" s="274">
        <v>81</v>
      </c>
      <c r="C768" s="278" t="s">
        <v>196</v>
      </c>
      <c r="D768" s="275" t="s">
        <v>451</v>
      </c>
      <c r="E768" s="275" t="s">
        <v>452</v>
      </c>
      <c r="F768" s="275" t="s">
        <v>453</v>
      </c>
      <c r="G768" s="275" t="s">
        <v>454</v>
      </c>
      <c r="H768" s="275" t="s">
        <v>455</v>
      </c>
      <c r="I768" s="275"/>
      <c r="J768" s="275"/>
    </row>
    <row r="769" spans="1:10">
      <c r="A769" s="273"/>
      <c r="B769" s="274"/>
      <c r="C769" s="278"/>
      <c r="D769" s="275">
        <v>0.35699999999999998</v>
      </c>
      <c r="E769" s="275">
        <v>0.36199999999999999</v>
      </c>
      <c r="F769" s="275">
        <v>1.091</v>
      </c>
      <c r="G769" s="275">
        <v>1.127</v>
      </c>
      <c r="H769" s="275">
        <v>2.1070000000000002</v>
      </c>
      <c r="I769" s="275"/>
      <c r="J769" s="275"/>
    </row>
    <row r="770" spans="1:10">
      <c r="A770" s="273"/>
      <c r="B770" s="274"/>
      <c r="C770" s="278"/>
      <c r="D770" s="275"/>
      <c r="E770" s="275"/>
      <c r="F770" s="275"/>
      <c r="G770" s="275"/>
      <c r="H770" s="275"/>
      <c r="I770" s="275"/>
      <c r="J770" s="275"/>
    </row>
    <row r="771" spans="1:10">
      <c r="A771" s="273">
        <v>256</v>
      </c>
      <c r="B771" s="274">
        <v>81</v>
      </c>
      <c r="C771" s="278" t="s">
        <v>385</v>
      </c>
      <c r="D771" s="275" t="s">
        <v>451</v>
      </c>
      <c r="E771" s="275" t="s">
        <v>452</v>
      </c>
      <c r="F771" s="275" t="s">
        <v>453</v>
      </c>
      <c r="G771" s="275" t="s">
        <v>454</v>
      </c>
      <c r="H771" s="275"/>
      <c r="I771" s="275"/>
      <c r="J771" s="275"/>
    </row>
    <row r="772" spans="1:10">
      <c r="A772" s="273"/>
      <c r="B772" s="274"/>
      <c r="C772" s="278"/>
      <c r="D772" s="275">
        <v>0.35699999999999998</v>
      </c>
      <c r="E772" s="275">
        <v>0.36199999999999999</v>
      </c>
      <c r="F772" s="275">
        <v>1.087</v>
      </c>
      <c r="G772" s="275">
        <v>1.121</v>
      </c>
      <c r="H772" s="275"/>
      <c r="I772" s="275"/>
      <c r="J772" s="275"/>
    </row>
    <row r="773" spans="1:10">
      <c r="A773" s="273"/>
      <c r="B773" s="274"/>
      <c r="C773" s="278"/>
      <c r="D773" s="275"/>
      <c r="E773" s="275"/>
      <c r="F773" s="275"/>
      <c r="G773" s="275"/>
      <c r="H773" s="275"/>
      <c r="I773" s="275"/>
      <c r="J773" s="275"/>
    </row>
    <row r="774" spans="1:10">
      <c r="A774" s="273">
        <v>257</v>
      </c>
      <c r="B774" s="274">
        <v>82</v>
      </c>
      <c r="C774" s="278" t="s">
        <v>386</v>
      </c>
      <c r="D774" s="275" t="s">
        <v>451</v>
      </c>
      <c r="E774" s="275" t="s">
        <v>452</v>
      </c>
      <c r="F774" s="275" t="s">
        <v>453</v>
      </c>
      <c r="G774" s="275" t="s">
        <v>454</v>
      </c>
      <c r="H774" s="275" t="s">
        <v>455</v>
      </c>
      <c r="I774" s="275"/>
      <c r="J774" s="275"/>
    </row>
    <row r="775" spans="1:10">
      <c r="A775" s="273"/>
      <c r="B775" s="274"/>
      <c r="C775" s="278"/>
      <c r="D775" s="275">
        <v>0.34899999999999998</v>
      </c>
      <c r="E775" s="275">
        <v>0.35399999999999998</v>
      </c>
      <c r="F775" s="275">
        <v>1.0489999999999999</v>
      </c>
      <c r="G775" s="275">
        <v>1.0820000000000001</v>
      </c>
      <c r="H775" s="275">
        <v>1.9630000000000001</v>
      </c>
      <c r="I775" s="275"/>
      <c r="J775" s="275"/>
    </row>
    <row r="776" spans="1:10">
      <c r="A776" s="273"/>
      <c r="B776" s="274"/>
      <c r="C776" s="278"/>
      <c r="D776" s="275"/>
      <c r="E776" s="275"/>
      <c r="F776" s="275"/>
      <c r="G776" s="275"/>
      <c r="H776" s="275"/>
      <c r="I776" s="275"/>
      <c r="J776" s="275"/>
    </row>
    <row r="777" spans="1:10">
      <c r="A777" s="273">
        <v>258</v>
      </c>
      <c r="B777" s="274">
        <v>82</v>
      </c>
      <c r="C777" s="278" t="s">
        <v>387</v>
      </c>
      <c r="D777" s="275" t="s">
        <v>451</v>
      </c>
      <c r="E777" s="275" t="s">
        <v>452</v>
      </c>
      <c r="F777" s="275" t="s">
        <v>453</v>
      </c>
      <c r="G777" s="275" t="s">
        <v>454</v>
      </c>
      <c r="H777" s="275"/>
      <c r="I777" s="275"/>
      <c r="J777" s="275"/>
    </row>
    <row r="778" spans="1:10">
      <c r="A778" s="273"/>
      <c r="B778" s="274"/>
      <c r="C778" s="278"/>
      <c r="D778" s="275">
        <v>0.34899999999999998</v>
      </c>
      <c r="E778" s="275">
        <v>0.35399999999999998</v>
      </c>
      <c r="F778" s="275">
        <v>1.044</v>
      </c>
      <c r="G778" s="275">
        <v>1.0760000000000001</v>
      </c>
      <c r="H778" s="275"/>
      <c r="I778" s="275"/>
      <c r="J778" s="275"/>
    </row>
    <row r="779" spans="1:10">
      <c r="A779" s="273"/>
      <c r="B779" s="274"/>
      <c r="C779" s="278"/>
      <c r="D779" s="275"/>
      <c r="E779" s="275"/>
      <c r="F779" s="275"/>
      <c r="G779" s="275"/>
      <c r="H779" s="275"/>
      <c r="I779" s="275"/>
      <c r="J779" s="275"/>
    </row>
    <row r="780" spans="1:10">
      <c r="A780" s="273">
        <v>259</v>
      </c>
      <c r="B780" s="274">
        <v>83</v>
      </c>
      <c r="C780" s="278" t="s">
        <v>388</v>
      </c>
      <c r="D780" s="275" t="s">
        <v>451</v>
      </c>
      <c r="E780" s="275" t="s">
        <v>452</v>
      </c>
      <c r="F780" s="275" t="s">
        <v>453</v>
      </c>
      <c r="G780" s="275" t="s">
        <v>454</v>
      </c>
      <c r="H780" s="275" t="s">
        <v>455</v>
      </c>
      <c r="I780" s="275"/>
      <c r="J780" s="275"/>
    </row>
    <row r="781" spans="1:10">
      <c r="A781" s="273"/>
      <c r="B781" s="274"/>
      <c r="C781" s="278"/>
      <c r="D781" s="275">
        <v>0.34100000000000003</v>
      </c>
      <c r="E781" s="275">
        <v>0.34599999999999997</v>
      </c>
      <c r="F781" s="275">
        <v>1.0109999999999999</v>
      </c>
      <c r="G781" s="275">
        <v>1.042</v>
      </c>
      <c r="H781" s="275">
        <v>1.847</v>
      </c>
      <c r="I781" s="275"/>
      <c r="J781" s="275"/>
    </row>
    <row r="782" spans="1:10">
      <c r="A782" s="273"/>
      <c r="B782" s="274"/>
      <c r="C782" s="278"/>
      <c r="D782" s="275"/>
      <c r="E782" s="275"/>
      <c r="F782" s="275"/>
      <c r="G782" s="275"/>
      <c r="H782" s="275"/>
      <c r="I782" s="275"/>
      <c r="J782" s="275"/>
    </row>
    <row r="783" spans="1:10">
      <c r="A783" s="273">
        <v>260</v>
      </c>
      <c r="B783" s="274">
        <v>83</v>
      </c>
      <c r="C783" s="278" t="s">
        <v>389</v>
      </c>
      <c r="D783" s="275" t="s">
        <v>451</v>
      </c>
      <c r="E783" s="275" t="s">
        <v>452</v>
      </c>
      <c r="F783" s="275" t="s">
        <v>453</v>
      </c>
      <c r="G783" s="275" t="s">
        <v>454</v>
      </c>
      <c r="H783" s="275"/>
      <c r="I783" s="275"/>
      <c r="J783" s="275"/>
    </row>
    <row r="784" spans="1:10">
      <c r="A784" s="273"/>
      <c r="B784" s="274"/>
      <c r="C784" s="278"/>
      <c r="D784" s="275">
        <v>0.34100000000000003</v>
      </c>
      <c r="E784" s="275">
        <v>0.34599999999999997</v>
      </c>
      <c r="F784" s="275">
        <v>1.006</v>
      </c>
      <c r="G784" s="275">
        <v>1.036</v>
      </c>
      <c r="H784" s="275"/>
      <c r="I784" s="275"/>
      <c r="J784" s="275"/>
    </row>
    <row r="785" spans="1:10">
      <c r="A785" s="273"/>
      <c r="B785" s="274"/>
      <c r="C785" s="278"/>
      <c r="D785" s="275"/>
      <c r="E785" s="275"/>
      <c r="F785" s="275"/>
      <c r="G785" s="275"/>
      <c r="H785" s="275"/>
      <c r="I785" s="275"/>
      <c r="J785" s="275"/>
    </row>
    <row r="786" spans="1:10">
      <c r="A786" s="273">
        <v>261</v>
      </c>
      <c r="B786" s="274">
        <v>84</v>
      </c>
      <c r="C786" s="278" t="s">
        <v>390</v>
      </c>
      <c r="D786" s="275" t="s">
        <v>451</v>
      </c>
      <c r="E786" s="275" t="s">
        <v>452</v>
      </c>
      <c r="F786" s="275" t="s">
        <v>453</v>
      </c>
      <c r="G786" s="275" t="s">
        <v>454</v>
      </c>
      <c r="H786" s="275" t="s">
        <v>455</v>
      </c>
      <c r="I786" s="275" t="s">
        <v>456</v>
      </c>
      <c r="J786" s="275" t="s">
        <v>457</v>
      </c>
    </row>
    <row r="787" spans="1:10">
      <c r="A787" s="273"/>
      <c r="B787" s="274"/>
      <c r="C787" s="278"/>
      <c r="D787" s="275">
        <v>0.33400000000000002</v>
      </c>
      <c r="E787" s="275">
        <v>0.33800000000000002</v>
      </c>
      <c r="F787" s="275">
        <v>0.97799999999999998</v>
      </c>
      <c r="G787" s="275">
        <v>1.008</v>
      </c>
      <c r="H787" s="275">
        <v>1.7909999999999999</v>
      </c>
      <c r="I787" s="275">
        <v>2.044</v>
      </c>
      <c r="J787" s="275">
        <v>2.258</v>
      </c>
    </row>
    <row r="788" spans="1:10">
      <c r="A788" s="273"/>
      <c r="B788" s="274"/>
      <c r="C788" s="278"/>
      <c r="D788" s="275"/>
      <c r="E788" s="275"/>
      <c r="F788" s="275"/>
      <c r="G788" s="275"/>
      <c r="H788" s="275"/>
      <c r="I788" s="275"/>
      <c r="J788" s="275"/>
    </row>
    <row r="789" spans="1:10">
      <c r="A789" s="273">
        <v>262</v>
      </c>
      <c r="B789" s="274">
        <v>84</v>
      </c>
      <c r="C789" s="278" t="s">
        <v>391</v>
      </c>
      <c r="D789" s="275" t="s">
        <v>451</v>
      </c>
      <c r="E789" s="275" t="s">
        <v>452</v>
      </c>
      <c r="F789" s="275" t="s">
        <v>453</v>
      </c>
      <c r="G789" s="275" t="s">
        <v>454</v>
      </c>
      <c r="H789" s="275" t="s">
        <v>455</v>
      </c>
      <c r="I789" s="275"/>
      <c r="J789" s="275"/>
    </row>
    <row r="790" spans="1:10">
      <c r="A790" s="273"/>
      <c r="B790" s="274"/>
      <c r="C790" s="278"/>
      <c r="D790" s="275">
        <v>0.33400000000000002</v>
      </c>
      <c r="E790" s="275">
        <v>0.33800000000000002</v>
      </c>
      <c r="F790" s="275">
        <v>0.97599999999999998</v>
      </c>
      <c r="G790" s="275">
        <v>1.0049999999999999</v>
      </c>
      <c r="H790" s="275">
        <v>1.75</v>
      </c>
      <c r="I790" s="275"/>
      <c r="J790" s="275"/>
    </row>
    <row r="791" spans="1:10">
      <c r="A791" s="273"/>
      <c r="B791" s="274"/>
      <c r="C791" s="278"/>
      <c r="D791" s="275"/>
      <c r="E791" s="275"/>
      <c r="F791" s="275"/>
      <c r="G791" s="275"/>
      <c r="H791" s="275"/>
      <c r="I791" s="275"/>
      <c r="J791" s="275"/>
    </row>
    <row r="792" spans="1:10">
      <c r="A792" s="273">
        <v>263</v>
      </c>
      <c r="B792" s="274">
        <v>84</v>
      </c>
      <c r="C792" s="278" t="s">
        <v>392</v>
      </c>
      <c r="D792" s="275" t="s">
        <v>451</v>
      </c>
      <c r="E792" s="275" t="s">
        <v>452</v>
      </c>
      <c r="F792" s="275" t="s">
        <v>453</v>
      </c>
      <c r="G792" s="275" t="s">
        <v>454</v>
      </c>
      <c r="H792" s="275"/>
      <c r="I792" s="275"/>
      <c r="J792" s="275"/>
    </row>
    <row r="793" spans="1:10">
      <c r="A793" s="273"/>
      <c r="B793" s="274"/>
      <c r="C793" s="278"/>
      <c r="D793" s="275">
        <v>0.33400000000000002</v>
      </c>
      <c r="E793" s="275">
        <v>0.33800000000000002</v>
      </c>
      <c r="F793" s="275">
        <v>0.97099999999999997</v>
      </c>
      <c r="G793" s="275">
        <v>1</v>
      </c>
      <c r="H793" s="275"/>
      <c r="I793" s="275"/>
      <c r="J793" s="275"/>
    </row>
    <row r="794" spans="1:10">
      <c r="A794" s="273"/>
      <c r="B794" s="274"/>
      <c r="C794" s="278"/>
      <c r="D794" s="275"/>
      <c r="E794" s="275"/>
      <c r="F794" s="275"/>
      <c r="G794" s="275"/>
      <c r="H794" s="275"/>
      <c r="I794" s="275"/>
      <c r="J794" s="275"/>
    </row>
    <row r="795" spans="1:10">
      <c r="A795" s="273">
        <v>264</v>
      </c>
      <c r="B795" s="274">
        <v>85</v>
      </c>
      <c r="C795" s="278" t="s">
        <v>197</v>
      </c>
      <c r="D795" s="275" t="s">
        <v>451</v>
      </c>
      <c r="E795" s="275" t="s">
        <v>452</v>
      </c>
      <c r="F795" s="275" t="s">
        <v>453</v>
      </c>
      <c r="G795" s="275" t="s">
        <v>454</v>
      </c>
      <c r="H795" s="275" t="s">
        <v>455</v>
      </c>
      <c r="I795" s="275" t="s">
        <v>456</v>
      </c>
      <c r="J795" s="275" t="s">
        <v>457</v>
      </c>
    </row>
    <row r="796" spans="1:10">
      <c r="A796" s="273"/>
      <c r="B796" s="274"/>
      <c r="C796" s="278"/>
      <c r="D796" s="275">
        <v>0.32700000000000001</v>
      </c>
      <c r="E796" s="275">
        <v>0.33100000000000002</v>
      </c>
      <c r="F796" s="275">
        <v>0.94699999999999995</v>
      </c>
      <c r="G796" s="275">
        <v>0.97599999999999998</v>
      </c>
      <c r="H796" s="275">
        <v>1.7350000000000001</v>
      </c>
      <c r="I796" s="275">
        <v>1.9710000000000001</v>
      </c>
      <c r="J796" s="275">
        <v>2.2000000000000002</v>
      </c>
    </row>
    <row r="797" spans="1:10">
      <c r="A797" s="273"/>
      <c r="B797" s="274"/>
      <c r="C797" s="278"/>
      <c r="D797" s="275"/>
      <c r="E797" s="275"/>
      <c r="F797" s="275"/>
      <c r="G797" s="275"/>
      <c r="H797" s="275"/>
      <c r="I797" s="275"/>
      <c r="J797" s="275"/>
    </row>
    <row r="798" spans="1:10">
      <c r="A798" s="273">
        <v>265</v>
      </c>
      <c r="B798" s="274">
        <v>85</v>
      </c>
      <c r="C798" s="278" t="s">
        <v>393</v>
      </c>
      <c r="D798" s="275" t="s">
        <v>451</v>
      </c>
      <c r="E798" s="275" t="s">
        <v>452</v>
      </c>
      <c r="F798" s="275" t="s">
        <v>453</v>
      </c>
      <c r="G798" s="275" t="s">
        <v>454</v>
      </c>
      <c r="H798" s="275" t="s">
        <v>455</v>
      </c>
      <c r="I798" s="275" t="s">
        <v>456</v>
      </c>
      <c r="J798" s="275" t="s">
        <v>457</v>
      </c>
    </row>
    <row r="799" spans="1:10">
      <c r="A799" s="273"/>
      <c r="B799" s="274"/>
      <c r="C799" s="278"/>
      <c r="D799" s="275">
        <v>0.32700000000000001</v>
      </c>
      <c r="E799" s="275">
        <v>0.33100000000000002</v>
      </c>
      <c r="F799" s="275">
        <v>0.94599999999999995</v>
      </c>
      <c r="G799" s="275">
        <v>0.97399999999999998</v>
      </c>
      <c r="H799" s="275">
        <v>1.702</v>
      </c>
      <c r="I799" s="275">
        <v>1.9079999999999999</v>
      </c>
      <c r="J799" s="275">
        <v>2.0979999999999999</v>
      </c>
    </row>
    <row r="800" spans="1:10">
      <c r="A800" s="273"/>
      <c r="B800" s="274"/>
      <c r="C800" s="278"/>
      <c r="D800" s="275"/>
      <c r="E800" s="275"/>
      <c r="F800" s="275"/>
      <c r="G800" s="275"/>
      <c r="H800" s="275"/>
      <c r="I800" s="275"/>
      <c r="J800" s="275"/>
    </row>
    <row r="801" spans="1:10">
      <c r="A801" s="273">
        <v>266</v>
      </c>
      <c r="B801" s="274">
        <v>85</v>
      </c>
      <c r="C801" s="278" t="s">
        <v>394</v>
      </c>
      <c r="D801" s="275" t="s">
        <v>451</v>
      </c>
      <c r="E801" s="275" t="s">
        <v>452</v>
      </c>
      <c r="F801" s="275" t="s">
        <v>453</v>
      </c>
      <c r="G801" s="275" t="s">
        <v>454</v>
      </c>
      <c r="H801" s="275" t="s">
        <v>455</v>
      </c>
      <c r="I801" s="275"/>
      <c r="J801" s="275"/>
    </row>
    <row r="802" spans="1:10">
      <c r="A802" s="273"/>
      <c r="B802" s="274"/>
      <c r="C802" s="278"/>
      <c r="D802" s="275">
        <v>0.32700000000000001</v>
      </c>
      <c r="E802" s="275">
        <v>0.33100000000000002</v>
      </c>
      <c r="F802" s="275">
        <v>0.94399999999999995</v>
      </c>
      <c r="G802" s="275">
        <v>0.97199999999999998</v>
      </c>
      <c r="H802" s="275">
        <v>1.6659999999999999</v>
      </c>
      <c r="I802" s="275"/>
      <c r="J802" s="275"/>
    </row>
    <row r="803" spans="1:10">
      <c r="A803" s="273"/>
      <c r="B803" s="274"/>
      <c r="C803" s="278"/>
      <c r="D803" s="275"/>
      <c r="E803" s="275"/>
      <c r="F803" s="275"/>
      <c r="G803" s="275"/>
      <c r="H803" s="275"/>
      <c r="I803" s="275"/>
      <c r="J803" s="275"/>
    </row>
    <row r="804" spans="1:10">
      <c r="A804" s="273">
        <v>267</v>
      </c>
      <c r="B804" s="274">
        <v>85</v>
      </c>
      <c r="C804" s="278" t="s">
        <v>395</v>
      </c>
      <c r="D804" s="275" t="s">
        <v>451</v>
      </c>
      <c r="E804" s="275" t="s">
        <v>452</v>
      </c>
      <c r="F804" s="275" t="s">
        <v>453</v>
      </c>
      <c r="G804" s="275" t="s">
        <v>454</v>
      </c>
      <c r="H804" s="275"/>
      <c r="I804" s="275"/>
      <c r="J804" s="275"/>
    </row>
    <row r="805" spans="1:10">
      <c r="A805" s="273"/>
      <c r="B805" s="274"/>
      <c r="C805" s="278"/>
      <c r="D805" s="275">
        <v>0.32700000000000001</v>
      </c>
      <c r="E805" s="275">
        <v>0.33100000000000002</v>
      </c>
      <c r="F805" s="275">
        <v>0.93899999999999995</v>
      </c>
      <c r="G805" s="275">
        <v>0.96599999999999997</v>
      </c>
      <c r="H805" s="275"/>
      <c r="I805" s="275"/>
      <c r="J805" s="275"/>
    </row>
    <row r="806" spans="1:10">
      <c r="A806" s="273"/>
      <c r="B806" s="274"/>
      <c r="C806" s="278"/>
      <c r="D806" s="275"/>
      <c r="E806" s="275"/>
      <c r="F806" s="275"/>
      <c r="G806" s="275"/>
      <c r="H806" s="275"/>
      <c r="I806" s="275"/>
      <c r="J806" s="275"/>
    </row>
    <row r="807" spans="1:10">
      <c r="A807" s="273">
        <v>268</v>
      </c>
      <c r="B807" s="274">
        <v>85</v>
      </c>
      <c r="C807" s="278" t="s">
        <v>396</v>
      </c>
      <c r="D807" s="275" t="s">
        <v>451</v>
      </c>
      <c r="E807" s="275" t="s">
        <v>452</v>
      </c>
      <c r="F807" s="275" t="s">
        <v>453</v>
      </c>
      <c r="G807" s="275" t="s">
        <v>454</v>
      </c>
      <c r="H807" s="275" t="s">
        <v>455</v>
      </c>
      <c r="I807" s="275" t="s">
        <v>456</v>
      </c>
      <c r="J807" s="275" t="s">
        <v>457</v>
      </c>
    </row>
    <row r="808" spans="1:10">
      <c r="A808" s="273"/>
      <c r="B808" s="274"/>
      <c r="C808" s="278"/>
      <c r="D808" s="275">
        <v>0.32700000000000001</v>
      </c>
      <c r="E808" s="275">
        <v>0.33100000000000002</v>
      </c>
      <c r="F808" s="275">
        <v>0.94799999999999995</v>
      </c>
      <c r="G808" s="275">
        <v>0.97599999999999998</v>
      </c>
      <c r="H808" s="275">
        <v>1.7589999999999999</v>
      </c>
      <c r="I808" s="275">
        <v>2.0230000000000001</v>
      </c>
      <c r="J808" s="275">
        <v>2.319</v>
      </c>
    </row>
    <row r="809" spans="1:10">
      <c r="A809" s="273"/>
      <c r="B809" s="274"/>
      <c r="C809" s="278"/>
      <c r="D809" s="275"/>
      <c r="E809" s="275"/>
      <c r="F809" s="275"/>
      <c r="G809" s="275"/>
      <c r="H809" s="275"/>
      <c r="I809" s="275"/>
      <c r="J809" s="275"/>
    </row>
    <row r="810" spans="1:10">
      <c r="A810" s="273">
        <v>269</v>
      </c>
      <c r="B810" s="274">
        <v>87</v>
      </c>
      <c r="C810" s="278" t="s">
        <v>198</v>
      </c>
      <c r="D810" s="275" t="s">
        <v>451</v>
      </c>
      <c r="E810" s="275" t="s">
        <v>452</v>
      </c>
      <c r="F810" s="275" t="s">
        <v>453</v>
      </c>
      <c r="G810" s="275" t="s">
        <v>454</v>
      </c>
      <c r="H810" s="275" t="s">
        <v>455</v>
      </c>
      <c r="I810" s="275" t="s">
        <v>456</v>
      </c>
      <c r="J810" s="275" t="s">
        <v>457</v>
      </c>
    </row>
    <row r="811" spans="1:10">
      <c r="A811" s="273"/>
      <c r="B811" s="274"/>
      <c r="C811" s="278"/>
      <c r="D811" s="275">
        <v>0.313</v>
      </c>
      <c r="E811" s="275">
        <v>0.318</v>
      </c>
      <c r="F811" s="275">
        <v>0.89200000000000002</v>
      </c>
      <c r="G811" s="275">
        <v>0.91800000000000004</v>
      </c>
      <c r="H811" s="275">
        <v>1.607</v>
      </c>
      <c r="I811" s="275">
        <v>1.788</v>
      </c>
      <c r="J811" s="275">
        <v>2.0009999999999999</v>
      </c>
    </row>
    <row r="812" spans="1:10">
      <c r="A812" s="273"/>
      <c r="B812" s="274"/>
      <c r="C812" s="278"/>
      <c r="D812" s="275"/>
      <c r="E812" s="275"/>
      <c r="F812" s="275"/>
      <c r="G812" s="275"/>
      <c r="H812" s="275"/>
      <c r="I812" s="275"/>
      <c r="J812" s="275"/>
    </row>
    <row r="813" spans="1:10">
      <c r="A813" s="273">
        <v>270</v>
      </c>
      <c r="B813" s="274">
        <v>88</v>
      </c>
      <c r="C813" s="278" t="s">
        <v>397</v>
      </c>
      <c r="D813" s="275" t="s">
        <v>451</v>
      </c>
      <c r="E813" s="275" t="s">
        <v>452</v>
      </c>
      <c r="F813" s="275" t="s">
        <v>453</v>
      </c>
      <c r="G813" s="275" t="s">
        <v>454</v>
      </c>
      <c r="H813" s="275" t="s">
        <v>455</v>
      </c>
      <c r="I813" s="275" t="s">
        <v>456</v>
      </c>
      <c r="J813" s="275" t="s">
        <v>457</v>
      </c>
    </row>
    <row r="814" spans="1:10">
      <c r="A814" s="273"/>
      <c r="B814" s="274"/>
      <c r="C814" s="278"/>
      <c r="D814" s="275">
        <v>0.307</v>
      </c>
      <c r="E814" s="275">
        <v>0.311</v>
      </c>
      <c r="F814" s="275">
        <v>0.86599999999999999</v>
      </c>
      <c r="G814" s="275">
        <v>0.89200000000000002</v>
      </c>
      <c r="H814" s="275">
        <v>1.5409999999999999</v>
      </c>
      <c r="I814" s="275">
        <v>1.6950000000000001</v>
      </c>
      <c r="J814" s="275">
        <v>1.8859999999999999</v>
      </c>
    </row>
    <row r="815" spans="1:10">
      <c r="A815" s="273"/>
      <c r="B815" s="274"/>
      <c r="C815" s="278"/>
      <c r="D815" s="275"/>
      <c r="E815" s="275"/>
      <c r="F815" s="275"/>
      <c r="G815" s="275"/>
      <c r="H815" s="275"/>
      <c r="I815" s="275"/>
      <c r="J815" s="275"/>
    </row>
    <row r="816" spans="1:10">
      <c r="A816" s="273">
        <v>271</v>
      </c>
      <c r="B816" s="274">
        <v>89</v>
      </c>
      <c r="C816" s="278" t="s">
        <v>398</v>
      </c>
      <c r="D816" s="275" t="s">
        <v>451</v>
      </c>
      <c r="E816" s="275" t="s">
        <v>452</v>
      </c>
      <c r="F816" s="275" t="s">
        <v>453</v>
      </c>
      <c r="G816" s="275" t="s">
        <v>454</v>
      </c>
      <c r="H816" s="275" t="s">
        <v>455</v>
      </c>
      <c r="I816" s="275" t="s">
        <v>456</v>
      </c>
      <c r="J816" s="275" t="s">
        <v>457</v>
      </c>
    </row>
    <row r="817" spans="1:10">
      <c r="A817" s="273"/>
      <c r="B817" s="274"/>
      <c r="C817" s="278"/>
      <c r="D817" s="275">
        <v>0.30099999999999999</v>
      </c>
      <c r="E817" s="275">
        <v>0.30499999999999999</v>
      </c>
      <c r="F817" s="275">
        <v>0.84299999999999997</v>
      </c>
      <c r="G817" s="275">
        <v>0.86699999999999999</v>
      </c>
      <c r="H817" s="275">
        <v>1.48</v>
      </c>
      <c r="I817" s="275">
        <v>1.6140000000000001</v>
      </c>
      <c r="J817" s="275">
        <v>1.79</v>
      </c>
    </row>
    <row r="818" spans="1:10">
      <c r="A818" s="273"/>
      <c r="B818" s="274"/>
      <c r="C818" s="278"/>
      <c r="D818" s="275"/>
      <c r="E818" s="275"/>
      <c r="F818" s="275"/>
      <c r="G818" s="275"/>
      <c r="H818" s="275"/>
      <c r="I818" s="275"/>
      <c r="J818" s="275"/>
    </row>
    <row r="819" spans="1:10">
      <c r="A819" s="273">
        <v>272</v>
      </c>
      <c r="B819" s="274">
        <v>90</v>
      </c>
      <c r="C819" s="278" t="s">
        <v>399</v>
      </c>
      <c r="D819" s="275" t="s">
        <v>458</v>
      </c>
      <c r="E819" s="275" t="s">
        <v>459</v>
      </c>
      <c r="F819" s="275" t="s">
        <v>460</v>
      </c>
      <c r="G819" s="275" t="s">
        <v>461</v>
      </c>
      <c r="H819" s="275"/>
      <c r="I819" s="275"/>
      <c r="J819" s="275"/>
    </row>
    <row r="820" spans="1:10">
      <c r="A820" s="273"/>
      <c r="B820" s="274"/>
      <c r="C820" s="278"/>
      <c r="D820" s="275">
        <v>1.161</v>
      </c>
      <c r="E820" s="275">
        <v>1.1819999999999999</v>
      </c>
      <c r="F820" s="275">
        <v>2.4089999999999998</v>
      </c>
      <c r="G820" s="275">
        <v>2.4969999999999999</v>
      </c>
      <c r="H820" s="275"/>
      <c r="I820" s="275"/>
      <c r="J820" s="275"/>
    </row>
    <row r="821" spans="1:10">
      <c r="A821" s="273"/>
      <c r="B821" s="274"/>
      <c r="C821" s="278"/>
      <c r="D821" s="275"/>
      <c r="E821" s="275"/>
      <c r="F821" s="275"/>
      <c r="G821" s="275"/>
      <c r="H821" s="275"/>
      <c r="I821" s="275"/>
      <c r="J821" s="275"/>
    </row>
    <row r="822" spans="1:10">
      <c r="A822" s="273">
        <v>273</v>
      </c>
      <c r="B822" s="274">
        <v>90</v>
      </c>
      <c r="C822" s="278" t="s">
        <v>199</v>
      </c>
      <c r="D822" s="275" t="s">
        <v>458</v>
      </c>
      <c r="E822" s="275" t="s">
        <v>459</v>
      </c>
      <c r="F822" s="275"/>
      <c r="G822" s="275"/>
      <c r="H822" s="275"/>
      <c r="I822" s="275"/>
      <c r="J822" s="275"/>
    </row>
    <row r="823" spans="1:10">
      <c r="A823" s="273"/>
      <c r="B823" s="274"/>
      <c r="C823" s="278"/>
      <c r="D823" s="275">
        <v>1.1539999999999999</v>
      </c>
      <c r="E823" s="275">
        <v>1.1739999999999999</v>
      </c>
      <c r="F823" s="275"/>
      <c r="G823" s="275"/>
      <c r="H823" s="275"/>
      <c r="I823" s="275"/>
      <c r="J823" s="275"/>
    </row>
    <row r="824" spans="1:10">
      <c r="A824" s="273"/>
      <c r="B824" s="274"/>
      <c r="C824" s="278"/>
      <c r="D824" s="275"/>
      <c r="E824" s="275"/>
      <c r="F824" s="275"/>
      <c r="G824" s="275"/>
      <c r="H824" s="275"/>
      <c r="I824" s="275"/>
      <c r="J824" s="275"/>
    </row>
    <row r="825" spans="1:10">
      <c r="A825" s="273">
        <v>274</v>
      </c>
      <c r="B825" s="274">
        <v>90</v>
      </c>
      <c r="C825" s="278" t="s">
        <v>200</v>
      </c>
      <c r="D825" s="275" t="s">
        <v>451</v>
      </c>
      <c r="E825" s="275" t="s">
        <v>452</v>
      </c>
      <c r="F825" s="275" t="s">
        <v>453</v>
      </c>
      <c r="G825" s="275" t="s">
        <v>454</v>
      </c>
      <c r="H825" s="275" t="s">
        <v>455</v>
      </c>
      <c r="I825" s="275" t="s">
        <v>456</v>
      </c>
      <c r="J825" s="275" t="s">
        <v>457</v>
      </c>
    </row>
    <row r="826" spans="1:10">
      <c r="A826" s="273"/>
      <c r="B826" s="274"/>
      <c r="C826" s="278"/>
      <c r="D826" s="275">
        <v>0.29499999999999998</v>
      </c>
      <c r="E826" s="275">
        <v>0.29899999999999999</v>
      </c>
      <c r="F826" s="275">
        <v>0.82</v>
      </c>
      <c r="G826" s="275">
        <v>0.84399999999999997</v>
      </c>
      <c r="H826" s="275">
        <v>1.425</v>
      </c>
      <c r="I826" s="275">
        <v>1.5429999999999999</v>
      </c>
      <c r="J826" s="275">
        <v>1.7070000000000001</v>
      </c>
    </row>
    <row r="827" spans="1:10">
      <c r="A827" s="273"/>
      <c r="B827" s="274"/>
      <c r="C827" s="278"/>
      <c r="D827" s="275"/>
      <c r="E827" s="275"/>
      <c r="F827" s="275"/>
      <c r="G827" s="275"/>
      <c r="H827" s="275"/>
      <c r="I827" s="275"/>
      <c r="J827" s="275"/>
    </row>
    <row r="828" spans="1:10">
      <c r="A828" s="273">
        <v>275</v>
      </c>
      <c r="B828" s="274">
        <v>91</v>
      </c>
      <c r="C828" s="278" t="s">
        <v>400</v>
      </c>
      <c r="D828" s="275" t="s">
        <v>458</v>
      </c>
      <c r="E828" s="275" t="s">
        <v>459</v>
      </c>
      <c r="F828" s="275"/>
      <c r="G828" s="275"/>
      <c r="H828" s="275"/>
      <c r="I828" s="275"/>
      <c r="J828" s="275"/>
    </row>
    <row r="829" spans="1:10">
      <c r="A829" s="273"/>
      <c r="B829" s="274"/>
      <c r="C829" s="278"/>
      <c r="D829" s="275">
        <v>1.0960000000000001</v>
      </c>
      <c r="E829" s="275">
        <v>1.115</v>
      </c>
      <c r="F829" s="275"/>
      <c r="G829" s="275"/>
      <c r="H829" s="275"/>
      <c r="I829" s="275"/>
      <c r="J829" s="275"/>
    </row>
    <row r="830" spans="1:10">
      <c r="A830" s="273"/>
      <c r="B830" s="274"/>
      <c r="C830" s="278"/>
      <c r="D830" s="275"/>
      <c r="E830" s="275"/>
      <c r="F830" s="275"/>
      <c r="G830" s="275"/>
      <c r="H830" s="275"/>
      <c r="I830" s="275"/>
      <c r="J830" s="275"/>
    </row>
    <row r="831" spans="1:10">
      <c r="A831" s="273">
        <v>276</v>
      </c>
      <c r="B831" s="274">
        <v>91</v>
      </c>
      <c r="C831" s="278" t="s">
        <v>201</v>
      </c>
      <c r="D831" s="275" t="s">
        <v>458</v>
      </c>
      <c r="E831" s="275" t="s">
        <v>459</v>
      </c>
      <c r="F831" s="275"/>
      <c r="G831" s="275"/>
      <c r="H831" s="275"/>
      <c r="I831" s="275"/>
      <c r="J831" s="275"/>
    </row>
    <row r="832" spans="1:10">
      <c r="A832" s="273"/>
      <c r="B832" s="274"/>
      <c r="C832" s="278"/>
      <c r="D832" s="275">
        <v>1.073</v>
      </c>
      <c r="E832" s="275">
        <v>1.0900000000000001</v>
      </c>
      <c r="F832" s="275"/>
      <c r="G832" s="275"/>
      <c r="H832" s="275"/>
      <c r="I832" s="275"/>
      <c r="J832" s="275"/>
    </row>
    <row r="833" spans="1:10">
      <c r="A833" s="273"/>
      <c r="B833" s="274"/>
      <c r="C833" s="278"/>
      <c r="D833" s="275"/>
      <c r="E833" s="275"/>
      <c r="F833" s="275"/>
      <c r="G833" s="275"/>
      <c r="H833" s="275"/>
      <c r="I833" s="275"/>
      <c r="J833" s="275"/>
    </row>
    <row r="834" spans="1:10">
      <c r="A834" s="273">
        <v>277</v>
      </c>
      <c r="B834" s="274">
        <v>91</v>
      </c>
      <c r="C834" s="278" t="s">
        <v>202</v>
      </c>
      <c r="D834" s="275" t="s">
        <v>451</v>
      </c>
      <c r="E834" s="275" t="s">
        <v>452</v>
      </c>
      <c r="F834" s="275" t="s">
        <v>453</v>
      </c>
      <c r="G834" s="275" t="s">
        <v>454</v>
      </c>
      <c r="H834" s="275" t="s">
        <v>455</v>
      </c>
      <c r="I834" s="275" t="s">
        <v>456</v>
      </c>
      <c r="J834" s="275" t="s">
        <v>457</v>
      </c>
    </row>
    <row r="835" spans="1:10">
      <c r="A835" s="273"/>
      <c r="B835" s="274"/>
      <c r="C835" s="278"/>
      <c r="D835" s="275">
        <v>0.28999999999999998</v>
      </c>
      <c r="E835" s="275">
        <v>0.29399999999999998</v>
      </c>
      <c r="F835" s="275">
        <v>0.79900000000000004</v>
      </c>
      <c r="G835" s="275">
        <v>0.82199999999999995</v>
      </c>
      <c r="H835" s="275">
        <v>1.3740000000000001</v>
      </c>
      <c r="I835" s="275">
        <v>1.4790000000000001</v>
      </c>
      <c r="J835" s="275">
        <v>1.6339999999999999</v>
      </c>
    </row>
    <row r="836" spans="1:10">
      <c r="A836" s="273"/>
      <c r="B836" s="274"/>
      <c r="C836" s="278"/>
      <c r="D836" s="275"/>
      <c r="E836" s="275"/>
      <c r="F836" s="275"/>
      <c r="G836" s="275"/>
      <c r="H836" s="275"/>
      <c r="I836" s="275"/>
      <c r="J836" s="275"/>
    </row>
    <row r="837" spans="1:10">
      <c r="A837" s="273">
        <v>278</v>
      </c>
      <c r="B837" s="274">
        <v>92</v>
      </c>
      <c r="C837" s="278" t="s">
        <v>401</v>
      </c>
      <c r="D837" s="275" t="s">
        <v>458</v>
      </c>
      <c r="E837" s="275" t="s">
        <v>459</v>
      </c>
      <c r="F837" s="275"/>
      <c r="G837" s="275"/>
      <c r="H837" s="275"/>
      <c r="I837" s="275"/>
      <c r="J837" s="275"/>
    </row>
    <row r="838" spans="1:10">
      <c r="A838" s="273"/>
      <c r="B838" s="274"/>
      <c r="C838" s="278"/>
      <c r="D838" s="275">
        <v>1.048</v>
      </c>
      <c r="E838" s="275">
        <v>1.0669999999999999</v>
      </c>
      <c r="F838" s="275"/>
      <c r="G838" s="275"/>
      <c r="H838" s="275"/>
      <c r="I838" s="275"/>
      <c r="J838" s="275"/>
    </row>
    <row r="839" spans="1:10">
      <c r="A839" s="273"/>
      <c r="B839" s="274"/>
      <c r="C839" s="278"/>
      <c r="D839" s="275"/>
      <c r="E839" s="275"/>
      <c r="F839" s="275"/>
      <c r="G839" s="275"/>
      <c r="H839" s="275"/>
      <c r="I839" s="275"/>
      <c r="J839" s="275"/>
    </row>
    <row r="840" spans="1:10">
      <c r="A840" s="273">
        <v>279</v>
      </c>
      <c r="B840" s="274">
        <v>92</v>
      </c>
      <c r="C840" s="278" t="s">
        <v>203</v>
      </c>
      <c r="D840" s="275" t="s">
        <v>458</v>
      </c>
      <c r="E840" s="275" t="s">
        <v>459</v>
      </c>
      <c r="F840" s="275"/>
      <c r="G840" s="275"/>
      <c r="H840" s="275"/>
      <c r="I840" s="275"/>
      <c r="J840" s="275"/>
    </row>
    <row r="841" spans="1:10">
      <c r="A841" s="273"/>
      <c r="B841" s="274"/>
      <c r="C841" s="278"/>
      <c r="D841" s="275">
        <v>1.03</v>
      </c>
      <c r="E841" s="275">
        <v>1.046</v>
      </c>
      <c r="F841" s="275"/>
      <c r="G841" s="275"/>
      <c r="H841" s="275"/>
      <c r="I841" s="275"/>
      <c r="J841" s="275"/>
    </row>
    <row r="842" spans="1:10">
      <c r="A842" s="273"/>
      <c r="B842" s="274"/>
      <c r="C842" s="278"/>
      <c r="D842" s="275"/>
      <c r="E842" s="275"/>
      <c r="F842" s="275"/>
      <c r="G842" s="275"/>
      <c r="H842" s="275"/>
      <c r="I842" s="275"/>
      <c r="J842" s="275"/>
    </row>
    <row r="843" spans="1:10">
      <c r="A843" s="273">
        <v>280</v>
      </c>
      <c r="B843" s="274">
        <v>92</v>
      </c>
      <c r="C843" s="278" t="s">
        <v>204</v>
      </c>
      <c r="D843" s="275" t="s">
        <v>458</v>
      </c>
      <c r="E843" s="275" t="s">
        <v>459</v>
      </c>
      <c r="F843" s="275"/>
      <c r="G843" s="275"/>
      <c r="H843" s="275"/>
      <c r="I843" s="275"/>
      <c r="J843" s="275"/>
    </row>
    <row r="844" spans="1:10">
      <c r="A844" s="273"/>
      <c r="B844" s="274"/>
      <c r="C844" s="278"/>
      <c r="D844" s="275">
        <v>1.012</v>
      </c>
      <c r="E844" s="275">
        <v>1.0269999999999999</v>
      </c>
      <c r="F844" s="275"/>
      <c r="G844" s="275"/>
      <c r="H844" s="275"/>
      <c r="I844" s="275"/>
      <c r="J844" s="275"/>
    </row>
    <row r="845" spans="1:10">
      <c r="A845" s="273"/>
      <c r="B845" s="274"/>
      <c r="C845" s="278"/>
      <c r="D845" s="275"/>
      <c r="E845" s="275"/>
      <c r="F845" s="275"/>
      <c r="G845" s="275"/>
      <c r="H845" s="275"/>
      <c r="I845" s="275"/>
      <c r="J845" s="275"/>
    </row>
    <row r="846" spans="1:10">
      <c r="A846" s="273">
        <v>281</v>
      </c>
      <c r="B846" s="274">
        <v>92</v>
      </c>
      <c r="C846" s="278" t="s">
        <v>205</v>
      </c>
      <c r="D846" s="275" t="s">
        <v>451</v>
      </c>
      <c r="E846" s="275" t="s">
        <v>452</v>
      </c>
      <c r="F846" s="275" t="s">
        <v>453</v>
      </c>
      <c r="G846" s="275" t="s">
        <v>454</v>
      </c>
      <c r="H846" s="275" t="s">
        <v>455</v>
      </c>
      <c r="I846" s="275" t="s">
        <v>456</v>
      </c>
      <c r="J846" s="275" t="s">
        <v>457</v>
      </c>
    </row>
    <row r="847" spans="1:10">
      <c r="A847" s="273"/>
      <c r="B847" s="274"/>
      <c r="C847" s="278"/>
      <c r="D847" s="275">
        <v>0.28399999999999997</v>
      </c>
      <c r="E847" s="275">
        <v>0.28799999999999998</v>
      </c>
      <c r="F847" s="275">
        <v>0.77900000000000003</v>
      </c>
      <c r="G847" s="275">
        <v>0.80200000000000005</v>
      </c>
      <c r="H847" s="275">
        <v>1.3280000000000001</v>
      </c>
      <c r="I847" s="275">
        <v>1.421</v>
      </c>
      <c r="J847" s="275">
        <v>1.569</v>
      </c>
    </row>
    <row r="848" spans="1:10">
      <c r="A848" s="273"/>
      <c r="B848" s="274"/>
      <c r="C848" s="278"/>
      <c r="D848" s="275"/>
      <c r="E848" s="275"/>
      <c r="F848" s="275"/>
      <c r="G848" s="275"/>
      <c r="H848" s="275"/>
      <c r="I848" s="275"/>
      <c r="J848" s="275"/>
    </row>
    <row r="849" spans="1:10">
      <c r="A849" s="273">
        <v>282</v>
      </c>
      <c r="B849" s="274">
        <v>93</v>
      </c>
      <c r="C849" s="278" t="s">
        <v>402</v>
      </c>
      <c r="D849" s="275" t="s">
        <v>458</v>
      </c>
      <c r="E849" s="275" t="s">
        <v>459</v>
      </c>
      <c r="F849" s="275"/>
      <c r="G849" s="275"/>
      <c r="H849" s="275"/>
      <c r="I849" s="275"/>
      <c r="J849" s="275"/>
    </row>
    <row r="850" spans="1:10">
      <c r="A850" s="273"/>
      <c r="B850" s="274"/>
      <c r="C850" s="278"/>
      <c r="D850" s="275">
        <v>1.0069999999999999</v>
      </c>
      <c r="E850" s="275">
        <v>1.0249999999999999</v>
      </c>
      <c r="F850" s="275"/>
      <c r="G850" s="275"/>
      <c r="H850" s="275"/>
      <c r="I850" s="275"/>
      <c r="J850" s="275"/>
    </row>
    <row r="851" spans="1:10">
      <c r="A851" s="273"/>
      <c r="B851" s="274"/>
      <c r="C851" s="278"/>
      <c r="D851" s="275"/>
      <c r="E851" s="275"/>
      <c r="F851" s="275"/>
      <c r="G851" s="275"/>
      <c r="H851" s="275"/>
      <c r="I851" s="275"/>
      <c r="J851" s="275"/>
    </row>
    <row r="852" spans="1:10">
      <c r="A852" s="273">
        <v>283</v>
      </c>
      <c r="B852" s="274">
        <v>93</v>
      </c>
      <c r="C852" s="278" t="s">
        <v>206</v>
      </c>
      <c r="D852" s="275" t="s">
        <v>458</v>
      </c>
      <c r="E852" s="275" t="s">
        <v>459</v>
      </c>
      <c r="F852" s="275"/>
      <c r="G852" s="275"/>
      <c r="H852" s="275"/>
      <c r="I852" s="275"/>
      <c r="J852" s="275"/>
    </row>
    <row r="853" spans="1:10">
      <c r="A853" s="273"/>
      <c r="B853" s="274"/>
      <c r="C853" s="278"/>
      <c r="D853" s="275">
        <v>0.99099999999999999</v>
      </c>
      <c r="E853" s="275">
        <v>1.008</v>
      </c>
      <c r="F853" s="275"/>
      <c r="G853" s="275"/>
      <c r="H853" s="275"/>
      <c r="I853" s="275"/>
      <c r="J853" s="275"/>
    </row>
    <row r="854" spans="1:10">
      <c r="A854" s="273"/>
      <c r="B854" s="274"/>
      <c r="C854" s="278"/>
      <c r="D854" s="275"/>
      <c r="E854" s="275"/>
      <c r="F854" s="275"/>
      <c r="G854" s="275"/>
      <c r="H854" s="275"/>
      <c r="I854" s="275"/>
      <c r="J854" s="275"/>
    </row>
    <row r="855" spans="1:10">
      <c r="A855" s="273">
        <v>284</v>
      </c>
      <c r="B855" s="274">
        <v>93</v>
      </c>
      <c r="C855" s="278" t="s">
        <v>207</v>
      </c>
      <c r="D855" s="275" t="s">
        <v>458</v>
      </c>
      <c r="E855" s="275" t="s">
        <v>459</v>
      </c>
      <c r="F855" s="275"/>
      <c r="G855" s="275"/>
      <c r="H855" s="275"/>
      <c r="I855" s="275"/>
      <c r="J855" s="275"/>
    </row>
    <row r="856" spans="1:10">
      <c r="A856" s="273"/>
      <c r="B856" s="274"/>
      <c r="C856" s="278"/>
      <c r="D856" s="275">
        <v>0.97599999999999998</v>
      </c>
      <c r="E856" s="275">
        <v>0.99099999999999999</v>
      </c>
      <c r="F856" s="275"/>
      <c r="G856" s="275"/>
      <c r="H856" s="275"/>
      <c r="I856" s="275"/>
      <c r="J856" s="275"/>
    </row>
    <row r="857" spans="1:10">
      <c r="A857" s="273"/>
      <c r="B857" s="274"/>
      <c r="C857" s="278"/>
      <c r="D857" s="275"/>
      <c r="E857" s="275"/>
      <c r="F857" s="275"/>
      <c r="G857" s="275"/>
      <c r="H857" s="275"/>
      <c r="I857" s="275"/>
      <c r="J857" s="275"/>
    </row>
    <row r="858" spans="1:10">
      <c r="A858" s="273">
        <v>285</v>
      </c>
      <c r="B858" s="274">
        <v>93</v>
      </c>
      <c r="C858" s="278" t="s">
        <v>208</v>
      </c>
      <c r="D858" s="275" t="s">
        <v>458</v>
      </c>
      <c r="E858" s="275" t="s">
        <v>459</v>
      </c>
      <c r="F858" s="275"/>
      <c r="G858" s="275"/>
      <c r="H858" s="275"/>
      <c r="I858" s="275"/>
      <c r="J858" s="275"/>
    </row>
    <row r="859" spans="1:10">
      <c r="A859" s="273"/>
      <c r="B859" s="274"/>
      <c r="C859" s="278"/>
      <c r="D859" s="275">
        <v>0.96199999999999997</v>
      </c>
      <c r="E859" s="275">
        <v>0.97599999999999998</v>
      </c>
      <c r="F859" s="275"/>
      <c r="G859" s="275"/>
      <c r="H859" s="275"/>
      <c r="I859" s="275"/>
      <c r="J859" s="275"/>
    </row>
    <row r="860" spans="1:10">
      <c r="A860" s="273"/>
      <c r="B860" s="274"/>
      <c r="C860" s="278"/>
      <c r="D860" s="275"/>
      <c r="E860" s="275"/>
      <c r="F860" s="275"/>
      <c r="G860" s="275"/>
      <c r="H860" s="275"/>
      <c r="I860" s="275"/>
      <c r="J860" s="275"/>
    </row>
    <row r="861" spans="1:10">
      <c r="A861" s="273">
        <v>286</v>
      </c>
      <c r="B861" s="274">
        <v>93</v>
      </c>
      <c r="C861" s="278" t="s">
        <v>209</v>
      </c>
      <c r="D861" s="275" t="s">
        <v>451</v>
      </c>
      <c r="E861" s="275" t="s">
        <v>452</v>
      </c>
      <c r="F861" s="275" t="s">
        <v>453</v>
      </c>
      <c r="G861" s="275" t="s">
        <v>454</v>
      </c>
      <c r="H861" s="275" t="s">
        <v>455</v>
      </c>
      <c r="I861" s="275" t="s">
        <v>456</v>
      </c>
      <c r="J861" s="275" t="s">
        <v>457</v>
      </c>
    </row>
    <row r="862" spans="1:10">
      <c r="A862" s="273"/>
      <c r="B862" s="274"/>
      <c r="C862" s="278"/>
      <c r="D862" s="275">
        <v>0.27900000000000003</v>
      </c>
      <c r="E862" s="275">
        <v>0.28299999999999997</v>
      </c>
      <c r="F862" s="275">
        <v>0.76</v>
      </c>
      <c r="G862" s="275">
        <v>0.78200000000000003</v>
      </c>
      <c r="H862" s="275">
        <v>1.284</v>
      </c>
      <c r="I862" s="275">
        <v>1.369</v>
      </c>
      <c r="J862" s="275">
        <v>1.5109999999999999</v>
      </c>
    </row>
    <row r="863" spans="1:10">
      <c r="A863" s="273"/>
      <c r="B863" s="274"/>
      <c r="C863" s="278"/>
      <c r="D863" s="275"/>
      <c r="E863" s="275"/>
      <c r="F863" s="275"/>
      <c r="G863" s="275"/>
      <c r="H863" s="275"/>
      <c r="I863" s="275"/>
      <c r="J863" s="275"/>
    </row>
    <row r="864" spans="1:10">
      <c r="A864" s="273">
        <v>287</v>
      </c>
      <c r="B864" s="274">
        <v>94</v>
      </c>
      <c r="C864" s="278" t="s">
        <v>403</v>
      </c>
      <c r="D864" s="275" t="s">
        <v>458</v>
      </c>
      <c r="E864" s="275" t="s">
        <v>459</v>
      </c>
      <c r="F864" s="275"/>
      <c r="G864" s="275"/>
      <c r="H864" s="275"/>
      <c r="I864" s="275"/>
      <c r="J864" s="275"/>
    </row>
    <row r="865" spans="1:10">
      <c r="A865" s="273"/>
      <c r="B865" s="274"/>
      <c r="C865" s="278"/>
      <c r="D865" s="275">
        <v>0.97</v>
      </c>
      <c r="E865" s="275">
        <v>0.98799999999999999</v>
      </c>
      <c r="F865" s="275"/>
      <c r="G865" s="275"/>
      <c r="H865" s="275"/>
      <c r="I865" s="275"/>
      <c r="J865" s="275"/>
    </row>
    <row r="866" spans="1:10">
      <c r="A866" s="273"/>
      <c r="B866" s="274"/>
      <c r="C866" s="278"/>
      <c r="D866" s="275"/>
      <c r="E866" s="275"/>
      <c r="F866" s="275"/>
      <c r="G866" s="275"/>
      <c r="H866" s="275"/>
      <c r="I866" s="275"/>
      <c r="J866" s="275"/>
    </row>
    <row r="867" spans="1:10">
      <c r="A867" s="273">
        <v>288</v>
      </c>
      <c r="B867" s="274">
        <v>94</v>
      </c>
      <c r="C867" s="278" t="s">
        <v>210</v>
      </c>
      <c r="D867" s="275" t="s">
        <v>458</v>
      </c>
      <c r="E867" s="275" t="s">
        <v>459</v>
      </c>
      <c r="F867" s="275"/>
      <c r="G867" s="275"/>
      <c r="H867" s="275"/>
      <c r="I867" s="275"/>
      <c r="J867" s="275"/>
    </row>
    <row r="868" spans="1:10">
      <c r="A868" s="273"/>
      <c r="B868" s="274"/>
      <c r="C868" s="278"/>
      <c r="D868" s="275">
        <v>0.95699999999999996</v>
      </c>
      <c r="E868" s="275">
        <v>0.97299999999999998</v>
      </c>
      <c r="F868" s="275"/>
      <c r="G868" s="275"/>
      <c r="H868" s="275"/>
      <c r="I868" s="275"/>
      <c r="J868" s="275"/>
    </row>
    <row r="869" spans="1:10">
      <c r="A869" s="273"/>
      <c r="B869" s="274"/>
      <c r="C869" s="278"/>
      <c r="D869" s="275"/>
      <c r="E869" s="275"/>
      <c r="F869" s="275"/>
      <c r="G869" s="275"/>
      <c r="H869" s="275"/>
      <c r="I869" s="275"/>
      <c r="J869" s="275"/>
    </row>
    <row r="870" spans="1:10">
      <c r="A870" s="273">
        <v>289</v>
      </c>
      <c r="B870" s="274">
        <v>94</v>
      </c>
      <c r="C870" s="278" t="s">
        <v>211</v>
      </c>
      <c r="D870" s="275" t="s">
        <v>458</v>
      </c>
      <c r="E870" s="275" t="s">
        <v>459</v>
      </c>
      <c r="F870" s="275"/>
      <c r="G870" s="275"/>
      <c r="H870" s="275"/>
      <c r="I870" s="275"/>
      <c r="J870" s="275"/>
    </row>
    <row r="871" spans="1:10">
      <c r="A871" s="273"/>
      <c r="B871" s="274"/>
      <c r="C871" s="278"/>
      <c r="D871" s="275">
        <v>0.94399999999999995</v>
      </c>
      <c r="E871" s="275">
        <v>0.95899999999999996</v>
      </c>
      <c r="F871" s="275"/>
      <c r="G871" s="275"/>
      <c r="H871" s="275"/>
      <c r="I871" s="275"/>
      <c r="J871" s="275"/>
    </row>
    <row r="872" spans="1:10">
      <c r="A872" s="273"/>
      <c r="B872" s="274"/>
      <c r="C872" s="278"/>
      <c r="D872" s="275"/>
      <c r="E872" s="275"/>
      <c r="F872" s="275"/>
      <c r="G872" s="275"/>
      <c r="H872" s="275"/>
      <c r="I872" s="275"/>
      <c r="J872" s="275"/>
    </row>
    <row r="873" spans="1:10">
      <c r="A873" s="273">
        <v>290</v>
      </c>
      <c r="B873" s="274">
        <v>94</v>
      </c>
      <c r="C873" s="278" t="s">
        <v>212</v>
      </c>
      <c r="D873" s="275" t="s">
        <v>458</v>
      </c>
      <c r="E873" s="275" t="s">
        <v>459</v>
      </c>
      <c r="F873" s="275"/>
      <c r="G873" s="275"/>
      <c r="H873" s="275"/>
      <c r="I873" s="275"/>
      <c r="J873" s="275"/>
    </row>
    <row r="874" spans="1:10">
      <c r="A874" s="273"/>
      <c r="B874" s="274"/>
      <c r="C874" s="278"/>
      <c r="D874" s="275">
        <v>0.93200000000000005</v>
      </c>
      <c r="E874" s="275">
        <v>0.94599999999999995</v>
      </c>
      <c r="F874" s="275"/>
      <c r="G874" s="275"/>
      <c r="H874" s="275"/>
      <c r="I874" s="275"/>
      <c r="J874" s="275"/>
    </row>
    <row r="875" spans="1:10">
      <c r="A875" s="273"/>
      <c r="B875" s="274"/>
      <c r="C875" s="278"/>
      <c r="D875" s="275"/>
      <c r="E875" s="275"/>
      <c r="F875" s="275"/>
      <c r="G875" s="275"/>
      <c r="H875" s="275"/>
      <c r="I875" s="275"/>
      <c r="J875" s="275"/>
    </row>
    <row r="876" spans="1:10">
      <c r="A876" s="273">
        <v>291</v>
      </c>
      <c r="B876" s="274">
        <v>94</v>
      </c>
      <c r="C876" s="278" t="s">
        <v>213</v>
      </c>
      <c r="D876" s="275" t="s">
        <v>458</v>
      </c>
      <c r="E876" s="275" t="s">
        <v>459</v>
      </c>
      <c r="F876" s="275"/>
      <c r="G876" s="275"/>
      <c r="H876" s="275"/>
      <c r="I876" s="275"/>
      <c r="J876" s="275"/>
    </row>
    <row r="877" spans="1:10">
      <c r="A877" s="273"/>
      <c r="B877" s="274"/>
      <c r="C877" s="278"/>
      <c r="D877" s="275">
        <v>0.91900000000000004</v>
      </c>
      <c r="E877" s="275">
        <v>0.93200000000000005</v>
      </c>
      <c r="F877" s="275"/>
      <c r="G877" s="275"/>
      <c r="H877" s="275"/>
      <c r="I877" s="275"/>
      <c r="J877" s="275"/>
    </row>
    <row r="878" spans="1:10">
      <c r="A878" s="273"/>
      <c r="B878" s="274"/>
      <c r="C878" s="278"/>
      <c r="D878" s="275"/>
      <c r="E878" s="275"/>
      <c r="F878" s="275"/>
      <c r="G878" s="275"/>
      <c r="H878" s="275"/>
      <c r="I878" s="275"/>
      <c r="J878" s="275"/>
    </row>
    <row r="879" spans="1:10">
      <c r="A879" s="273">
        <v>292</v>
      </c>
      <c r="B879" s="274">
        <v>95</v>
      </c>
      <c r="C879" s="278" t="s">
        <v>404</v>
      </c>
      <c r="D879" s="275" t="s">
        <v>458</v>
      </c>
      <c r="E879" s="275" t="s">
        <v>459</v>
      </c>
      <c r="F879" s="275"/>
      <c r="G879" s="275"/>
      <c r="H879" s="275"/>
      <c r="I879" s="275"/>
      <c r="J879" s="275"/>
    </row>
    <row r="880" spans="1:10">
      <c r="A880" s="273"/>
      <c r="B880" s="274"/>
      <c r="C880" s="278"/>
      <c r="D880" s="275">
        <v>0.94799999999999995</v>
      </c>
      <c r="E880" s="275">
        <v>0.96599999999999997</v>
      </c>
      <c r="F880" s="275"/>
      <c r="G880" s="275"/>
      <c r="H880" s="275"/>
      <c r="I880" s="275"/>
      <c r="J880" s="275"/>
    </row>
    <row r="881" spans="1:10">
      <c r="A881" s="273"/>
      <c r="B881" s="274"/>
      <c r="C881" s="278"/>
      <c r="D881" s="275"/>
      <c r="E881" s="275"/>
      <c r="F881" s="275"/>
      <c r="G881" s="275"/>
      <c r="H881" s="275"/>
      <c r="I881" s="275"/>
      <c r="J881" s="275"/>
    </row>
    <row r="882" spans="1:10">
      <c r="A882" s="273">
        <v>293</v>
      </c>
      <c r="B882" s="274">
        <v>95</v>
      </c>
      <c r="C882" s="278" t="s">
        <v>214</v>
      </c>
      <c r="D882" s="275" t="s">
        <v>458</v>
      </c>
      <c r="E882" s="275" t="s">
        <v>459</v>
      </c>
      <c r="F882" s="275"/>
      <c r="G882" s="275"/>
      <c r="H882" s="275"/>
      <c r="I882" s="275"/>
      <c r="J882" s="275"/>
    </row>
    <row r="883" spans="1:10">
      <c r="A883" s="273"/>
      <c r="B883" s="274"/>
      <c r="C883" s="278"/>
      <c r="D883" s="275">
        <v>0.93700000000000006</v>
      </c>
      <c r="E883" s="275">
        <v>0.95499999999999996</v>
      </c>
      <c r="F883" s="275"/>
      <c r="G883" s="275"/>
      <c r="H883" s="275"/>
      <c r="I883" s="275"/>
      <c r="J883" s="275"/>
    </row>
    <row r="884" spans="1:10">
      <c r="A884" s="273"/>
      <c r="B884" s="274"/>
      <c r="C884" s="278"/>
      <c r="D884" s="275"/>
      <c r="E884" s="275"/>
      <c r="F884" s="275"/>
      <c r="G884" s="275"/>
      <c r="H884" s="275"/>
      <c r="I884" s="275"/>
      <c r="J884" s="275"/>
    </row>
    <row r="885" spans="1:10">
      <c r="A885" s="273">
        <v>294</v>
      </c>
      <c r="B885" s="274">
        <v>95</v>
      </c>
      <c r="C885" s="278" t="s">
        <v>215</v>
      </c>
      <c r="D885" s="275" t="s">
        <v>458</v>
      </c>
      <c r="E885" s="275" t="s">
        <v>459</v>
      </c>
      <c r="F885" s="275"/>
      <c r="G885" s="275"/>
      <c r="H885" s="275"/>
      <c r="I885" s="275"/>
      <c r="J885" s="275"/>
    </row>
    <row r="886" spans="1:10">
      <c r="A886" s="273"/>
      <c r="B886" s="274"/>
      <c r="C886" s="278"/>
      <c r="D886" s="275">
        <v>0.92600000000000005</v>
      </c>
      <c r="E886" s="275">
        <v>0.94199999999999995</v>
      </c>
      <c r="F886" s="275"/>
      <c r="G886" s="275"/>
      <c r="H886" s="275"/>
      <c r="I886" s="275"/>
      <c r="J886" s="275"/>
    </row>
    <row r="887" spans="1:10">
      <c r="A887" s="273"/>
      <c r="B887" s="274"/>
      <c r="C887" s="278"/>
      <c r="D887" s="275"/>
      <c r="E887" s="275"/>
      <c r="F887" s="275"/>
      <c r="G887" s="275"/>
      <c r="H887" s="275"/>
      <c r="I887" s="275"/>
      <c r="J887" s="275"/>
    </row>
    <row r="888" spans="1:10">
      <c r="A888" s="273">
        <v>295</v>
      </c>
      <c r="B888" s="274">
        <v>95</v>
      </c>
      <c r="C888" s="278" t="s">
        <v>216</v>
      </c>
      <c r="D888" s="275" t="s">
        <v>458</v>
      </c>
      <c r="E888" s="275" t="s">
        <v>459</v>
      </c>
      <c r="F888" s="275"/>
      <c r="G888" s="275"/>
      <c r="H888" s="275"/>
      <c r="I888" s="275"/>
      <c r="J888" s="275"/>
    </row>
    <row r="889" spans="1:10">
      <c r="A889" s="273"/>
      <c r="B889" s="274"/>
      <c r="C889" s="278"/>
      <c r="D889" s="275">
        <v>0.91500000000000004</v>
      </c>
      <c r="E889" s="275">
        <v>0.93</v>
      </c>
      <c r="F889" s="275"/>
      <c r="G889" s="275"/>
      <c r="H889" s="275"/>
      <c r="I889" s="275"/>
      <c r="J889" s="275"/>
    </row>
    <row r="890" spans="1:10">
      <c r="A890" s="273"/>
      <c r="B890" s="274"/>
      <c r="C890" s="278"/>
      <c r="D890" s="275"/>
      <c r="E890" s="275"/>
      <c r="F890" s="275"/>
      <c r="G890" s="275"/>
      <c r="H890" s="275"/>
      <c r="I890" s="275"/>
      <c r="J890" s="275"/>
    </row>
    <row r="891" spans="1:10">
      <c r="A891" s="273">
        <v>296</v>
      </c>
      <c r="B891" s="274">
        <v>95</v>
      </c>
      <c r="C891" s="278" t="s">
        <v>217</v>
      </c>
      <c r="D891" s="275" t="s">
        <v>458</v>
      </c>
      <c r="E891" s="275" t="s">
        <v>459</v>
      </c>
      <c r="F891" s="275"/>
      <c r="G891" s="275"/>
      <c r="H891" s="275"/>
      <c r="I891" s="275"/>
      <c r="J891" s="275"/>
    </row>
    <row r="892" spans="1:10">
      <c r="A892" s="273"/>
      <c r="B892" s="274"/>
      <c r="C892" s="278"/>
      <c r="D892" s="275">
        <v>0.90400000000000003</v>
      </c>
      <c r="E892" s="275">
        <v>0.91800000000000004</v>
      </c>
      <c r="F892" s="275"/>
      <c r="G892" s="275"/>
      <c r="H892" s="275"/>
      <c r="I892" s="275"/>
      <c r="J892" s="275"/>
    </row>
    <row r="893" spans="1:10">
      <c r="A893" s="273"/>
      <c r="B893" s="274"/>
      <c r="C893" s="278"/>
      <c r="D893" s="275"/>
      <c r="E893" s="275"/>
      <c r="F893" s="275"/>
      <c r="G893" s="275"/>
      <c r="H893" s="275"/>
      <c r="I893" s="275"/>
      <c r="J893" s="275"/>
    </row>
    <row r="894" spans="1:10">
      <c r="A894" s="273">
        <v>297</v>
      </c>
      <c r="B894" s="274">
        <v>96</v>
      </c>
      <c r="C894" s="278" t="s">
        <v>405</v>
      </c>
      <c r="D894" s="275" t="s">
        <v>458</v>
      </c>
      <c r="E894" s="275" t="s">
        <v>459</v>
      </c>
      <c r="F894" s="275"/>
      <c r="G894" s="275"/>
      <c r="H894" s="275"/>
      <c r="I894" s="275"/>
      <c r="J894" s="275"/>
    </row>
    <row r="895" spans="1:10">
      <c r="A895" s="273"/>
      <c r="B895" s="274"/>
      <c r="C895" s="278"/>
      <c r="D895" s="275">
        <v>0.90800000000000003</v>
      </c>
      <c r="E895" s="275">
        <v>0.92500000000000004</v>
      </c>
      <c r="F895" s="275"/>
      <c r="G895" s="275"/>
      <c r="H895" s="275"/>
      <c r="I895" s="275"/>
      <c r="J895" s="275"/>
    </row>
    <row r="896" spans="1:10">
      <c r="A896" s="273"/>
      <c r="B896" s="274"/>
      <c r="C896" s="278"/>
      <c r="D896" s="275"/>
      <c r="E896" s="275"/>
      <c r="F896" s="275"/>
      <c r="G896" s="275"/>
      <c r="H896" s="275"/>
      <c r="I896" s="275"/>
      <c r="J896" s="275"/>
    </row>
    <row r="897" spans="1:10">
      <c r="A897" s="273">
        <v>298</v>
      </c>
      <c r="B897" s="274">
        <v>96</v>
      </c>
      <c r="C897" s="278" t="s">
        <v>218</v>
      </c>
      <c r="D897" s="275" t="s">
        <v>458</v>
      </c>
      <c r="E897" s="275" t="s">
        <v>459</v>
      </c>
      <c r="F897" s="275"/>
      <c r="G897" s="275"/>
      <c r="H897" s="275"/>
      <c r="I897" s="275"/>
      <c r="J897" s="275"/>
    </row>
    <row r="898" spans="1:10">
      <c r="A898" s="273"/>
      <c r="B898" s="274"/>
      <c r="C898" s="278"/>
      <c r="D898" s="275">
        <v>0.89800000000000002</v>
      </c>
      <c r="E898" s="275">
        <v>0.91400000000000003</v>
      </c>
      <c r="F898" s="275"/>
      <c r="G898" s="275"/>
      <c r="H898" s="275"/>
      <c r="I898" s="275"/>
      <c r="J898" s="275"/>
    </row>
    <row r="899" spans="1:10">
      <c r="A899" s="273"/>
      <c r="B899" s="274"/>
      <c r="C899" s="278"/>
      <c r="D899" s="275"/>
      <c r="E899" s="275"/>
      <c r="F899" s="275"/>
      <c r="G899" s="275"/>
      <c r="H899" s="275"/>
      <c r="I899" s="275"/>
      <c r="J899" s="275"/>
    </row>
    <row r="900" spans="1:10">
      <c r="A900" s="273">
        <v>299</v>
      </c>
      <c r="B900" s="274">
        <v>97</v>
      </c>
      <c r="C900" s="278" t="s">
        <v>406</v>
      </c>
      <c r="D900" s="275" t="s">
        <v>458</v>
      </c>
      <c r="E900" s="275" t="s">
        <v>459</v>
      </c>
      <c r="F900" s="275"/>
      <c r="G900" s="275"/>
      <c r="H900" s="275"/>
      <c r="I900" s="275"/>
      <c r="J900" s="275"/>
    </row>
    <row r="901" spans="1:10">
      <c r="A901" s="273"/>
      <c r="B901" s="274"/>
      <c r="C901" s="278"/>
      <c r="D901" s="275">
        <v>0.88100000000000001</v>
      </c>
      <c r="E901" s="275">
        <v>0.89800000000000002</v>
      </c>
      <c r="F901" s="275"/>
      <c r="G901" s="275"/>
      <c r="H901" s="275"/>
      <c r="I901" s="275"/>
      <c r="J901" s="275"/>
    </row>
    <row r="902" spans="1:10">
      <c r="A902" s="273"/>
      <c r="B902" s="274"/>
      <c r="C902" s="278"/>
      <c r="D902" s="275"/>
      <c r="E902" s="275"/>
      <c r="F902" s="275"/>
      <c r="G902" s="275"/>
      <c r="H902" s="275"/>
      <c r="I902" s="275"/>
      <c r="J902" s="275"/>
    </row>
    <row r="903" spans="1:10">
      <c r="A903" s="273">
        <v>300</v>
      </c>
      <c r="B903" s="274">
        <v>97</v>
      </c>
      <c r="C903" s="278" t="s">
        <v>219</v>
      </c>
      <c r="D903" s="275" t="s">
        <v>458</v>
      </c>
      <c r="E903" s="275" t="s">
        <v>459</v>
      </c>
      <c r="F903" s="275"/>
      <c r="G903" s="275"/>
      <c r="H903" s="275"/>
      <c r="I903" s="275"/>
      <c r="J903" s="275"/>
    </row>
    <row r="904" spans="1:10">
      <c r="A904" s="273"/>
      <c r="B904" s="274"/>
      <c r="C904" s="278"/>
      <c r="D904" s="275">
        <v>0.872</v>
      </c>
      <c r="E904" s="275">
        <v>0.88800000000000001</v>
      </c>
      <c r="F904" s="275"/>
      <c r="G904" s="275"/>
      <c r="H904" s="275"/>
      <c r="I904" s="275"/>
      <c r="J904" s="275"/>
    </row>
    <row r="905" spans="1:10">
      <c r="A905" s="273"/>
      <c r="B905" s="274"/>
      <c r="C905" s="278"/>
      <c r="D905" s="275"/>
      <c r="E905" s="275"/>
      <c r="F905" s="275"/>
      <c r="G905" s="275"/>
      <c r="H905" s="275"/>
      <c r="I905" s="275"/>
      <c r="J905" s="275"/>
    </row>
    <row r="906" spans="1:10">
      <c r="A906" s="273">
        <v>301</v>
      </c>
      <c r="B906" s="274">
        <v>98</v>
      </c>
      <c r="C906" s="278" t="s">
        <v>407</v>
      </c>
      <c r="D906" s="275" t="s">
        <v>458</v>
      </c>
      <c r="E906" s="275" t="s">
        <v>459</v>
      </c>
      <c r="F906" s="275"/>
      <c r="G906" s="275"/>
      <c r="H906" s="275"/>
      <c r="I906" s="275"/>
      <c r="J906" s="275"/>
    </row>
    <row r="907" spans="1:10">
      <c r="A907" s="273"/>
      <c r="B907" s="274"/>
      <c r="C907" s="278"/>
      <c r="D907" s="275">
        <v>0.86299999999999999</v>
      </c>
      <c r="E907" s="275">
        <v>0.88100000000000001</v>
      </c>
      <c r="F907" s="275"/>
      <c r="G907" s="275"/>
      <c r="H907" s="275"/>
      <c r="I907" s="275"/>
      <c r="J907" s="275"/>
    </row>
    <row r="908" spans="1:10">
      <c r="A908" s="273"/>
      <c r="B908" s="274"/>
      <c r="C908" s="278"/>
      <c r="D908" s="275"/>
      <c r="E908" s="275"/>
      <c r="F908" s="275"/>
      <c r="G908" s="275"/>
      <c r="H908" s="275"/>
      <c r="I908" s="275"/>
      <c r="J908" s="275"/>
    </row>
    <row r="909" spans="1:10">
      <c r="A909" s="273">
        <v>302</v>
      </c>
      <c r="B909" s="274">
        <v>98</v>
      </c>
      <c r="C909" s="278" t="s">
        <v>220</v>
      </c>
      <c r="D909" s="275" t="s">
        <v>458</v>
      </c>
      <c r="E909" s="275" t="s">
        <v>459</v>
      </c>
      <c r="F909" s="275"/>
      <c r="G909" s="275"/>
      <c r="H909" s="275"/>
      <c r="I909" s="275"/>
      <c r="J909" s="275"/>
    </row>
    <row r="910" spans="1:10">
      <c r="A910" s="273"/>
      <c r="B910" s="274"/>
      <c r="C910" s="278"/>
      <c r="D910" s="275">
        <v>0.85599999999999998</v>
      </c>
      <c r="E910" s="275">
        <v>0.873</v>
      </c>
      <c r="F910" s="275"/>
      <c r="G910" s="275"/>
      <c r="H910" s="275"/>
      <c r="I910" s="275"/>
      <c r="J910" s="275"/>
    </row>
    <row r="911" spans="1:10">
      <c r="A911" s="273"/>
      <c r="B911" s="274"/>
      <c r="C911" s="278"/>
      <c r="D911" s="275"/>
      <c r="E911" s="275"/>
      <c r="F911" s="275"/>
      <c r="G911" s="275"/>
      <c r="H911" s="275"/>
      <c r="I911" s="275"/>
      <c r="J911" s="275"/>
    </row>
    <row r="912" spans="1:10">
      <c r="A912" s="273">
        <v>303</v>
      </c>
      <c r="B912" s="274">
        <v>98</v>
      </c>
      <c r="C912" s="278" t="s">
        <v>221</v>
      </c>
      <c r="D912" s="275" t="s">
        <v>458</v>
      </c>
      <c r="E912" s="275" t="s">
        <v>459</v>
      </c>
      <c r="F912" s="275"/>
      <c r="G912" s="275"/>
      <c r="H912" s="275"/>
      <c r="I912" s="275"/>
      <c r="J912" s="275"/>
    </row>
    <row r="913" spans="1:10">
      <c r="A913" s="273"/>
      <c r="B913" s="274"/>
      <c r="C913" s="278"/>
      <c r="D913" s="275">
        <v>0.84899999999999998</v>
      </c>
      <c r="E913" s="275">
        <v>0.86399999999999999</v>
      </c>
      <c r="F913" s="275"/>
      <c r="G913" s="275"/>
      <c r="H913" s="275"/>
      <c r="I913" s="275"/>
      <c r="J913" s="275"/>
    </row>
    <row r="914" spans="1:10">
      <c r="A914" s="273"/>
      <c r="B914" s="274"/>
      <c r="C914" s="278"/>
      <c r="D914" s="275"/>
      <c r="E914" s="275"/>
      <c r="F914" s="275"/>
      <c r="G914" s="275"/>
      <c r="H914" s="275"/>
      <c r="I914" s="275"/>
      <c r="J914" s="275"/>
    </row>
    <row r="915" spans="1:10">
      <c r="A915" s="273">
        <v>304</v>
      </c>
      <c r="B915" s="274">
        <v>99</v>
      </c>
      <c r="C915" s="278" t="s">
        <v>408</v>
      </c>
      <c r="D915" s="275" t="s">
        <v>458</v>
      </c>
      <c r="E915" s="275" t="s">
        <v>459</v>
      </c>
      <c r="F915" s="275"/>
      <c r="G915" s="275"/>
      <c r="H915" s="275"/>
      <c r="I915" s="275"/>
      <c r="J915" s="275"/>
    </row>
    <row r="916" spans="1:10">
      <c r="A916" s="273"/>
      <c r="B916" s="274"/>
      <c r="C916" s="278"/>
      <c r="D916" s="275">
        <v>0.83899999999999997</v>
      </c>
      <c r="E916" s="275">
        <v>0.85699999999999998</v>
      </c>
      <c r="F916" s="275"/>
      <c r="G916" s="275"/>
      <c r="H916" s="275"/>
      <c r="I916" s="275"/>
      <c r="J916" s="275"/>
    </row>
    <row r="917" spans="1:10">
      <c r="A917" s="273"/>
      <c r="B917" s="274"/>
      <c r="C917" s="278"/>
      <c r="D917" s="275"/>
      <c r="E917" s="275"/>
      <c r="F917" s="275"/>
      <c r="G917" s="275"/>
      <c r="H917" s="275"/>
      <c r="I917" s="275"/>
      <c r="J917" s="275"/>
    </row>
    <row r="918" spans="1:10">
      <c r="A918" s="273">
        <v>305</v>
      </c>
      <c r="B918" s="274">
        <v>99</v>
      </c>
      <c r="C918" s="278" t="s">
        <v>222</v>
      </c>
      <c r="D918" s="275" t="s">
        <v>458</v>
      </c>
      <c r="E918" s="275" t="s">
        <v>459</v>
      </c>
      <c r="F918" s="275"/>
      <c r="G918" s="275"/>
      <c r="H918" s="275"/>
      <c r="I918" s="275"/>
      <c r="J918" s="275"/>
    </row>
    <row r="919" spans="1:10">
      <c r="A919" s="273"/>
      <c r="B919" s="274"/>
      <c r="C919" s="278"/>
      <c r="D919" s="275">
        <v>0.83299999999999996</v>
      </c>
      <c r="E919" s="275">
        <v>0.85</v>
      </c>
      <c r="F919" s="275"/>
      <c r="G919" s="275"/>
      <c r="H919" s="275"/>
      <c r="I919" s="275"/>
      <c r="J919" s="275"/>
    </row>
    <row r="920" spans="1:10">
      <c r="A920" s="273"/>
      <c r="B920" s="274"/>
      <c r="C920" s="278"/>
      <c r="D920" s="275"/>
      <c r="E920" s="275"/>
      <c r="F920" s="275"/>
      <c r="G920" s="275"/>
      <c r="H920" s="275"/>
      <c r="I920" s="275"/>
      <c r="J920" s="275"/>
    </row>
    <row r="921" spans="1:10">
      <c r="A921" s="273">
        <v>306</v>
      </c>
      <c r="B921" s="274">
        <v>100</v>
      </c>
      <c r="C921" s="278" t="s">
        <v>409</v>
      </c>
      <c r="D921" s="275" t="s">
        <v>458</v>
      </c>
      <c r="E921" s="275" t="s">
        <v>459</v>
      </c>
      <c r="F921" s="275"/>
      <c r="G921" s="275"/>
      <c r="H921" s="275"/>
      <c r="I921" s="275"/>
      <c r="J921" s="275"/>
    </row>
    <row r="922" spans="1:10">
      <c r="A922" s="273"/>
      <c r="B922" s="274"/>
      <c r="C922" s="278"/>
      <c r="D922" s="275">
        <v>0.81699999999999995</v>
      </c>
      <c r="E922" s="275">
        <v>0.83399999999999996</v>
      </c>
      <c r="F922" s="275"/>
      <c r="G922" s="275"/>
      <c r="H922" s="275"/>
      <c r="I922" s="275"/>
      <c r="J922" s="275"/>
    </row>
    <row r="923" spans="1:10">
      <c r="A923" s="273"/>
      <c r="B923" s="274"/>
      <c r="C923" s="278"/>
      <c r="D923" s="275"/>
      <c r="E923" s="275"/>
      <c r="F923" s="275"/>
      <c r="G923" s="275"/>
      <c r="H923" s="275"/>
      <c r="I923" s="275"/>
      <c r="J923" s="275"/>
    </row>
    <row r="924" spans="1:10">
      <c r="A924" s="273">
        <v>307</v>
      </c>
      <c r="B924" s="274">
        <v>100</v>
      </c>
      <c r="C924" s="278" t="s">
        <v>223</v>
      </c>
      <c r="D924" s="275" t="s">
        <v>458</v>
      </c>
      <c r="E924" s="275" t="s">
        <v>459</v>
      </c>
      <c r="F924" s="275"/>
      <c r="G924" s="275"/>
      <c r="H924" s="275"/>
      <c r="I924" s="275"/>
      <c r="J924" s="275"/>
    </row>
    <row r="925" spans="1:10">
      <c r="A925" s="273"/>
      <c r="B925" s="274"/>
      <c r="C925" s="278"/>
      <c r="D925" s="275">
        <v>0.81100000000000005</v>
      </c>
      <c r="E925" s="275">
        <v>0.82799999999999996</v>
      </c>
      <c r="F925" s="275"/>
      <c r="G925" s="275"/>
      <c r="H925" s="275"/>
      <c r="I925" s="275"/>
      <c r="J925" s="275"/>
    </row>
    <row r="926" spans="1:10">
      <c r="A926" s="273"/>
      <c r="B926" s="274"/>
      <c r="C926" s="278"/>
      <c r="D926" s="275"/>
      <c r="E926" s="275"/>
      <c r="F926" s="275"/>
      <c r="G926" s="275"/>
      <c r="H926" s="275"/>
      <c r="I926" s="275"/>
      <c r="J926" s="275"/>
    </row>
    <row r="927" spans="1:10">
      <c r="A927" s="273">
        <v>308</v>
      </c>
      <c r="B927" s="274">
        <v>101</v>
      </c>
      <c r="C927" s="278" t="s">
        <v>410</v>
      </c>
      <c r="D927" s="275" t="s">
        <v>458</v>
      </c>
      <c r="E927" s="275" t="s">
        <v>459</v>
      </c>
      <c r="F927" s="275"/>
      <c r="G927" s="275"/>
      <c r="H927" s="275"/>
      <c r="I927" s="275"/>
      <c r="J927" s="275"/>
    </row>
    <row r="928" spans="1:10">
      <c r="A928" s="273"/>
      <c r="B928" s="274"/>
      <c r="C928" s="278"/>
      <c r="D928" s="275">
        <v>0.79600000000000004</v>
      </c>
      <c r="E928" s="275">
        <v>0.81399999999999995</v>
      </c>
      <c r="F928" s="275"/>
      <c r="G928" s="275"/>
      <c r="H928" s="275"/>
      <c r="I928" s="275"/>
      <c r="J928" s="275"/>
    </row>
    <row r="929" spans="1:10">
      <c r="A929" s="273"/>
      <c r="B929" s="274"/>
      <c r="C929" s="278"/>
      <c r="D929" s="275"/>
      <c r="E929" s="275"/>
      <c r="F929" s="275"/>
      <c r="G929" s="275"/>
      <c r="H929" s="275"/>
      <c r="I929" s="275"/>
      <c r="J929" s="275"/>
    </row>
    <row r="930" spans="1:10">
      <c r="A930" s="273">
        <v>309</v>
      </c>
      <c r="B930" s="274">
        <v>101</v>
      </c>
      <c r="C930" s="278" t="s">
        <v>224</v>
      </c>
      <c r="D930" s="275" t="s">
        <v>458</v>
      </c>
      <c r="E930" s="275" t="s">
        <v>459</v>
      </c>
      <c r="F930" s="275"/>
      <c r="G930" s="275"/>
      <c r="H930" s="275"/>
      <c r="I930" s="275"/>
      <c r="J930" s="275"/>
    </row>
    <row r="931" spans="1:10">
      <c r="A931" s="273"/>
      <c r="B931" s="274"/>
      <c r="C931" s="278"/>
      <c r="D931" s="275">
        <v>0.79100000000000004</v>
      </c>
      <c r="E931" s="275">
        <v>0.80800000000000005</v>
      </c>
      <c r="F931" s="275"/>
      <c r="G931" s="275"/>
      <c r="H931" s="275"/>
      <c r="I931" s="275"/>
      <c r="J931" s="275"/>
    </row>
    <row r="932" spans="1:10">
      <c r="A932" s="273"/>
      <c r="B932" s="274"/>
      <c r="C932" s="278"/>
      <c r="D932" s="275"/>
      <c r="E932" s="275"/>
      <c r="F932" s="275"/>
      <c r="G932" s="275"/>
      <c r="H932" s="275"/>
      <c r="I932" s="275"/>
      <c r="J932" s="275"/>
    </row>
    <row r="933" spans="1:10">
      <c r="A933" s="273">
        <v>310</v>
      </c>
      <c r="B933" s="274">
        <v>102</v>
      </c>
      <c r="C933" s="278" t="s">
        <v>411</v>
      </c>
      <c r="D933" s="275" t="s">
        <v>458</v>
      </c>
      <c r="E933" s="275" t="s">
        <v>459</v>
      </c>
      <c r="F933" s="275"/>
      <c r="G933" s="275"/>
      <c r="H933" s="275"/>
      <c r="I933" s="275"/>
      <c r="J933" s="275"/>
    </row>
    <row r="934" spans="1:10">
      <c r="A934" s="273"/>
      <c r="B934" s="274"/>
      <c r="C934" s="278"/>
      <c r="D934" s="275">
        <v>0.77700000000000002</v>
      </c>
      <c r="E934" s="275">
        <v>0.79400000000000004</v>
      </c>
      <c r="F934" s="275"/>
      <c r="G934" s="275"/>
      <c r="H934" s="275"/>
      <c r="I934" s="275"/>
      <c r="J934" s="275"/>
    </row>
    <row r="935" spans="1:10">
      <c r="A935" s="273"/>
      <c r="B935" s="274"/>
      <c r="C935" s="278"/>
      <c r="D935" s="275"/>
      <c r="E935" s="275"/>
      <c r="F935" s="275"/>
      <c r="G935" s="275"/>
      <c r="H935" s="275"/>
      <c r="I935" s="275"/>
      <c r="J935" s="275"/>
    </row>
    <row r="936" spans="1:10">
      <c r="A936" s="273">
        <v>311</v>
      </c>
      <c r="B936" s="274">
        <v>102</v>
      </c>
      <c r="C936" s="278" t="s">
        <v>225</v>
      </c>
      <c r="D936" s="275" t="s">
        <v>458</v>
      </c>
      <c r="E936" s="275" t="s">
        <v>459</v>
      </c>
      <c r="F936" s="275"/>
      <c r="G936" s="275"/>
      <c r="H936" s="275"/>
      <c r="I936" s="275"/>
      <c r="J936" s="275"/>
    </row>
    <row r="937" spans="1:10">
      <c r="A937" s="273"/>
      <c r="B937" s="274"/>
      <c r="C937" s="278"/>
      <c r="D937" s="275">
        <v>0.77300000000000002</v>
      </c>
      <c r="E937" s="275">
        <v>0.78900000000000003</v>
      </c>
      <c r="F937" s="275"/>
      <c r="G937" s="275"/>
      <c r="H937" s="275"/>
      <c r="I937" s="275"/>
      <c r="J937" s="275"/>
    </row>
    <row r="938" spans="1:10">
      <c r="A938" s="273"/>
      <c r="B938" s="274"/>
      <c r="C938" s="278"/>
      <c r="D938" s="275"/>
      <c r="E938" s="275"/>
      <c r="F938" s="275"/>
      <c r="G938" s="275"/>
      <c r="H938" s="275"/>
      <c r="I938" s="275"/>
      <c r="J938" s="275"/>
    </row>
    <row r="939" spans="1:10">
      <c r="A939" s="273">
        <v>312</v>
      </c>
      <c r="B939" s="274">
        <v>103</v>
      </c>
      <c r="C939" s="278" t="s">
        <v>412</v>
      </c>
      <c r="D939" s="275" t="s">
        <v>458</v>
      </c>
      <c r="E939" s="275" t="s">
        <v>459</v>
      </c>
      <c r="F939" s="275"/>
      <c r="G939" s="275"/>
      <c r="H939" s="275"/>
      <c r="I939" s="275"/>
      <c r="J939" s="275"/>
    </row>
    <row r="940" spans="1:10">
      <c r="A940" s="273"/>
      <c r="B940" s="274"/>
      <c r="C940" s="278"/>
      <c r="D940" s="275">
        <v>0.755</v>
      </c>
      <c r="E940" s="275">
        <v>0.77100000000000002</v>
      </c>
      <c r="F940" s="275"/>
      <c r="G940" s="275"/>
      <c r="H940" s="275"/>
      <c r="I940" s="275"/>
      <c r="J940" s="275"/>
    </row>
    <row r="941" spans="1:10">
      <c r="A941" s="273"/>
      <c r="B941" s="274"/>
      <c r="C941" s="278"/>
      <c r="D941" s="275"/>
      <c r="E941" s="275"/>
      <c r="F941" s="275"/>
      <c r="G941" s="275"/>
      <c r="H941" s="275"/>
      <c r="I941" s="275"/>
      <c r="J941" s="275"/>
    </row>
    <row r="942" spans="1:10">
      <c r="A942" s="273">
        <v>313</v>
      </c>
      <c r="B942" s="274">
        <v>104</v>
      </c>
      <c r="C942" s="278" t="s">
        <v>413</v>
      </c>
      <c r="D942" s="275" t="s">
        <v>458</v>
      </c>
      <c r="E942" s="275" t="s">
        <v>459</v>
      </c>
      <c r="F942" s="275"/>
      <c r="G942" s="275"/>
      <c r="H942" s="275"/>
      <c r="I942" s="275"/>
      <c r="J942" s="275"/>
    </row>
    <row r="943" spans="1:10">
      <c r="A943" s="273"/>
      <c r="B943" s="274"/>
      <c r="C943" s="278"/>
      <c r="D943" s="275">
        <v>0.73399999999999999</v>
      </c>
      <c r="E943" s="275">
        <v>0.75</v>
      </c>
      <c r="F943" s="275"/>
      <c r="G943" s="275"/>
      <c r="H943" s="275"/>
      <c r="I943" s="275"/>
      <c r="J943" s="275"/>
    </row>
    <row r="944" spans="1:10">
      <c r="A944" s="273"/>
      <c r="B944" s="274"/>
      <c r="C944" s="278"/>
      <c r="D944" s="275"/>
      <c r="E944" s="275"/>
      <c r="F944" s="275"/>
      <c r="G944" s="275"/>
      <c r="H944" s="275"/>
      <c r="I944" s="275"/>
      <c r="J944" s="275"/>
    </row>
    <row r="945" spans="1:10">
      <c r="A945" s="273">
        <v>314</v>
      </c>
      <c r="B945" s="274">
        <v>105</v>
      </c>
      <c r="C945" s="278" t="s">
        <v>414</v>
      </c>
      <c r="D945" s="275" t="s">
        <v>458</v>
      </c>
      <c r="E945" s="275" t="s">
        <v>459</v>
      </c>
      <c r="F945" s="275"/>
      <c r="G945" s="275"/>
      <c r="H945" s="275"/>
      <c r="I945" s="275"/>
      <c r="J945" s="275"/>
    </row>
    <row r="946" spans="1:10">
      <c r="A946" s="273"/>
      <c r="B946" s="274"/>
      <c r="C946" s="278"/>
      <c r="D946" s="275">
        <v>0.71399999999999997</v>
      </c>
      <c r="E946" s="275">
        <v>0.72899999999999998</v>
      </c>
      <c r="F946" s="275"/>
      <c r="G946" s="275"/>
      <c r="H946" s="275"/>
      <c r="I946" s="275"/>
      <c r="J946" s="275"/>
    </row>
    <row r="947" spans="1:10">
      <c r="A947" s="273"/>
      <c r="B947" s="274"/>
      <c r="C947" s="278"/>
      <c r="D947" s="275"/>
      <c r="E947" s="275"/>
      <c r="F947" s="275"/>
      <c r="G947" s="275"/>
      <c r="H947" s="275"/>
      <c r="I947" s="275"/>
      <c r="J947" s="275"/>
    </row>
    <row r="948" spans="1:10">
      <c r="A948" s="273">
        <v>315</v>
      </c>
      <c r="B948" s="274">
        <v>106</v>
      </c>
      <c r="C948" s="278" t="s">
        <v>415</v>
      </c>
      <c r="D948" s="275" t="s">
        <v>458</v>
      </c>
      <c r="E948" s="275" t="s">
        <v>459</v>
      </c>
      <c r="F948" s="275"/>
      <c r="G948" s="275"/>
      <c r="H948" s="275"/>
      <c r="I948" s="275"/>
      <c r="J948" s="275"/>
    </row>
    <row r="949" spans="1:10">
      <c r="A949" s="273"/>
      <c r="B949" s="274"/>
      <c r="C949" s="278"/>
      <c r="D949" s="275">
        <v>0.69599999999999995</v>
      </c>
      <c r="E949" s="275">
        <v>0.71</v>
      </c>
      <c r="F949" s="275"/>
      <c r="G949" s="275"/>
      <c r="H949" s="275"/>
      <c r="I949" s="275"/>
      <c r="J949" s="275"/>
    </row>
    <row r="950" spans="1:10">
      <c r="A950" s="273"/>
      <c r="B950" s="274"/>
      <c r="C950" s="278"/>
      <c r="D950" s="275"/>
      <c r="E950" s="275"/>
      <c r="F950" s="275"/>
      <c r="G950" s="275"/>
      <c r="H950" s="275"/>
      <c r="I950" s="275"/>
      <c r="J950" s="275"/>
    </row>
    <row r="951" spans="1:10">
      <c r="A951" s="273">
        <v>316</v>
      </c>
      <c r="B951" s="274">
        <v>107</v>
      </c>
      <c r="C951" s="278" t="s">
        <v>416</v>
      </c>
      <c r="D951" s="275" t="s">
        <v>458</v>
      </c>
      <c r="E951" s="275" t="s">
        <v>459</v>
      </c>
      <c r="F951" s="275"/>
      <c r="G951" s="275"/>
      <c r="H951" s="275"/>
      <c r="I951" s="275"/>
      <c r="J951" s="275"/>
    </row>
    <row r="952" spans="1:10">
      <c r="A952" s="273"/>
      <c r="B952" s="274"/>
      <c r="C952" s="278"/>
      <c r="D952" s="275">
        <v>0.67900000000000005</v>
      </c>
      <c r="E952" s="275">
        <v>0.69299999999999995</v>
      </c>
      <c r="F952" s="275"/>
      <c r="G952" s="275"/>
      <c r="H952" s="275"/>
      <c r="I952" s="275"/>
      <c r="J952" s="275"/>
    </row>
    <row r="953" spans="1:10">
      <c r="A953" s="273"/>
      <c r="B953" s="274"/>
      <c r="C953" s="278"/>
      <c r="D953" s="275"/>
      <c r="E953" s="275"/>
      <c r="F953" s="275"/>
      <c r="G953" s="275"/>
      <c r="H953" s="275"/>
      <c r="I953" s="275"/>
      <c r="J953" s="275"/>
    </row>
    <row r="954" spans="1:10">
      <c r="A954" s="273">
        <v>317</v>
      </c>
      <c r="B954" s="274">
        <v>108</v>
      </c>
      <c r="C954" s="278" t="s">
        <v>417</v>
      </c>
      <c r="D954" s="275" t="s">
        <v>458</v>
      </c>
      <c r="E954" s="275" t="s">
        <v>459</v>
      </c>
      <c r="F954" s="275"/>
      <c r="G954" s="275"/>
      <c r="H954" s="275"/>
      <c r="I954" s="275"/>
      <c r="J954" s="275"/>
    </row>
    <row r="955" spans="1:10">
      <c r="A955" s="273"/>
      <c r="B955" s="274"/>
      <c r="C955" s="278"/>
      <c r="D955" s="275">
        <v>0.66200000000000003</v>
      </c>
      <c r="E955" s="275">
        <v>0.67600000000000005</v>
      </c>
      <c r="F955" s="275"/>
      <c r="G955" s="275"/>
      <c r="H955" s="275"/>
      <c r="I955" s="275"/>
      <c r="J955" s="275"/>
    </row>
    <row r="956" spans="1:10">
      <c r="A956" s="273"/>
      <c r="B956" s="274"/>
      <c r="C956" s="278"/>
      <c r="D956" s="275"/>
      <c r="E956" s="275"/>
      <c r="F956" s="275"/>
      <c r="G956" s="275"/>
      <c r="H956" s="275"/>
      <c r="I956" s="275"/>
      <c r="J956" s="275"/>
    </row>
    <row r="957" spans="1:10">
      <c r="A957" s="273">
        <v>318</v>
      </c>
      <c r="B957" s="274">
        <v>112</v>
      </c>
      <c r="C957" s="278" t="s">
        <v>418</v>
      </c>
      <c r="D957" s="275" t="s">
        <v>458</v>
      </c>
      <c r="E957" s="275" t="s">
        <v>459</v>
      </c>
      <c r="F957" s="275" t="s">
        <v>460</v>
      </c>
      <c r="G957" s="275" t="s">
        <v>461</v>
      </c>
      <c r="H957" s="275"/>
      <c r="I957" s="275"/>
      <c r="J957" s="275"/>
    </row>
    <row r="958" spans="1:10">
      <c r="A958" s="273"/>
      <c r="B958" s="274"/>
      <c r="C958" s="278"/>
      <c r="D958" s="275">
        <v>0.60799999999999998</v>
      </c>
      <c r="E958" s="275">
        <v>0.62</v>
      </c>
      <c r="F958" s="275">
        <v>1.329</v>
      </c>
      <c r="G958" s="275">
        <v>1.413</v>
      </c>
      <c r="H958" s="275"/>
      <c r="I958" s="275"/>
      <c r="J958" s="27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D6EA-0B87-459D-B9F1-99191847D9DA}">
  <dimension ref="A1:E322"/>
  <sheetViews>
    <sheetView workbookViewId="0">
      <selection activeCell="F3" sqref="F3"/>
    </sheetView>
  </sheetViews>
  <sheetFormatPr defaultRowHeight="15"/>
  <cols>
    <col min="1" max="1" width="9.140625" style="264"/>
    <col min="2" max="2" width="9.140625" style="39"/>
    <col min="3" max="3" width="9.140625" style="38"/>
    <col min="4" max="4" width="14.42578125" style="264" customWidth="1"/>
    <col min="5" max="5" width="21.140625" style="264" customWidth="1"/>
  </cols>
  <sheetData>
    <row r="1" spans="1:5">
      <c r="A1" s="281" t="s">
        <v>474</v>
      </c>
      <c r="B1" s="266"/>
      <c r="C1" s="266"/>
      <c r="D1" s="266"/>
      <c r="E1" s="266"/>
    </row>
    <row r="2" spans="1:5">
      <c r="A2" s="266"/>
      <c r="B2" s="266" t="s">
        <v>432</v>
      </c>
      <c r="C2" s="266"/>
      <c r="D2" s="266"/>
      <c r="E2" s="266"/>
    </row>
    <row r="4" spans="1:5">
      <c r="A4" s="269" t="s">
        <v>286</v>
      </c>
      <c r="B4" s="270" t="s">
        <v>0</v>
      </c>
      <c r="C4" s="276" t="s">
        <v>421</v>
      </c>
      <c r="D4" s="282" t="s">
        <v>472</v>
      </c>
      <c r="E4" s="275" t="s">
        <v>473</v>
      </c>
    </row>
    <row r="5" spans="1:5">
      <c r="A5" s="273">
        <v>1</v>
      </c>
      <c r="B5" s="274">
        <v>3</v>
      </c>
      <c r="C5" s="278" t="s">
        <v>2</v>
      </c>
      <c r="D5" s="283">
        <v>0.57199999999999995</v>
      </c>
      <c r="E5" s="284">
        <v>0.66700000000000004</v>
      </c>
    </row>
    <row r="6" spans="1:5">
      <c r="A6" s="273">
        <v>2</v>
      </c>
      <c r="B6" s="274">
        <v>4</v>
      </c>
      <c r="C6" s="278" t="s">
        <v>298</v>
      </c>
      <c r="D6" s="283">
        <v>0.41399999999999998</v>
      </c>
      <c r="E6" s="284">
        <v>0.48099999999999998</v>
      </c>
    </row>
    <row r="7" spans="1:5">
      <c r="A7" s="273">
        <v>3</v>
      </c>
      <c r="B7" s="274">
        <v>5</v>
      </c>
      <c r="C7" s="278" t="s">
        <v>3</v>
      </c>
      <c r="D7" s="283">
        <v>1.0609999999999999</v>
      </c>
      <c r="E7" s="284">
        <v>1.4079999999999999</v>
      </c>
    </row>
    <row r="8" spans="1:5">
      <c r="A8" s="273">
        <v>4</v>
      </c>
      <c r="B8" s="274">
        <v>5</v>
      </c>
      <c r="C8" s="278" t="s">
        <v>4</v>
      </c>
      <c r="D8" s="283">
        <v>0.76200000000000001</v>
      </c>
      <c r="E8" s="284">
        <v>1.0660000000000001</v>
      </c>
    </row>
    <row r="9" spans="1:5">
      <c r="A9" s="273">
        <v>5</v>
      </c>
      <c r="B9" s="274">
        <v>5</v>
      </c>
      <c r="C9" s="278" t="s">
        <v>5</v>
      </c>
      <c r="D9" s="283">
        <v>0.32400000000000001</v>
      </c>
      <c r="E9" s="284">
        <v>0.377</v>
      </c>
    </row>
    <row r="10" spans="1:5">
      <c r="A10" s="273">
        <v>6</v>
      </c>
      <c r="B10" s="274">
        <v>6</v>
      </c>
      <c r="C10" s="278" t="s">
        <v>6</v>
      </c>
      <c r="D10" s="283">
        <v>0.99099999999999999</v>
      </c>
      <c r="E10" s="284">
        <v>1.2689999999999999</v>
      </c>
    </row>
    <row r="11" spans="1:5">
      <c r="A11" s="273">
        <v>7</v>
      </c>
      <c r="B11" s="274">
        <v>6</v>
      </c>
      <c r="C11" s="278" t="s">
        <v>7</v>
      </c>
      <c r="D11" s="283">
        <v>0.81899999999999995</v>
      </c>
      <c r="E11" s="284">
        <v>1.0740000000000001</v>
      </c>
    </row>
    <row r="12" spans="1:5">
      <c r="A12" s="273">
        <v>8</v>
      </c>
      <c r="B12" s="274">
        <v>6</v>
      </c>
      <c r="C12" s="278" t="s">
        <v>8</v>
      </c>
      <c r="D12" s="283">
        <v>0.60499999999999998</v>
      </c>
      <c r="E12" s="284">
        <v>0.83699999999999997</v>
      </c>
    </row>
    <row r="13" spans="1:5">
      <c r="A13" s="273">
        <v>9</v>
      </c>
      <c r="B13" s="274">
        <v>6</v>
      </c>
      <c r="C13" s="278" t="s">
        <v>9</v>
      </c>
      <c r="D13" s="283">
        <v>0.26700000000000002</v>
      </c>
      <c r="E13" s="284">
        <v>0.309</v>
      </c>
    </row>
    <row r="14" spans="1:5">
      <c r="A14" s="273">
        <v>10</v>
      </c>
      <c r="B14" s="274">
        <v>6</v>
      </c>
      <c r="C14" s="278" t="s">
        <v>306</v>
      </c>
      <c r="D14" s="283">
        <v>1.228</v>
      </c>
      <c r="E14" s="284">
        <v>1.583</v>
      </c>
    </row>
    <row r="15" spans="1:5">
      <c r="A15" s="273">
        <v>11</v>
      </c>
      <c r="B15" s="274">
        <v>7</v>
      </c>
      <c r="C15" s="278" t="s">
        <v>10</v>
      </c>
      <c r="D15" s="283">
        <v>0.91100000000000003</v>
      </c>
      <c r="E15" s="284">
        <v>1.1419999999999999</v>
      </c>
    </row>
    <row r="16" spans="1:5">
      <c r="A16" s="273">
        <v>12</v>
      </c>
      <c r="B16" s="274">
        <v>7</v>
      </c>
      <c r="C16" s="278" t="s">
        <v>11</v>
      </c>
      <c r="D16" s="283">
        <v>0.78600000000000003</v>
      </c>
      <c r="E16" s="284">
        <v>0.996</v>
      </c>
    </row>
    <row r="17" spans="1:5">
      <c r="A17" s="273">
        <v>13</v>
      </c>
      <c r="B17" s="274">
        <v>7</v>
      </c>
      <c r="C17" s="278" t="s">
        <v>12</v>
      </c>
      <c r="D17" s="283">
        <v>0.66900000000000004</v>
      </c>
      <c r="E17" s="284">
        <v>0.871</v>
      </c>
    </row>
    <row r="18" spans="1:5">
      <c r="A18" s="273">
        <v>14</v>
      </c>
      <c r="B18" s="274">
        <v>7</v>
      </c>
      <c r="C18" s="278" t="s">
        <v>13</v>
      </c>
      <c r="D18" s="283">
        <v>0.502</v>
      </c>
      <c r="E18" s="284">
        <v>0.69</v>
      </c>
    </row>
    <row r="19" spans="1:5">
      <c r="A19" s="273">
        <v>15</v>
      </c>
      <c r="B19" s="274">
        <v>7</v>
      </c>
      <c r="C19" s="278" t="s">
        <v>14</v>
      </c>
      <c r="D19" s="283">
        <v>0.22600000000000001</v>
      </c>
      <c r="E19" s="284">
        <v>0.26200000000000001</v>
      </c>
    </row>
    <row r="20" spans="1:5">
      <c r="A20" s="273">
        <v>16</v>
      </c>
      <c r="B20" s="274">
        <v>8</v>
      </c>
      <c r="C20" s="278" t="s">
        <v>15</v>
      </c>
      <c r="D20" s="283">
        <v>0.83699999999999997</v>
      </c>
      <c r="E20" s="284">
        <v>1.034</v>
      </c>
    </row>
    <row r="21" spans="1:5">
      <c r="A21" s="273">
        <v>17</v>
      </c>
      <c r="B21" s="274">
        <v>8</v>
      </c>
      <c r="C21" s="278" t="s">
        <v>16</v>
      </c>
      <c r="D21" s="283">
        <v>0.74</v>
      </c>
      <c r="E21" s="284">
        <v>0.91900000000000004</v>
      </c>
    </row>
    <row r="22" spans="1:5">
      <c r="A22" s="273">
        <v>18</v>
      </c>
      <c r="B22" s="274">
        <v>8</v>
      </c>
      <c r="C22" s="278" t="s">
        <v>326</v>
      </c>
      <c r="D22" s="283">
        <v>1.125</v>
      </c>
      <c r="E22" s="284">
        <v>1.444</v>
      </c>
    </row>
    <row r="23" spans="1:5">
      <c r="A23" s="273">
        <v>19</v>
      </c>
      <c r="B23" s="274">
        <v>9</v>
      </c>
      <c r="C23" s="278" t="s">
        <v>328</v>
      </c>
      <c r="D23" s="283">
        <v>0.995</v>
      </c>
      <c r="E23" s="284">
        <v>1.264</v>
      </c>
    </row>
    <row r="24" spans="1:5">
      <c r="A24" s="273">
        <v>20</v>
      </c>
      <c r="B24" s="274">
        <v>11</v>
      </c>
      <c r="C24" s="278" t="s">
        <v>17</v>
      </c>
      <c r="D24" s="283">
        <v>0.66200000000000003</v>
      </c>
      <c r="E24" s="284">
        <v>0.8</v>
      </c>
    </row>
    <row r="25" spans="1:5">
      <c r="A25" s="273">
        <v>21</v>
      </c>
      <c r="B25" s="274">
        <v>12</v>
      </c>
      <c r="C25" s="278" t="s">
        <v>329</v>
      </c>
      <c r="D25" s="283">
        <v>0.57199999999999995</v>
      </c>
      <c r="E25" s="284">
        <v>0.68600000000000005</v>
      </c>
    </row>
    <row r="26" spans="1:5">
      <c r="A26" s="273">
        <v>22</v>
      </c>
      <c r="B26" s="274">
        <v>13</v>
      </c>
      <c r="C26" s="278" t="s">
        <v>18</v>
      </c>
      <c r="D26" s="283">
        <v>0.82699999999999996</v>
      </c>
      <c r="E26" s="284">
        <v>1.198</v>
      </c>
    </row>
    <row r="27" spans="1:5">
      <c r="A27" s="273">
        <v>23</v>
      </c>
      <c r="B27" s="274">
        <v>13</v>
      </c>
      <c r="C27" s="278" t="s">
        <v>330</v>
      </c>
      <c r="D27" s="283">
        <v>0.505</v>
      </c>
      <c r="E27" s="284">
        <v>0.60199999999999998</v>
      </c>
    </row>
    <row r="28" spans="1:5">
      <c r="A28" s="273">
        <v>24</v>
      </c>
      <c r="B28" s="274">
        <v>14</v>
      </c>
      <c r="C28" s="278" t="s">
        <v>19</v>
      </c>
      <c r="D28" s="283">
        <v>0.86099999999999999</v>
      </c>
      <c r="E28" s="284">
        <v>1.2430000000000001</v>
      </c>
    </row>
    <row r="29" spans="1:5">
      <c r="A29" s="273">
        <v>25</v>
      </c>
      <c r="B29" s="274">
        <v>14</v>
      </c>
      <c r="C29" s="278" t="s">
        <v>20</v>
      </c>
      <c r="D29" s="283">
        <v>0.70899999999999996</v>
      </c>
      <c r="E29" s="284">
        <v>0.996</v>
      </c>
    </row>
    <row r="30" spans="1:5">
      <c r="A30" s="273">
        <v>26</v>
      </c>
      <c r="B30" s="274">
        <v>14</v>
      </c>
      <c r="C30" s="278" t="s">
        <v>21</v>
      </c>
      <c r="D30" s="283">
        <v>0.58199999999999996</v>
      </c>
      <c r="E30" s="284">
        <v>0.79</v>
      </c>
    </row>
    <row r="31" spans="1:5">
      <c r="A31" s="273">
        <v>27</v>
      </c>
      <c r="B31" s="274">
        <v>14</v>
      </c>
      <c r="C31" s="278" t="s">
        <v>22</v>
      </c>
      <c r="D31" s="283">
        <v>0.45200000000000001</v>
      </c>
      <c r="E31" s="284">
        <v>0.53700000000000003</v>
      </c>
    </row>
    <row r="32" spans="1:5">
      <c r="A32" s="273">
        <v>28</v>
      </c>
      <c r="B32" s="274">
        <v>14</v>
      </c>
      <c r="C32" s="278" t="s">
        <v>331</v>
      </c>
      <c r="D32" s="283">
        <v>1.0680000000000001</v>
      </c>
      <c r="E32" s="284">
        <v>1.59</v>
      </c>
    </row>
    <row r="33" spans="1:5">
      <c r="A33" s="273">
        <v>29</v>
      </c>
      <c r="B33" s="274">
        <v>15</v>
      </c>
      <c r="C33" s="278" t="s">
        <v>23</v>
      </c>
      <c r="D33" s="283">
        <v>0.86499999999999999</v>
      </c>
      <c r="E33" s="284">
        <v>1.224</v>
      </c>
    </row>
    <row r="34" spans="1:5">
      <c r="A34" s="273">
        <v>30</v>
      </c>
      <c r="B34" s="274">
        <v>15</v>
      </c>
      <c r="C34" s="278" t="s">
        <v>24</v>
      </c>
      <c r="D34" s="283">
        <v>0.74099999999999999</v>
      </c>
      <c r="E34" s="284">
        <v>1.04</v>
      </c>
    </row>
    <row r="35" spans="1:5">
      <c r="A35" s="273">
        <v>31</v>
      </c>
      <c r="B35" s="274">
        <v>15</v>
      </c>
      <c r="C35" s="278" t="s">
        <v>25</v>
      </c>
      <c r="D35" s="283">
        <v>0.625</v>
      </c>
      <c r="E35" s="284">
        <v>0.86099999999999999</v>
      </c>
    </row>
    <row r="36" spans="1:5">
      <c r="A36" s="273">
        <v>32</v>
      </c>
      <c r="B36" s="274">
        <v>15</v>
      </c>
      <c r="C36" s="278" t="s">
        <v>26</v>
      </c>
      <c r="D36" s="283">
        <v>0.52</v>
      </c>
      <c r="E36" s="284">
        <v>0.69599999999999995</v>
      </c>
    </row>
    <row r="37" spans="1:5">
      <c r="A37" s="273">
        <v>33</v>
      </c>
      <c r="B37" s="274">
        <v>15</v>
      </c>
      <c r="C37" s="278" t="s">
        <v>27</v>
      </c>
      <c r="D37" s="283">
        <v>0.41</v>
      </c>
      <c r="E37" s="284">
        <v>0.48499999999999999</v>
      </c>
    </row>
    <row r="38" spans="1:5">
      <c r="A38" s="273">
        <v>34</v>
      </c>
      <c r="B38" s="274">
        <v>16</v>
      </c>
      <c r="C38" s="278" t="s">
        <v>28</v>
      </c>
      <c r="D38" s="283">
        <v>0.85299999999999998</v>
      </c>
      <c r="E38" s="284">
        <v>1.1839999999999999</v>
      </c>
    </row>
    <row r="39" spans="1:5">
      <c r="A39" s="273">
        <v>35</v>
      </c>
      <c r="B39" s="274">
        <v>16</v>
      </c>
      <c r="C39" s="278" t="s">
        <v>29</v>
      </c>
      <c r="D39" s="283">
        <v>0.751</v>
      </c>
      <c r="E39" s="284">
        <v>1.0389999999999999</v>
      </c>
    </row>
    <row r="40" spans="1:5">
      <c r="A40" s="273">
        <v>36</v>
      </c>
      <c r="B40" s="274">
        <v>16</v>
      </c>
      <c r="C40" s="278" t="s">
        <v>30</v>
      </c>
      <c r="D40" s="283">
        <v>0.65500000000000003</v>
      </c>
      <c r="E40" s="284">
        <v>0.90300000000000002</v>
      </c>
    </row>
    <row r="41" spans="1:5">
      <c r="A41" s="273">
        <v>37</v>
      </c>
      <c r="B41" s="274">
        <v>16</v>
      </c>
      <c r="C41" s="278" t="s">
        <v>31</v>
      </c>
      <c r="D41" s="283">
        <v>0.56100000000000005</v>
      </c>
      <c r="E41" s="284">
        <v>0.76300000000000001</v>
      </c>
    </row>
    <row r="42" spans="1:5">
      <c r="A42" s="273">
        <v>38</v>
      </c>
      <c r="B42" s="274">
        <v>16</v>
      </c>
      <c r="C42" s="278" t="s">
        <v>32</v>
      </c>
      <c r="D42" s="283">
        <v>0.47099999999999997</v>
      </c>
      <c r="E42" s="284">
        <v>0.623</v>
      </c>
    </row>
    <row r="43" spans="1:5">
      <c r="A43" s="273">
        <v>39</v>
      </c>
      <c r="B43" s="274">
        <v>16</v>
      </c>
      <c r="C43" s="278" t="s">
        <v>33</v>
      </c>
      <c r="D43" s="283">
        <v>0.375</v>
      </c>
      <c r="E43" s="284">
        <v>0.443</v>
      </c>
    </row>
    <row r="44" spans="1:5">
      <c r="A44" s="273">
        <v>40</v>
      </c>
      <c r="B44" s="274">
        <v>17</v>
      </c>
      <c r="C44" s="278" t="s">
        <v>34</v>
      </c>
      <c r="D44" s="283">
        <v>0.83399999999999996</v>
      </c>
      <c r="E44" s="284">
        <v>1.137</v>
      </c>
    </row>
    <row r="45" spans="1:5">
      <c r="A45" s="273">
        <v>41</v>
      </c>
      <c r="B45" s="274">
        <v>17</v>
      </c>
      <c r="C45" s="278" t="s">
        <v>35</v>
      </c>
      <c r="D45" s="283">
        <v>0.748</v>
      </c>
      <c r="E45" s="284">
        <v>1.0189999999999999</v>
      </c>
    </row>
    <row r="46" spans="1:5">
      <c r="A46" s="273">
        <v>42</v>
      </c>
      <c r="B46" s="274">
        <v>17</v>
      </c>
      <c r="C46" s="278" t="s">
        <v>36</v>
      </c>
      <c r="D46" s="283">
        <v>0.66800000000000004</v>
      </c>
      <c r="E46" s="284">
        <v>0.91</v>
      </c>
    </row>
    <row r="47" spans="1:5">
      <c r="A47" s="273">
        <v>43</v>
      </c>
      <c r="B47" s="274">
        <v>17</v>
      </c>
      <c r="C47" s="278" t="s">
        <v>37</v>
      </c>
      <c r="D47" s="283">
        <v>0.58899999999999997</v>
      </c>
      <c r="E47" s="284">
        <v>0.80100000000000005</v>
      </c>
    </row>
    <row r="48" spans="1:5">
      <c r="A48" s="273">
        <v>44</v>
      </c>
      <c r="B48" s="274">
        <v>17</v>
      </c>
      <c r="C48" s="278" t="s">
        <v>38</v>
      </c>
      <c r="D48" s="283">
        <v>0.51</v>
      </c>
      <c r="E48" s="284">
        <v>0.68600000000000005</v>
      </c>
    </row>
    <row r="49" spans="1:5">
      <c r="A49" s="273">
        <v>45</v>
      </c>
      <c r="B49" s="274">
        <v>17</v>
      </c>
      <c r="C49" s="278" t="s">
        <v>39</v>
      </c>
      <c r="D49" s="283">
        <v>0.43099999999999999</v>
      </c>
      <c r="E49" s="284">
        <v>0.56599999999999995</v>
      </c>
    </row>
    <row r="50" spans="1:5">
      <c r="A50" s="273">
        <v>46</v>
      </c>
      <c r="B50" s="274">
        <v>17</v>
      </c>
      <c r="C50" s="278" t="s">
        <v>40</v>
      </c>
      <c r="D50" s="283">
        <v>0.34499999999999997</v>
      </c>
      <c r="E50" s="284">
        <v>0.40699999999999997</v>
      </c>
    </row>
    <row r="51" spans="1:5">
      <c r="A51" s="273">
        <v>47</v>
      </c>
      <c r="B51" s="274">
        <v>17</v>
      </c>
      <c r="C51" s="278" t="s">
        <v>332</v>
      </c>
      <c r="D51" s="283">
        <v>1.048</v>
      </c>
      <c r="E51" s="284">
        <v>1.46</v>
      </c>
    </row>
    <row r="52" spans="1:5">
      <c r="A52" s="273">
        <v>48</v>
      </c>
      <c r="B52" s="274">
        <v>19</v>
      </c>
      <c r="C52" s="278" t="s">
        <v>41</v>
      </c>
      <c r="D52" s="283">
        <v>0.78600000000000003</v>
      </c>
      <c r="E52" s="284">
        <v>1.04</v>
      </c>
    </row>
    <row r="53" spans="1:5">
      <c r="A53" s="273">
        <v>49</v>
      </c>
      <c r="B53" s="274">
        <v>20</v>
      </c>
      <c r="C53" s="278" t="s">
        <v>333</v>
      </c>
      <c r="D53" s="283">
        <v>0.70599999999999996</v>
      </c>
      <c r="E53" s="284">
        <v>0.92400000000000004</v>
      </c>
    </row>
    <row r="54" spans="1:5">
      <c r="A54" s="273">
        <v>50</v>
      </c>
      <c r="B54" s="274">
        <v>21</v>
      </c>
      <c r="C54" s="278" t="s">
        <v>42</v>
      </c>
      <c r="D54" s="283">
        <v>0.84799999999999998</v>
      </c>
      <c r="E54" s="284">
        <v>1.234</v>
      </c>
    </row>
    <row r="55" spans="1:5">
      <c r="A55" s="273">
        <v>51</v>
      </c>
      <c r="B55" s="274">
        <v>21</v>
      </c>
      <c r="C55" s="278" t="s">
        <v>43</v>
      </c>
      <c r="D55" s="283">
        <v>0.70299999999999996</v>
      </c>
      <c r="E55" s="284">
        <v>0.92400000000000004</v>
      </c>
    </row>
    <row r="56" spans="1:5">
      <c r="A56" s="273">
        <v>52</v>
      </c>
      <c r="B56" s="274">
        <v>21</v>
      </c>
      <c r="C56" s="278" t="s">
        <v>44</v>
      </c>
      <c r="D56" s="283">
        <v>0.64300000000000002</v>
      </c>
      <c r="E56" s="284">
        <v>0.83399999999999996</v>
      </c>
    </row>
    <row r="57" spans="1:5">
      <c r="A57" s="273">
        <v>53</v>
      </c>
      <c r="B57" s="274">
        <v>22</v>
      </c>
      <c r="C57" s="278" t="s">
        <v>334</v>
      </c>
      <c r="D57" s="283">
        <v>0.69299999999999995</v>
      </c>
      <c r="E57" s="284">
        <v>0.90900000000000003</v>
      </c>
    </row>
    <row r="58" spans="1:5">
      <c r="A58" s="273">
        <v>54</v>
      </c>
      <c r="B58" s="274">
        <v>22</v>
      </c>
      <c r="C58" s="278" t="s">
        <v>45</v>
      </c>
      <c r="D58" s="283">
        <v>0.63800000000000001</v>
      </c>
      <c r="E58" s="284">
        <v>0.82499999999999996</v>
      </c>
    </row>
    <row r="59" spans="1:5">
      <c r="A59" s="273">
        <v>55</v>
      </c>
      <c r="B59" s="274">
        <v>22</v>
      </c>
      <c r="C59" s="278" t="s">
        <v>46</v>
      </c>
      <c r="D59" s="283">
        <v>0.59199999999999997</v>
      </c>
      <c r="E59" s="284">
        <v>0.76200000000000001</v>
      </c>
    </row>
    <row r="60" spans="1:5">
      <c r="A60" s="273">
        <v>56</v>
      </c>
      <c r="B60" s="274">
        <v>23</v>
      </c>
      <c r="C60" s="278" t="s">
        <v>47</v>
      </c>
      <c r="D60" s="283">
        <v>0.749</v>
      </c>
      <c r="E60" s="284">
        <v>1.0069999999999999</v>
      </c>
    </row>
    <row r="61" spans="1:5">
      <c r="A61" s="273">
        <v>57</v>
      </c>
      <c r="B61" s="274">
        <v>23</v>
      </c>
      <c r="C61" s="278" t="s">
        <v>48</v>
      </c>
      <c r="D61" s="283">
        <v>0.68</v>
      </c>
      <c r="E61" s="284">
        <v>0.88700000000000001</v>
      </c>
    </row>
    <row r="62" spans="1:5">
      <c r="A62" s="273">
        <v>58</v>
      </c>
      <c r="B62" s="274">
        <v>23</v>
      </c>
      <c r="C62" s="278" t="s">
        <v>49</v>
      </c>
      <c r="D62" s="283">
        <v>0.629</v>
      </c>
      <c r="E62" s="284">
        <v>0.81</v>
      </c>
    </row>
    <row r="63" spans="1:5">
      <c r="A63" s="273">
        <v>59</v>
      </c>
      <c r="B63" s="274">
        <v>23</v>
      </c>
      <c r="C63" s="278" t="s">
        <v>50</v>
      </c>
      <c r="D63" s="283">
        <v>0.58599999999999997</v>
      </c>
      <c r="E63" s="284">
        <v>0.751</v>
      </c>
    </row>
    <row r="64" spans="1:5">
      <c r="A64" s="273">
        <v>60</v>
      </c>
      <c r="B64" s="274">
        <v>23</v>
      </c>
      <c r="C64" s="278" t="s">
        <v>51</v>
      </c>
      <c r="D64" s="283">
        <v>0.54800000000000004</v>
      </c>
      <c r="E64" s="284">
        <v>0.70299999999999996</v>
      </c>
    </row>
    <row r="65" spans="1:5">
      <c r="A65" s="273">
        <v>61</v>
      </c>
      <c r="B65" s="274">
        <v>24</v>
      </c>
      <c r="C65" s="278" t="s">
        <v>52</v>
      </c>
      <c r="D65" s="283">
        <v>0.72799999999999998</v>
      </c>
      <c r="E65" s="284">
        <v>0.97</v>
      </c>
    </row>
    <row r="66" spans="1:5">
      <c r="A66" s="273">
        <v>62</v>
      </c>
      <c r="B66" s="274">
        <v>24</v>
      </c>
      <c r="C66" s="278" t="s">
        <v>53</v>
      </c>
      <c r="D66" s="283">
        <v>0.66500000000000004</v>
      </c>
      <c r="E66" s="284">
        <v>0.86299999999999999</v>
      </c>
    </row>
    <row r="67" spans="1:5">
      <c r="A67" s="273">
        <v>63</v>
      </c>
      <c r="B67" s="274">
        <v>24</v>
      </c>
      <c r="C67" s="278" t="s">
        <v>54</v>
      </c>
      <c r="D67" s="283">
        <v>0.61799999999999999</v>
      </c>
      <c r="E67" s="284">
        <v>0.79200000000000004</v>
      </c>
    </row>
    <row r="68" spans="1:5">
      <c r="A68" s="273">
        <v>64</v>
      </c>
      <c r="B68" s="274">
        <v>24</v>
      </c>
      <c r="C68" s="278" t="s">
        <v>55</v>
      </c>
      <c r="D68" s="283">
        <v>0.57799999999999996</v>
      </c>
      <c r="E68" s="284">
        <v>0.73699999999999999</v>
      </c>
    </row>
    <row r="69" spans="1:5">
      <c r="A69" s="273">
        <v>65</v>
      </c>
      <c r="B69" s="274">
        <v>24</v>
      </c>
      <c r="C69" s="278" t="s">
        <v>56</v>
      </c>
      <c r="D69" s="283">
        <v>0.54300000000000004</v>
      </c>
      <c r="E69" s="284">
        <v>0.69199999999999995</v>
      </c>
    </row>
    <row r="70" spans="1:5">
      <c r="A70" s="273">
        <v>66</v>
      </c>
      <c r="B70" s="274">
        <v>24</v>
      </c>
      <c r="C70" s="278" t="s">
        <v>57</v>
      </c>
      <c r="D70" s="283">
        <v>0.51100000000000001</v>
      </c>
      <c r="E70" s="284">
        <v>0.65200000000000002</v>
      </c>
    </row>
    <row r="71" spans="1:5">
      <c r="A71" s="273">
        <v>67</v>
      </c>
      <c r="B71" s="274">
        <v>25</v>
      </c>
      <c r="C71" s="278" t="s">
        <v>58</v>
      </c>
      <c r="D71" s="283">
        <v>0.75</v>
      </c>
      <c r="E71" s="284">
        <v>1.0509999999999999</v>
      </c>
    </row>
    <row r="72" spans="1:5">
      <c r="A72" s="273">
        <v>68</v>
      </c>
      <c r="B72" s="274">
        <v>25</v>
      </c>
      <c r="C72" s="278" t="s">
        <v>59</v>
      </c>
      <c r="D72" s="283">
        <v>0.64900000000000002</v>
      </c>
      <c r="E72" s="284">
        <v>0.83899999999999997</v>
      </c>
    </row>
    <row r="73" spans="1:5">
      <c r="A73" s="273">
        <v>69</v>
      </c>
      <c r="B73" s="274">
        <v>25</v>
      </c>
      <c r="C73" s="278" t="s">
        <v>60</v>
      </c>
      <c r="D73" s="283">
        <v>0.60499999999999998</v>
      </c>
      <c r="E73" s="284">
        <v>0.77300000000000002</v>
      </c>
    </row>
    <row r="74" spans="1:5">
      <c r="A74" s="273">
        <v>70</v>
      </c>
      <c r="B74" s="274">
        <v>25</v>
      </c>
      <c r="C74" s="278" t="s">
        <v>61</v>
      </c>
      <c r="D74" s="283">
        <v>0.56899999999999995</v>
      </c>
      <c r="E74" s="284">
        <v>0.72199999999999998</v>
      </c>
    </row>
    <row r="75" spans="1:5">
      <c r="A75" s="273">
        <v>71</v>
      </c>
      <c r="B75" s="274">
        <v>25</v>
      </c>
      <c r="C75" s="278" t="s">
        <v>62</v>
      </c>
      <c r="D75" s="283">
        <v>0.53600000000000003</v>
      </c>
      <c r="E75" s="284">
        <v>0.67900000000000005</v>
      </c>
    </row>
    <row r="76" spans="1:5">
      <c r="A76" s="273">
        <v>72</v>
      </c>
      <c r="B76" s="274">
        <v>25</v>
      </c>
      <c r="C76" s="278" t="s">
        <v>63</v>
      </c>
      <c r="D76" s="283">
        <v>0.50700000000000001</v>
      </c>
      <c r="E76" s="284">
        <v>0.64200000000000002</v>
      </c>
    </row>
    <row r="77" spans="1:5">
      <c r="A77" s="273">
        <v>73</v>
      </c>
      <c r="B77" s="274">
        <v>25</v>
      </c>
      <c r="C77" s="278" t="s">
        <v>64</v>
      </c>
      <c r="D77" s="283">
        <v>0.47899999999999998</v>
      </c>
      <c r="E77" s="284">
        <v>0.60899999999999999</v>
      </c>
    </row>
    <row r="78" spans="1:5">
      <c r="A78" s="273">
        <v>74</v>
      </c>
      <c r="B78" s="274">
        <v>26</v>
      </c>
      <c r="C78" s="278" t="s">
        <v>65</v>
      </c>
      <c r="D78" s="283">
        <v>0.72599999999999998</v>
      </c>
      <c r="E78" s="284">
        <v>1.0109999999999999</v>
      </c>
    </row>
    <row r="79" spans="1:5">
      <c r="A79" s="273">
        <v>75</v>
      </c>
      <c r="B79" s="274">
        <v>26</v>
      </c>
      <c r="C79" s="278" t="s">
        <v>66</v>
      </c>
      <c r="D79" s="283">
        <v>0.63300000000000001</v>
      </c>
      <c r="E79" s="284">
        <v>0.81499999999999995</v>
      </c>
    </row>
    <row r="80" spans="1:5">
      <c r="A80" s="273">
        <v>76</v>
      </c>
      <c r="B80" s="274">
        <v>26</v>
      </c>
      <c r="C80" s="278" t="s">
        <v>67</v>
      </c>
      <c r="D80" s="283">
        <v>0.59299999999999997</v>
      </c>
      <c r="E80" s="284">
        <v>0.754</v>
      </c>
    </row>
    <row r="81" spans="1:5">
      <c r="A81" s="273">
        <v>77</v>
      </c>
      <c r="B81" s="274">
        <v>26</v>
      </c>
      <c r="C81" s="278" t="s">
        <v>68</v>
      </c>
      <c r="D81" s="283">
        <v>0.55900000000000005</v>
      </c>
      <c r="E81" s="284">
        <v>0.70599999999999996</v>
      </c>
    </row>
    <row r="82" spans="1:5">
      <c r="A82" s="273">
        <v>78</v>
      </c>
      <c r="B82" s="274">
        <v>26</v>
      </c>
      <c r="C82" s="278" t="s">
        <v>69</v>
      </c>
      <c r="D82" s="283">
        <v>0.52800000000000002</v>
      </c>
      <c r="E82" s="284">
        <v>0.66600000000000004</v>
      </c>
    </row>
    <row r="83" spans="1:5">
      <c r="A83" s="273">
        <v>79</v>
      </c>
      <c r="B83" s="274">
        <v>26</v>
      </c>
      <c r="C83" s="278" t="s">
        <v>70</v>
      </c>
      <c r="D83" s="283">
        <v>0.501</v>
      </c>
      <c r="E83" s="284">
        <v>0.63100000000000001</v>
      </c>
    </row>
    <row r="84" spans="1:5">
      <c r="A84" s="273">
        <v>80</v>
      </c>
      <c r="B84" s="274">
        <v>27</v>
      </c>
      <c r="C84" s="278" t="s">
        <v>71</v>
      </c>
      <c r="D84" s="283">
        <v>0.66500000000000004</v>
      </c>
      <c r="E84" s="284">
        <v>0.871</v>
      </c>
    </row>
    <row r="85" spans="1:5">
      <c r="A85" s="273">
        <v>81</v>
      </c>
      <c r="B85" s="274">
        <v>27</v>
      </c>
      <c r="C85" s="278" t="s">
        <v>72</v>
      </c>
      <c r="D85" s="283">
        <v>0.61699999999999999</v>
      </c>
      <c r="E85" s="284">
        <v>0.79100000000000004</v>
      </c>
    </row>
    <row r="86" spans="1:5">
      <c r="A86" s="273">
        <v>82</v>
      </c>
      <c r="B86" s="274">
        <v>27</v>
      </c>
      <c r="C86" s="278" t="s">
        <v>73</v>
      </c>
      <c r="D86" s="283">
        <v>0.57999999999999996</v>
      </c>
      <c r="E86" s="284">
        <v>0.73399999999999999</v>
      </c>
    </row>
    <row r="87" spans="1:5">
      <c r="A87" s="273">
        <v>83</v>
      </c>
      <c r="B87" s="274">
        <v>27</v>
      </c>
      <c r="C87" s="278" t="s">
        <v>74</v>
      </c>
      <c r="D87" s="283">
        <v>0.54800000000000004</v>
      </c>
      <c r="E87" s="284">
        <v>0.68899999999999995</v>
      </c>
    </row>
    <row r="88" spans="1:5">
      <c r="A88" s="273">
        <v>84</v>
      </c>
      <c r="B88" s="274">
        <v>27</v>
      </c>
      <c r="C88" s="278" t="s">
        <v>75</v>
      </c>
      <c r="D88" s="283">
        <v>0.52</v>
      </c>
      <c r="E88" s="284">
        <v>0.65200000000000002</v>
      </c>
    </row>
    <row r="89" spans="1:5">
      <c r="A89" s="273">
        <v>85</v>
      </c>
      <c r="B89" s="274">
        <v>28</v>
      </c>
      <c r="C89" s="278" t="s">
        <v>76</v>
      </c>
      <c r="D89" s="283">
        <v>0.64600000000000002</v>
      </c>
      <c r="E89" s="284">
        <v>0.84199999999999997</v>
      </c>
    </row>
    <row r="90" spans="1:5">
      <c r="A90" s="273">
        <v>86</v>
      </c>
      <c r="B90" s="274">
        <v>28</v>
      </c>
      <c r="C90" s="278" t="s">
        <v>77</v>
      </c>
      <c r="D90" s="283">
        <v>0.60199999999999998</v>
      </c>
      <c r="E90" s="284">
        <v>0.76800000000000002</v>
      </c>
    </row>
    <row r="91" spans="1:5">
      <c r="A91" s="273">
        <v>87</v>
      </c>
      <c r="B91" s="274">
        <v>28</v>
      </c>
      <c r="C91" s="278" t="s">
        <v>78</v>
      </c>
      <c r="D91" s="283">
        <v>0.56699999999999995</v>
      </c>
      <c r="E91" s="284">
        <v>0.71499999999999997</v>
      </c>
    </row>
    <row r="92" spans="1:5">
      <c r="A92" s="273">
        <v>88</v>
      </c>
      <c r="B92" s="274">
        <v>28</v>
      </c>
      <c r="C92" s="278" t="s">
        <v>79</v>
      </c>
      <c r="D92" s="283">
        <v>0.53700000000000003</v>
      </c>
      <c r="E92" s="284">
        <v>0.67300000000000004</v>
      </c>
    </row>
    <row r="93" spans="1:5">
      <c r="A93" s="273">
        <v>89</v>
      </c>
      <c r="B93" s="274">
        <v>29</v>
      </c>
      <c r="C93" s="278" t="s">
        <v>80</v>
      </c>
      <c r="D93" s="283">
        <v>0.628</v>
      </c>
      <c r="E93" s="284">
        <v>0.81499999999999995</v>
      </c>
    </row>
    <row r="94" spans="1:5">
      <c r="A94" s="273">
        <v>90</v>
      </c>
      <c r="B94" s="274">
        <v>29</v>
      </c>
      <c r="C94" s="278" t="s">
        <v>81</v>
      </c>
      <c r="D94" s="283">
        <v>0.58699999999999997</v>
      </c>
      <c r="E94" s="284">
        <v>0.746</v>
      </c>
    </row>
    <row r="95" spans="1:5">
      <c r="A95" s="273">
        <v>91</v>
      </c>
      <c r="B95" s="274">
        <v>29</v>
      </c>
      <c r="C95" s="278" t="s">
        <v>82</v>
      </c>
      <c r="D95" s="283">
        <v>0.55400000000000005</v>
      </c>
      <c r="E95" s="284">
        <v>0.69699999999999995</v>
      </c>
    </row>
    <row r="96" spans="1:5">
      <c r="A96" s="273">
        <v>92</v>
      </c>
      <c r="B96" s="274">
        <v>29</v>
      </c>
      <c r="C96" s="278" t="s">
        <v>83</v>
      </c>
      <c r="D96" s="283">
        <v>0.52600000000000002</v>
      </c>
      <c r="E96" s="284">
        <v>0.65700000000000003</v>
      </c>
    </row>
    <row r="97" spans="1:5">
      <c r="A97" s="273">
        <v>93</v>
      </c>
      <c r="B97" s="274">
        <v>30</v>
      </c>
      <c r="C97" s="278" t="s">
        <v>335</v>
      </c>
      <c r="D97" s="283">
        <v>0.57199999999999995</v>
      </c>
      <c r="E97" s="284">
        <v>0.72499999999999998</v>
      </c>
    </row>
    <row r="98" spans="1:5">
      <c r="A98" s="273">
        <v>94</v>
      </c>
      <c r="B98" s="274">
        <v>31</v>
      </c>
      <c r="C98" s="278" t="s">
        <v>84</v>
      </c>
      <c r="D98" s="283">
        <v>0.65300000000000002</v>
      </c>
      <c r="E98" s="284">
        <v>0.91100000000000003</v>
      </c>
    </row>
    <row r="99" spans="1:5">
      <c r="A99" s="273">
        <v>95</v>
      </c>
      <c r="B99" s="274">
        <v>31</v>
      </c>
      <c r="C99" s="278" t="s">
        <v>85</v>
      </c>
      <c r="D99" s="283">
        <v>0.58799999999999997</v>
      </c>
      <c r="E99" s="284">
        <v>0.78100000000000003</v>
      </c>
    </row>
    <row r="100" spans="1:5">
      <c r="A100" s="273">
        <v>96</v>
      </c>
      <c r="B100" s="274">
        <v>31</v>
      </c>
      <c r="C100" s="278" t="s">
        <v>86</v>
      </c>
      <c r="D100" s="283">
        <v>0.52900000000000003</v>
      </c>
      <c r="E100" s="284">
        <v>0.66200000000000003</v>
      </c>
    </row>
    <row r="101" spans="1:5">
      <c r="A101" s="273">
        <v>97</v>
      </c>
      <c r="B101" s="274">
        <v>32</v>
      </c>
      <c r="C101" s="278" t="s">
        <v>87</v>
      </c>
      <c r="D101" s="283">
        <v>0.66900000000000004</v>
      </c>
      <c r="E101" s="284">
        <v>0.95899999999999996</v>
      </c>
    </row>
    <row r="102" spans="1:5">
      <c r="A102" s="273">
        <v>98</v>
      </c>
      <c r="B102" s="274">
        <v>32</v>
      </c>
      <c r="C102" s="278" t="s">
        <v>88</v>
      </c>
      <c r="D102" s="283">
        <v>0.59799999999999998</v>
      </c>
      <c r="E102" s="284">
        <v>0.81299999999999994</v>
      </c>
    </row>
    <row r="103" spans="1:5">
      <c r="A103" s="273">
        <v>99</v>
      </c>
      <c r="B103" s="274">
        <v>32</v>
      </c>
      <c r="C103" s="278" t="s">
        <v>89</v>
      </c>
      <c r="D103" s="283">
        <v>0.54400000000000004</v>
      </c>
      <c r="E103" s="284">
        <v>0.71099999999999997</v>
      </c>
    </row>
    <row r="104" spans="1:5">
      <c r="A104" s="273">
        <v>100</v>
      </c>
      <c r="B104" s="274">
        <v>32</v>
      </c>
      <c r="C104" s="278" t="s">
        <v>90</v>
      </c>
      <c r="D104" s="283">
        <v>0.49399999999999999</v>
      </c>
      <c r="E104" s="284">
        <v>0.61199999999999999</v>
      </c>
    </row>
    <row r="105" spans="1:5">
      <c r="A105" s="273">
        <v>101</v>
      </c>
      <c r="B105" s="274">
        <v>33</v>
      </c>
      <c r="C105" s="278" t="s">
        <v>336</v>
      </c>
      <c r="D105" s="283">
        <v>0.61199999999999999</v>
      </c>
      <c r="E105" s="284">
        <v>0.85199999999999998</v>
      </c>
    </row>
    <row r="106" spans="1:5">
      <c r="A106" s="273">
        <v>102</v>
      </c>
      <c r="B106" s="274">
        <v>33</v>
      </c>
      <c r="C106" s="278" t="s">
        <v>91</v>
      </c>
      <c r="D106" s="283">
        <v>0.55500000000000005</v>
      </c>
      <c r="E106" s="284">
        <v>0.74199999999999999</v>
      </c>
    </row>
    <row r="107" spans="1:5">
      <c r="A107" s="273">
        <v>103</v>
      </c>
      <c r="B107" s="274">
        <v>33</v>
      </c>
      <c r="C107" s="278" t="s">
        <v>337</v>
      </c>
      <c r="D107" s="283">
        <v>0.46400000000000002</v>
      </c>
      <c r="E107" s="284">
        <v>0.57099999999999995</v>
      </c>
    </row>
    <row r="108" spans="1:5">
      <c r="A108" s="273">
        <v>104</v>
      </c>
      <c r="B108" s="274">
        <v>34</v>
      </c>
      <c r="C108" s="278" t="s">
        <v>338</v>
      </c>
      <c r="D108" s="283">
        <v>0.621</v>
      </c>
      <c r="E108" s="284">
        <v>0.87</v>
      </c>
    </row>
    <row r="109" spans="1:5">
      <c r="A109" s="273">
        <v>105</v>
      </c>
      <c r="B109" s="274">
        <v>34</v>
      </c>
      <c r="C109" s="278" t="s">
        <v>339</v>
      </c>
      <c r="D109" s="283">
        <v>0.52</v>
      </c>
      <c r="E109" s="284">
        <v>0.68600000000000005</v>
      </c>
    </row>
    <row r="110" spans="1:5">
      <c r="A110" s="273">
        <v>106</v>
      </c>
      <c r="B110" s="274">
        <v>34</v>
      </c>
      <c r="C110" s="278" t="s">
        <v>340</v>
      </c>
      <c r="D110" s="283">
        <v>0.438</v>
      </c>
      <c r="E110" s="284">
        <v>0.53600000000000003</v>
      </c>
    </row>
    <row r="111" spans="1:5">
      <c r="A111" s="273">
        <v>107</v>
      </c>
      <c r="B111" s="274">
        <v>35</v>
      </c>
      <c r="C111" s="278" t="s">
        <v>92</v>
      </c>
      <c r="D111" s="283">
        <v>0.67600000000000005</v>
      </c>
      <c r="E111" s="284">
        <v>0.96399999999999997</v>
      </c>
    </row>
    <row r="112" spans="1:5">
      <c r="A112" s="273">
        <v>108</v>
      </c>
      <c r="B112" s="274">
        <v>35</v>
      </c>
      <c r="C112" s="278" t="s">
        <v>341</v>
      </c>
      <c r="D112" s="283">
        <v>0.57699999999999996</v>
      </c>
      <c r="E112" s="284">
        <v>0.79300000000000004</v>
      </c>
    </row>
    <row r="113" spans="1:5">
      <c r="A113" s="273">
        <v>109</v>
      </c>
      <c r="B113" s="274">
        <v>35</v>
      </c>
      <c r="C113" s="278" t="s">
        <v>93</v>
      </c>
      <c r="D113" s="283">
        <v>0.53200000000000003</v>
      </c>
      <c r="E113" s="284">
        <v>0.71599999999999997</v>
      </c>
    </row>
    <row r="114" spans="1:5">
      <c r="A114" s="273">
        <v>110</v>
      </c>
      <c r="B114" s="274">
        <v>35</v>
      </c>
      <c r="C114" s="278" t="s">
        <v>94</v>
      </c>
      <c r="D114" s="283">
        <v>0.49</v>
      </c>
      <c r="E114" s="284">
        <v>0.64</v>
      </c>
    </row>
    <row r="115" spans="1:5">
      <c r="A115" s="273">
        <v>111</v>
      </c>
      <c r="B115" s="274">
        <v>35</v>
      </c>
      <c r="C115" s="278" t="s">
        <v>342</v>
      </c>
      <c r="D115" s="283">
        <v>0.41499999999999998</v>
      </c>
      <c r="E115" s="284">
        <v>0.50600000000000001</v>
      </c>
    </row>
    <row r="116" spans="1:5">
      <c r="A116" s="273">
        <v>112</v>
      </c>
      <c r="B116" s="274">
        <v>35</v>
      </c>
      <c r="C116" s="278" t="s">
        <v>343</v>
      </c>
      <c r="D116" s="283">
        <v>0.80800000000000005</v>
      </c>
      <c r="E116" s="284">
        <v>1.214</v>
      </c>
    </row>
    <row r="117" spans="1:5">
      <c r="A117" s="273">
        <v>113</v>
      </c>
      <c r="B117" s="274">
        <v>36</v>
      </c>
      <c r="C117" s="278" t="s">
        <v>344</v>
      </c>
      <c r="D117" s="283">
        <v>0.625</v>
      </c>
      <c r="E117" s="284">
        <v>0.872</v>
      </c>
    </row>
    <row r="118" spans="1:5">
      <c r="A118" s="273">
        <v>114</v>
      </c>
      <c r="B118" s="274">
        <v>37</v>
      </c>
      <c r="C118" s="278" t="s">
        <v>95</v>
      </c>
      <c r="D118" s="283">
        <v>0.66600000000000004</v>
      </c>
      <c r="E118" s="284">
        <v>0.93400000000000005</v>
      </c>
    </row>
    <row r="119" spans="1:5">
      <c r="A119" s="273">
        <v>115</v>
      </c>
      <c r="B119" s="274">
        <v>38</v>
      </c>
      <c r="C119" s="278" t="s">
        <v>345</v>
      </c>
      <c r="D119" s="283">
        <v>0.61899999999999999</v>
      </c>
      <c r="E119" s="284">
        <v>0.85499999999999998</v>
      </c>
    </row>
    <row r="120" spans="1:5">
      <c r="A120" s="273">
        <v>116</v>
      </c>
      <c r="B120" s="274">
        <v>39</v>
      </c>
      <c r="C120" s="278" t="s">
        <v>346</v>
      </c>
      <c r="D120" s="283">
        <v>0.63</v>
      </c>
      <c r="E120" s="284">
        <v>0.88600000000000001</v>
      </c>
    </row>
    <row r="121" spans="1:5">
      <c r="A121" s="273">
        <v>117</v>
      </c>
      <c r="B121" s="274">
        <v>39</v>
      </c>
      <c r="C121" s="278" t="s">
        <v>96</v>
      </c>
      <c r="D121" s="283">
        <v>0.58099999999999996</v>
      </c>
      <c r="E121" s="284">
        <v>0.79200000000000004</v>
      </c>
    </row>
    <row r="122" spans="1:5">
      <c r="A122" s="273">
        <v>118</v>
      </c>
      <c r="B122" s="274">
        <v>40</v>
      </c>
      <c r="C122" s="278" t="s">
        <v>97</v>
      </c>
      <c r="D122" s="283">
        <v>0.71499999999999997</v>
      </c>
      <c r="E122" s="284">
        <v>1.0860000000000001</v>
      </c>
    </row>
    <row r="123" spans="1:5">
      <c r="A123" s="273">
        <v>119</v>
      </c>
      <c r="B123" s="274">
        <v>40</v>
      </c>
      <c r="C123" s="278" t="s">
        <v>98</v>
      </c>
      <c r="D123" s="283">
        <v>0.63400000000000001</v>
      </c>
      <c r="E123" s="284">
        <v>0.89400000000000002</v>
      </c>
    </row>
    <row r="124" spans="1:5">
      <c r="A124" s="273">
        <v>120</v>
      </c>
      <c r="B124" s="274">
        <v>40</v>
      </c>
      <c r="C124" s="278" t="s">
        <v>99</v>
      </c>
      <c r="D124" s="283">
        <v>0.58799999999999997</v>
      </c>
      <c r="E124" s="284">
        <v>0.81</v>
      </c>
    </row>
    <row r="125" spans="1:5">
      <c r="A125" s="273">
        <v>121</v>
      </c>
      <c r="B125" s="274">
        <v>40</v>
      </c>
      <c r="C125" s="278" t="s">
        <v>100</v>
      </c>
      <c r="D125" s="283">
        <v>0.54900000000000004</v>
      </c>
      <c r="E125" s="284">
        <v>0.74</v>
      </c>
    </row>
    <row r="126" spans="1:5">
      <c r="A126" s="273">
        <v>122</v>
      </c>
      <c r="B126" s="274">
        <v>41</v>
      </c>
      <c r="C126" s="278" t="s">
        <v>347</v>
      </c>
      <c r="D126" s="283">
        <v>0.63400000000000001</v>
      </c>
      <c r="E126" s="284">
        <v>0.89100000000000001</v>
      </c>
    </row>
    <row r="127" spans="1:5">
      <c r="A127" s="273">
        <v>123</v>
      </c>
      <c r="B127" s="274">
        <v>41</v>
      </c>
      <c r="C127" s="278" t="s">
        <v>101</v>
      </c>
      <c r="D127" s="283">
        <v>0.59099999999999997</v>
      </c>
      <c r="E127" s="284">
        <v>0.81599999999999995</v>
      </c>
    </row>
    <row r="128" spans="1:5">
      <c r="A128" s="273">
        <v>124</v>
      </c>
      <c r="B128" s="274">
        <v>41</v>
      </c>
      <c r="C128" s="278" t="s">
        <v>102</v>
      </c>
      <c r="D128" s="283">
        <v>0.55400000000000005</v>
      </c>
      <c r="E128" s="284">
        <v>0.753</v>
      </c>
    </row>
    <row r="129" spans="1:5">
      <c r="A129" s="273">
        <v>125</v>
      </c>
      <c r="B129" s="274">
        <v>41</v>
      </c>
      <c r="C129" s="278" t="s">
        <v>103</v>
      </c>
      <c r="D129" s="283">
        <v>0.52</v>
      </c>
      <c r="E129" s="284">
        <v>0.69699999999999995</v>
      </c>
    </row>
    <row r="130" spans="1:5">
      <c r="A130" s="273">
        <v>126</v>
      </c>
      <c r="B130" s="274">
        <v>42</v>
      </c>
      <c r="C130" s="278" t="s">
        <v>104</v>
      </c>
      <c r="D130" s="283">
        <v>0.67800000000000005</v>
      </c>
      <c r="E130" s="284">
        <v>0.97099999999999997</v>
      </c>
    </row>
    <row r="131" spans="1:5">
      <c r="A131" s="273">
        <v>127</v>
      </c>
      <c r="B131" s="274">
        <v>42</v>
      </c>
      <c r="C131" s="278" t="s">
        <v>105</v>
      </c>
      <c r="D131" s="283">
        <v>0.63100000000000001</v>
      </c>
      <c r="E131" s="284">
        <v>0.88200000000000001</v>
      </c>
    </row>
    <row r="132" spans="1:5">
      <c r="A132" s="273">
        <v>128</v>
      </c>
      <c r="B132" s="274">
        <v>42</v>
      </c>
      <c r="C132" s="278" t="s">
        <v>106</v>
      </c>
      <c r="D132" s="283">
        <v>0.59099999999999997</v>
      </c>
      <c r="E132" s="284">
        <v>0.81399999999999995</v>
      </c>
    </row>
    <row r="133" spans="1:5">
      <c r="A133" s="273">
        <v>129</v>
      </c>
      <c r="B133" s="274">
        <v>42</v>
      </c>
      <c r="C133" s="278" t="s">
        <v>107</v>
      </c>
      <c r="D133" s="283">
        <v>0.55700000000000005</v>
      </c>
      <c r="E133" s="284">
        <v>0.75700000000000001</v>
      </c>
    </row>
    <row r="134" spans="1:5">
      <c r="A134" s="273">
        <v>130</v>
      </c>
      <c r="B134" s="274">
        <v>42</v>
      </c>
      <c r="C134" s="278" t="s">
        <v>108</v>
      </c>
      <c r="D134" s="283">
        <v>0.52500000000000002</v>
      </c>
      <c r="E134" s="284">
        <v>0.70599999999999996</v>
      </c>
    </row>
    <row r="135" spans="1:5">
      <c r="A135" s="273">
        <v>131</v>
      </c>
      <c r="B135" s="274">
        <v>42</v>
      </c>
      <c r="C135" s="278" t="s">
        <v>109</v>
      </c>
      <c r="D135" s="283">
        <v>0.495</v>
      </c>
      <c r="E135" s="284">
        <v>0.65900000000000003</v>
      </c>
    </row>
    <row r="136" spans="1:5">
      <c r="A136" s="273">
        <v>132</v>
      </c>
      <c r="B136" s="274">
        <v>43</v>
      </c>
      <c r="C136" s="278" t="s">
        <v>110</v>
      </c>
      <c r="D136" s="283">
        <v>0.69199999999999995</v>
      </c>
      <c r="E136" s="284">
        <v>1.0169999999999999</v>
      </c>
    </row>
    <row r="137" spans="1:5">
      <c r="A137" s="273">
        <v>133</v>
      </c>
      <c r="B137" s="274">
        <v>43</v>
      </c>
      <c r="C137" s="278" t="s">
        <v>111</v>
      </c>
      <c r="D137" s="283">
        <v>0.626</v>
      </c>
      <c r="E137" s="284">
        <v>0.87</v>
      </c>
    </row>
    <row r="138" spans="1:5">
      <c r="A138" s="273">
        <v>134</v>
      </c>
      <c r="B138" s="274">
        <v>43</v>
      </c>
      <c r="C138" s="278" t="s">
        <v>112</v>
      </c>
      <c r="D138" s="283">
        <v>0.59</v>
      </c>
      <c r="E138" s="284">
        <v>0.80900000000000005</v>
      </c>
    </row>
    <row r="139" spans="1:5">
      <c r="A139" s="273">
        <v>135</v>
      </c>
      <c r="B139" s="274">
        <v>43</v>
      </c>
      <c r="C139" s="278" t="s">
        <v>113</v>
      </c>
      <c r="D139" s="283">
        <v>0.55700000000000005</v>
      </c>
      <c r="E139" s="284">
        <v>0.75600000000000001</v>
      </c>
    </row>
    <row r="140" spans="1:5">
      <c r="A140" s="273">
        <v>136</v>
      </c>
      <c r="B140" s="274">
        <v>43</v>
      </c>
      <c r="C140" s="278" t="s">
        <v>114</v>
      </c>
      <c r="D140" s="283">
        <v>0.52700000000000002</v>
      </c>
      <c r="E140" s="284">
        <v>0.71</v>
      </c>
    </row>
    <row r="141" spans="1:5">
      <c r="A141" s="273">
        <v>137</v>
      </c>
      <c r="B141" s="274">
        <v>43</v>
      </c>
      <c r="C141" s="278" t="s">
        <v>115</v>
      </c>
      <c r="D141" s="283">
        <v>0.499</v>
      </c>
      <c r="E141" s="284">
        <v>0.66600000000000004</v>
      </c>
    </row>
    <row r="142" spans="1:5">
      <c r="A142" s="273">
        <v>138</v>
      </c>
      <c r="B142" s="274">
        <v>43</v>
      </c>
      <c r="C142" s="278" t="s">
        <v>116</v>
      </c>
      <c r="D142" s="283">
        <v>0.47299999999999998</v>
      </c>
      <c r="E142" s="284">
        <v>0.625</v>
      </c>
    </row>
    <row r="143" spans="1:5">
      <c r="A143" s="273">
        <v>139</v>
      </c>
      <c r="B143" s="274">
        <v>44</v>
      </c>
      <c r="C143" s="278" t="s">
        <v>117</v>
      </c>
      <c r="D143" s="283">
        <v>0.66</v>
      </c>
      <c r="E143" s="284">
        <v>0.92700000000000005</v>
      </c>
    </row>
    <row r="144" spans="1:5">
      <c r="A144" s="273">
        <v>140</v>
      </c>
      <c r="B144" s="274">
        <v>44</v>
      </c>
      <c r="C144" s="278" t="s">
        <v>118</v>
      </c>
      <c r="D144" s="283">
        <v>0.62</v>
      </c>
      <c r="E144" s="284">
        <v>0.85599999999999998</v>
      </c>
    </row>
    <row r="145" spans="1:5">
      <c r="A145" s="273">
        <v>141</v>
      </c>
      <c r="B145" s="274">
        <v>44</v>
      </c>
      <c r="C145" s="278" t="s">
        <v>119</v>
      </c>
      <c r="D145" s="283">
        <v>0.58599999999999997</v>
      </c>
      <c r="E145" s="284">
        <v>0.8</v>
      </c>
    </row>
    <row r="146" spans="1:5">
      <c r="A146" s="273">
        <v>142</v>
      </c>
      <c r="B146" s="274">
        <v>44</v>
      </c>
      <c r="C146" s="278" t="s">
        <v>120</v>
      </c>
      <c r="D146" s="283">
        <v>0.55600000000000005</v>
      </c>
      <c r="E146" s="284">
        <v>0.752</v>
      </c>
    </row>
    <row r="147" spans="1:5">
      <c r="A147" s="273">
        <v>143</v>
      </c>
      <c r="B147" s="274">
        <v>44</v>
      </c>
      <c r="C147" s="278" t="s">
        <v>121</v>
      </c>
      <c r="D147" s="283">
        <v>0.52800000000000002</v>
      </c>
      <c r="E147" s="284">
        <v>0.70899999999999996</v>
      </c>
    </row>
    <row r="148" spans="1:5">
      <c r="A148" s="273">
        <v>144</v>
      </c>
      <c r="B148" s="274">
        <v>44</v>
      </c>
      <c r="C148" s="278" t="s">
        <v>122</v>
      </c>
      <c r="D148" s="283">
        <v>0.502</v>
      </c>
      <c r="E148" s="284">
        <v>0.67</v>
      </c>
    </row>
    <row r="149" spans="1:5">
      <c r="A149" s="273">
        <v>145</v>
      </c>
      <c r="B149" s="274">
        <v>44</v>
      </c>
      <c r="C149" s="278" t="s">
        <v>123</v>
      </c>
      <c r="D149" s="283">
        <v>0.47699999999999998</v>
      </c>
      <c r="E149" s="284">
        <v>0.63200000000000001</v>
      </c>
    </row>
    <row r="150" spans="1:5">
      <c r="A150" s="273">
        <v>146</v>
      </c>
      <c r="B150" s="274">
        <v>44</v>
      </c>
      <c r="C150" s="278" t="s">
        <v>124</v>
      </c>
      <c r="D150" s="283">
        <v>0.45200000000000001</v>
      </c>
      <c r="E150" s="284">
        <v>0.59499999999999997</v>
      </c>
    </row>
    <row r="151" spans="1:5">
      <c r="A151" s="273">
        <v>147</v>
      </c>
      <c r="B151" s="274">
        <v>45</v>
      </c>
      <c r="C151" s="278" t="s">
        <v>125</v>
      </c>
      <c r="D151" s="283">
        <v>0.65</v>
      </c>
      <c r="E151" s="284">
        <v>0.90600000000000003</v>
      </c>
    </row>
    <row r="152" spans="1:5">
      <c r="A152" s="273">
        <v>148</v>
      </c>
      <c r="B152" s="274">
        <v>45</v>
      </c>
      <c r="C152" s="278" t="s">
        <v>126</v>
      </c>
      <c r="D152" s="283">
        <v>0.61299999999999999</v>
      </c>
      <c r="E152" s="284">
        <v>0.84199999999999997</v>
      </c>
    </row>
    <row r="153" spans="1:5">
      <c r="A153" s="273">
        <v>149</v>
      </c>
      <c r="B153" s="274">
        <v>45</v>
      </c>
      <c r="C153" s="278" t="s">
        <v>127</v>
      </c>
      <c r="D153" s="283">
        <v>0.58199999999999996</v>
      </c>
      <c r="E153" s="284">
        <v>0.79</v>
      </c>
    </row>
    <row r="154" spans="1:5">
      <c r="A154" s="273">
        <v>150</v>
      </c>
      <c r="B154" s="274">
        <v>45</v>
      </c>
      <c r="C154" s="278" t="s">
        <v>128</v>
      </c>
      <c r="D154" s="283">
        <v>0.55300000000000005</v>
      </c>
      <c r="E154" s="284">
        <v>0.746</v>
      </c>
    </row>
    <row r="155" spans="1:5">
      <c r="A155" s="273">
        <v>151</v>
      </c>
      <c r="B155" s="274">
        <v>45</v>
      </c>
      <c r="C155" s="278" t="s">
        <v>129</v>
      </c>
      <c r="D155" s="283">
        <v>0.52700000000000002</v>
      </c>
      <c r="E155" s="284">
        <v>0.70599999999999996</v>
      </c>
    </row>
    <row r="156" spans="1:5">
      <c r="A156" s="273">
        <v>152</v>
      </c>
      <c r="B156" s="274">
        <v>45</v>
      </c>
      <c r="C156" s="278" t="s">
        <v>130</v>
      </c>
      <c r="D156" s="283">
        <v>0.503</v>
      </c>
      <c r="E156" s="284">
        <v>0.67</v>
      </c>
    </row>
    <row r="157" spans="1:5">
      <c r="A157" s="273">
        <v>153</v>
      </c>
      <c r="B157" s="274">
        <v>46</v>
      </c>
      <c r="C157" s="278" t="s">
        <v>348</v>
      </c>
      <c r="D157" s="283">
        <v>0.60599999999999998</v>
      </c>
      <c r="E157" s="284">
        <v>0.82699999999999996</v>
      </c>
    </row>
    <row r="158" spans="1:5">
      <c r="A158" s="273">
        <v>154</v>
      </c>
      <c r="B158" s="274">
        <v>46</v>
      </c>
      <c r="C158" s="278" t="s">
        <v>349</v>
      </c>
      <c r="D158" s="283">
        <v>0.55000000000000004</v>
      </c>
      <c r="E158" s="284">
        <v>0.73799999999999999</v>
      </c>
    </row>
    <row r="159" spans="1:5">
      <c r="A159" s="273">
        <v>155</v>
      </c>
      <c r="B159" s="274">
        <v>47</v>
      </c>
      <c r="C159" s="278" t="s">
        <v>131</v>
      </c>
      <c r="D159" s="283">
        <v>0.63</v>
      </c>
      <c r="E159" s="284">
        <v>0.86499999999999999</v>
      </c>
    </row>
    <row r="160" spans="1:5">
      <c r="A160" s="273">
        <v>156</v>
      </c>
      <c r="B160" s="274">
        <v>47</v>
      </c>
      <c r="C160" s="278" t="s">
        <v>132</v>
      </c>
      <c r="D160" s="283">
        <v>0.59799999999999998</v>
      </c>
      <c r="E160" s="284">
        <v>0.81100000000000005</v>
      </c>
    </row>
    <row r="161" spans="1:5">
      <c r="A161" s="273">
        <v>157</v>
      </c>
      <c r="B161" s="274">
        <v>47</v>
      </c>
      <c r="C161" s="278" t="s">
        <v>133</v>
      </c>
      <c r="D161" s="283">
        <v>0.57099999999999995</v>
      </c>
      <c r="E161" s="284">
        <v>0.76700000000000002</v>
      </c>
    </row>
    <row r="162" spans="1:5">
      <c r="A162" s="273">
        <v>158</v>
      </c>
      <c r="B162" s="274">
        <v>48</v>
      </c>
      <c r="C162" s="278" t="s">
        <v>350</v>
      </c>
      <c r="D162" s="283">
        <v>0.59099999999999997</v>
      </c>
      <c r="E162" s="284">
        <v>0.79600000000000004</v>
      </c>
    </row>
    <row r="163" spans="1:5">
      <c r="A163" s="273">
        <v>159</v>
      </c>
      <c r="B163" s="274">
        <v>49</v>
      </c>
      <c r="C163" s="278" t="s">
        <v>134</v>
      </c>
      <c r="D163" s="283">
        <v>0.64700000000000002</v>
      </c>
      <c r="E163" s="284">
        <v>0.92800000000000005</v>
      </c>
    </row>
    <row r="164" spans="1:5">
      <c r="A164" s="273">
        <v>160</v>
      </c>
      <c r="B164" s="274">
        <v>49</v>
      </c>
      <c r="C164" s="278" t="s">
        <v>135</v>
      </c>
      <c r="D164" s="283">
        <v>0.6</v>
      </c>
      <c r="E164" s="284">
        <v>0.83</v>
      </c>
    </row>
    <row r="165" spans="1:5">
      <c r="A165" s="273">
        <v>161</v>
      </c>
      <c r="B165" s="274">
        <v>49</v>
      </c>
      <c r="C165" s="278" t="s">
        <v>136</v>
      </c>
      <c r="D165" s="283">
        <v>0.55800000000000005</v>
      </c>
      <c r="E165" s="284">
        <v>0.74299999999999999</v>
      </c>
    </row>
    <row r="166" spans="1:5">
      <c r="A166" s="273">
        <v>162</v>
      </c>
      <c r="B166" s="274">
        <v>50</v>
      </c>
      <c r="C166" s="278" t="s">
        <v>351</v>
      </c>
      <c r="D166" s="283">
        <v>0.60799999999999998</v>
      </c>
      <c r="E166" s="284">
        <v>0.85199999999999998</v>
      </c>
    </row>
    <row r="167" spans="1:5">
      <c r="A167" s="273">
        <v>163</v>
      </c>
      <c r="B167" s="274">
        <v>50</v>
      </c>
      <c r="C167" s="278" t="s">
        <v>352</v>
      </c>
      <c r="D167" s="283">
        <v>0.53100000000000003</v>
      </c>
      <c r="E167" s="284">
        <v>0.7</v>
      </c>
    </row>
    <row r="168" spans="1:5">
      <c r="A168" s="273">
        <v>164</v>
      </c>
      <c r="B168" s="274">
        <v>51</v>
      </c>
      <c r="C168" s="278" t="s">
        <v>353</v>
      </c>
      <c r="D168" s="283">
        <v>0.57499999999999996</v>
      </c>
      <c r="E168" s="284">
        <v>0.79400000000000004</v>
      </c>
    </row>
    <row r="169" spans="1:5">
      <c r="A169" s="273">
        <v>165</v>
      </c>
      <c r="B169" s="274">
        <v>51</v>
      </c>
      <c r="C169" s="278" t="s">
        <v>354</v>
      </c>
      <c r="D169" s="283">
        <v>0.50600000000000001</v>
      </c>
      <c r="E169" s="284">
        <v>0.66300000000000003</v>
      </c>
    </row>
    <row r="170" spans="1:5">
      <c r="A170" s="273">
        <v>166</v>
      </c>
      <c r="B170" s="274">
        <v>52</v>
      </c>
      <c r="C170" s="278" t="s">
        <v>355</v>
      </c>
      <c r="D170" s="283">
        <v>0.626</v>
      </c>
      <c r="E170" s="284">
        <v>0.90200000000000002</v>
      </c>
    </row>
    <row r="171" spans="1:5">
      <c r="A171" s="273">
        <v>167</v>
      </c>
      <c r="B171" s="274">
        <v>52</v>
      </c>
      <c r="C171" s="278" t="s">
        <v>356</v>
      </c>
      <c r="D171" s="283">
        <v>0.54700000000000004</v>
      </c>
      <c r="E171" s="284">
        <v>0.747</v>
      </c>
    </row>
    <row r="172" spans="1:5">
      <c r="A172" s="273">
        <v>168</v>
      </c>
      <c r="B172" s="274">
        <v>52</v>
      </c>
      <c r="C172" s="278" t="s">
        <v>137</v>
      </c>
      <c r="D172" s="283">
        <v>0.51600000000000001</v>
      </c>
      <c r="E172" s="284">
        <v>0.68899999999999995</v>
      </c>
    </row>
    <row r="173" spans="1:5">
      <c r="A173" s="273">
        <v>169</v>
      </c>
      <c r="B173" s="274">
        <v>52</v>
      </c>
      <c r="C173" s="278" t="s">
        <v>138</v>
      </c>
      <c r="D173" s="283">
        <v>0.48499999999999999</v>
      </c>
      <c r="E173" s="284">
        <v>0.63100000000000001</v>
      </c>
    </row>
    <row r="174" spans="1:5">
      <c r="A174" s="273">
        <v>170</v>
      </c>
      <c r="B174" s="274">
        <v>53</v>
      </c>
      <c r="C174" s="278" t="s">
        <v>139</v>
      </c>
      <c r="D174" s="283">
        <v>0.67200000000000004</v>
      </c>
      <c r="E174" s="284">
        <v>0.98899999999999999</v>
      </c>
    </row>
    <row r="175" spans="1:5">
      <c r="A175" s="273">
        <v>171</v>
      </c>
      <c r="B175" s="274">
        <v>53</v>
      </c>
      <c r="C175" s="278" t="s">
        <v>357</v>
      </c>
      <c r="D175" s="283">
        <v>0.59299999999999997</v>
      </c>
      <c r="E175" s="284">
        <v>0.83899999999999997</v>
      </c>
    </row>
    <row r="176" spans="1:5">
      <c r="A176" s="273">
        <v>172</v>
      </c>
      <c r="B176" s="274">
        <v>53</v>
      </c>
      <c r="C176" s="278" t="s">
        <v>358</v>
      </c>
      <c r="D176" s="283">
        <v>0.52300000000000002</v>
      </c>
      <c r="E176" s="284">
        <v>0.70799999999999996</v>
      </c>
    </row>
    <row r="177" spans="1:5">
      <c r="A177" s="273">
        <v>173</v>
      </c>
      <c r="B177" s="274">
        <v>53</v>
      </c>
      <c r="C177" s="278" t="s">
        <v>359</v>
      </c>
      <c r="D177" s="283">
        <v>0.46600000000000003</v>
      </c>
      <c r="E177" s="284">
        <v>0.60199999999999998</v>
      </c>
    </row>
    <row r="178" spans="1:5">
      <c r="A178" s="273">
        <v>174</v>
      </c>
      <c r="B178" s="274">
        <v>53</v>
      </c>
      <c r="C178" s="278" t="s">
        <v>360</v>
      </c>
      <c r="D178" s="283">
        <v>0.77700000000000002</v>
      </c>
      <c r="E178" s="284">
        <v>1.2050000000000001</v>
      </c>
    </row>
    <row r="179" spans="1:5">
      <c r="A179" s="273">
        <v>175</v>
      </c>
      <c r="B179" s="274">
        <v>54</v>
      </c>
      <c r="C179" s="278" t="s">
        <v>361</v>
      </c>
      <c r="D179" s="283">
        <v>0.63300000000000001</v>
      </c>
      <c r="E179" s="284">
        <v>0.91200000000000003</v>
      </c>
    </row>
    <row r="180" spans="1:5">
      <c r="A180" s="273">
        <v>176</v>
      </c>
      <c r="B180" s="274">
        <v>54</v>
      </c>
      <c r="C180" s="278" t="s">
        <v>362</v>
      </c>
      <c r="D180" s="283">
        <v>0.56399999999999995</v>
      </c>
      <c r="E180" s="284">
        <v>0.78800000000000003</v>
      </c>
    </row>
    <row r="181" spans="1:5">
      <c r="A181" s="273">
        <v>177</v>
      </c>
      <c r="B181" s="274">
        <v>54</v>
      </c>
      <c r="C181" s="278" t="s">
        <v>363</v>
      </c>
      <c r="D181" s="283">
        <v>0.501</v>
      </c>
      <c r="E181" s="284">
        <v>0.67300000000000004</v>
      </c>
    </row>
    <row r="182" spans="1:5">
      <c r="A182" s="273">
        <v>178</v>
      </c>
      <c r="B182" s="274">
        <v>54</v>
      </c>
      <c r="C182" s="278" t="s">
        <v>364</v>
      </c>
      <c r="D182" s="283">
        <v>0.44800000000000001</v>
      </c>
      <c r="E182" s="284">
        <v>0.57699999999999996</v>
      </c>
    </row>
    <row r="183" spans="1:5">
      <c r="A183" s="273">
        <v>179</v>
      </c>
      <c r="B183" s="274">
        <v>55</v>
      </c>
      <c r="C183" s="278" t="s">
        <v>140</v>
      </c>
      <c r="D183" s="283">
        <v>0.67</v>
      </c>
      <c r="E183" s="284">
        <v>0.97399999999999998</v>
      </c>
    </row>
    <row r="184" spans="1:5">
      <c r="A184" s="273">
        <v>180</v>
      </c>
      <c r="B184" s="274">
        <v>56</v>
      </c>
      <c r="C184" s="278" t="s">
        <v>365</v>
      </c>
      <c r="D184" s="283">
        <v>0.63300000000000001</v>
      </c>
      <c r="E184" s="284">
        <v>0.90600000000000003</v>
      </c>
    </row>
    <row r="185" spans="1:5">
      <c r="A185" s="273">
        <v>181</v>
      </c>
      <c r="B185" s="274">
        <v>57</v>
      </c>
      <c r="C185" s="278" t="s">
        <v>366</v>
      </c>
      <c r="D185" s="283">
        <v>0.64300000000000002</v>
      </c>
      <c r="E185" s="284">
        <v>0.93400000000000005</v>
      </c>
    </row>
    <row r="186" spans="1:5">
      <c r="A186" s="273">
        <v>182</v>
      </c>
      <c r="B186" s="274">
        <v>57</v>
      </c>
      <c r="C186" s="278" t="s">
        <v>141</v>
      </c>
      <c r="D186" s="283">
        <v>0.60199999999999998</v>
      </c>
      <c r="E186" s="284">
        <v>0.85099999999999998</v>
      </c>
    </row>
    <row r="187" spans="1:5">
      <c r="A187" s="273">
        <v>183</v>
      </c>
      <c r="B187" s="274">
        <v>58</v>
      </c>
      <c r="C187" s="278" t="s">
        <v>367</v>
      </c>
      <c r="D187" s="283">
        <v>0.61899999999999999</v>
      </c>
      <c r="E187" s="284">
        <v>0.878</v>
      </c>
    </row>
    <row r="188" spans="1:5">
      <c r="A188" s="273">
        <v>184</v>
      </c>
      <c r="B188" s="274">
        <v>58</v>
      </c>
      <c r="C188" s="278" t="s">
        <v>142</v>
      </c>
      <c r="D188" s="283">
        <v>0.59499999999999997</v>
      </c>
      <c r="E188" s="284">
        <v>0.83699999999999997</v>
      </c>
    </row>
    <row r="189" spans="1:5">
      <c r="A189" s="273">
        <v>185</v>
      </c>
      <c r="B189" s="274">
        <v>58</v>
      </c>
      <c r="C189" s="278" t="s">
        <v>143</v>
      </c>
      <c r="D189" s="283">
        <v>0.57499999999999996</v>
      </c>
      <c r="E189" s="284">
        <v>0.80500000000000005</v>
      </c>
    </row>
    <row r="190" spans="1:5">
      <c r="A190" s="273">
        <v>186</v>
      </c>
      <c r="B190" s="274">
        <v>59</v>
      </c>
      <c r="C190" s="278" t="s">
        <v>368</v>
      </c>
      <c r="D190" s="283">
        <v>0.61099999999999999</v>
      </c>
      <c r="E190" s="284">
        <v>0.86399999999999999</v>
      </c>
    </row>
    <row r="191" spans="1:5">
      <c r="A191" s="273">
        <v>187</v>
      </c>
      <c r="B191" s="274">
        <v>59</v>
      </c>
      <c r="C191" s="278" t="s">
        <v>144</v>
      </c>
      <c r="D191" s="283">
        <v>0.58799999999999997</v>
      </c>
      <c r="E191" s="284">
        <v>0.82299999999999995</v>
      </c>
    </row>
    <row r="192" spans="1:5">
      <c r="A192" s="273">
        <v>188</v>
      </c>
      <c r="B192" s="274">
        <v>59</v>
      </c>
      <c r="C192" s="278" t="s">
        <v>145</v>
      </c>
      <c r="D192" s="283">
        <v>0.56799999999999995</v>
      </c>
      <c r="E192" s="284">
        <v>0.79200000000000004</v>
      </c>
    </row>
    <row r="193" spans="1:5">
      <c r="A193" s="273">
        <v>189</v>
      </c>
      <c r="B193" s="274">
        <v>60</v>
      </c>
      <c r="C193" s="278" t="s">
        <v>369</v>
      </c>
      <c r="D193" s="283">
        <v>0.60299999999999998</v>
      </c>
      <c r="E193" s="284">
        <v>0.84899999999999998</v>
      </c>
    </row>
    <row r="194" spans="1:5">
      <c r="A194" s="273">
        <v>190</v>
      </c>
      <c r="B194" s="274">
        <v>60</v>
      </c>
      <c r="C194" s="278" t="s">
        <v>146</v>
      </c>
      <c r="D194" s="283">
        <v>0.57999999999999996</v>
      </c>
      <c r="E194" s="284">
        <v>0.81</v>
      </c>
    </row>
    <row r="195" spans="1:5">
      <c r="A195" s="273">
        <v>191</v>
      </c>
      <c r="B195" s="274">
        <v>61</v>
      </c>
      <c r="C195" s="278" t="s">
        <v>370</v>
      </c>
      <c r="D195" s="283">
        <v>0.57299999999999995</v>
      </c>
      <c r="E195" s="284">
        <v>0.79700000000000004</v>
      </c>
    </row>
    <row r="196" spans="1:5">
      <c r="A196" s="273">
        <v>192</v>
      </c>
      <c r="B196" s="274">
        <v>62</v>
      </c>
      <c r="C196" s="278" t="s">
        <v>371</v>
      </c>
      <c r="D196" s="283">
        <v>0.58599999999999997</v>
      </c>
      <c r="E196" s="284">
        <v>0.82</v>
      </c>
    </row>
    <row r="197" spans="1:5">
      <c r="A197" s="273">
        <v>193</v>
      </c>
      <c r="B197" s="274">
        <v>62</v>
      </c>
      <c r="C197" s="278" t="s">
        <v>147</v>
      </c>
      <c r="D197" s="283">
        <v>0.56499999999999995</v>
      </c>
      <c r="E197" s="284">
        <v>0.78400000000000003</v>
      </c>
    </row>
    <row r="198" spans="1:5">
      <c r="A198" s="273">
        <v>194</v>
      </c>
      <c r="B198" s="274">
        <v>63</v>
      </c>
      <c r="C198" s="278" t="s">
        <v>372</v>
      </c>
      <c r="D198" s="283">
        <v>0.57799999999999996</v>
      </c>
      <c r="E198" s="284">
        <v>0.80700000000000005</v>
      </c>
    </row>
    <row r="199" spans="1:5">
      <c r="A199" s="273">
        <v>195</v>
      </c>
      <c r="B199" s="274">
        <v>63</v>
      </c>
      <c r="C199" s="278" t="s">
        <v>148</v>
      </c>
      <c r="D199" s="283">
        <v>0.55800000000000005</v>
      </c>
      <c r="E199" s="284">
        <v>0.77100000000000002</v>
      </c>
    </row>
    <row r="200" spans="1:5">
      <c r="A200" s="273">
        <v>196</v>
      </c>
      <c r="B200" s="274">
        <v>64</v>
      </c>
      <c r="C200" s="278" t="s">
        <v>149</v>
      </c>
      <c r="D200" s="283">
        <v>0.63800000000000001</v>
      </c>
      <c r="E200" s="284">
        <v>0.97899999999999998</v>
      </c>
    </row>
    <row r="201" spans="1:5">
      <c r="A201" s="273">
        <v>197</v>
      </c>
      <c r="B201" s="274">
        <v>64</v>
      </c>
      <c r="C201" s="278" t="s">
        <v>150</v>
      </c>
      <c r="D201" s="283">
        <v>0.58299999999999996</v>
      </c>
      <c r="E201" s="284">
        <v>0.82799999999999996</v>
      </c>
    </row>
    <row r="202" spans="1:5">
      <c r="A202" s="273">
        <v>198</v>
      </c>
      <c r="B202" s="274">
        <v>64</v>
      </c>
      <c r="C202" s="278" t="s">
        <v>151</v>
      </c>
      <c r="D202" s="283">
        <v>0.55000000000000004</v>
      </c>
      <c r="E202" s="284">
        <v>0.75900000000000001</v>
      </c>
    </row>
    <row r="203" spans="1:5">
      <c r="A203" s="273">
        <v>199</v>
      </c>
      <c r="B203" s="274">
        <v>65</v>
      </c>
      <c r="C203" s="278" t="s">
        <v>152</v>
      </c>
      <c r="D203" s="283">
        <v>0.61699999999999999</v>
      </c>
      <c r="E203" s="284">
        <v>0.93899999999999995</v>
      </c>
    </row>
    <row r="204" spans="1:5">
      <c r="A204" s="273">
        <v>200</v>
      </c>
      <c r="B204" s="274">
        <v>65</v>
      </c>
      <c r="C204" s="278" t="s">
        <v>373</v>
      </c>
      <c r="D204" s="283">
        <v>0.54300000000000004</v>
      </c>
      <c r="E204" s="284">
        <v>0.747</v>
      </c>
    </row>
    <row r="205" spans="1:5">
      <c r="A205" s="273">
        <v>201</v>
      </c>
      <c r="B205" s="274">
        <v>65</v>
      </c>
      <c r="C205" s="278" t="s">
        <v>153</v>
      </c>
      <c r="D205" s="283">
        <v>0.52700000000000002</v>
      </c>
      <c r="E205" s="284">
        <v>0.71899999999999997</v>
      </c>
    </row>
    <row r="206" spans="1:5">
      <c r="A206" s="273">
        <v>202</v>
      </c>
      <c r="B206" s="274">
        <v>66</v>
      </c>
      <c r="C206" s="278" t="s">
        <v>374</v>
      </c>
      <c r="D206" s="283">
        <v>0.55500000000000005</v>
      </c>
      <c r="E206" s="284">
        <v>0.76800000000000002</v>
      </c>
    </row>
    <row r="207" spans="1:5">
      <c r="A207" s="273">
        <v>203</v>
      </c>
      <c r="B207" s="274">
        <v>66</v>
      </c>
      <c r="C207" s="278" t="s">
        <v>154</v>
      </c>
      <c r="D207" s="283">
        <v>0.53600000000000003</v>
      </c>
      <c r="E207" s="284">
        <v>0.73499999999999999</v>
      </c>
    </row>
    <row r="208" spans="1:5">
      <c r="A208" s="273">
        <v>204</v>
      </c>
      <c r="B208" s="274">
        <v>67</v>
      </c>
      <c r="C208" s="278" t="s">
        <v>375</v>
      </c>
      <c r="D208" s="283">
        <v>0.52900000000000003</v>
      </c>
      <c r="E208" s="284">
        <v>0.72399999999999998</v>
      </c>
    </row>
    <row r="209" spans="1:5">
      <c r="A209" s="273">
        <v>205</v>
      </c>
      <c r="B209" s="274">
        <v>68</v>
      </c>
      <c r="C209" s="278" t="s">
        <v>376</v>
      </c>
      <c r="D209" s="283">
        <v>0.52200000000000002</v>
      </c>
      <c r="E209" s="284">
        <v>0.71299999999999997</v>
      </c>
    </row>
    <row r="210" spans="1:5">
      <c r="A210" s="273">
        <v>206</v>
      </c>
      <c r="B210" s="274">
        <v>69</v>
      </c>
      <c r="C210" s="278" t="s">
        <v>377</v>
      </c>
      <c r="D210" s="283">
        <v>0.53300000000000003</v>
      </c>
      <c r="E210" s="284">
        <v>0.73299999999999998</v>
      </c>
    </row>
    <row r="211" spans="1:5">
      <c r="A211" s="273">
        <v>207</v>
      </c>
      <c r="B211" s="274">
        <v>69</v>
      </c>
      <c r="C211" s="278" t="s">
        <v>155</v>
      </c>
      <c r="D211" s="283">
        <v>0.51600000000000001</v>
      </c>
      <c r="E211" s="284">
        <v>0.70199999999999996</v>
      </c>
    </row>
    <row r="212" spans="1:5">
      <c r="A212" s="273">
        <v>208</v>
      </c>
      <c r="B212" s="274">
        <v>70</v>
      </c>
      <c r="C212" s="278" t="s">
        <v>378</v>
      </c>
      <c r="D212" s="283">
        <v>0.52600000000000002</v>
      </c>
      <c r="E212" s="284">
        <v>0.72199999999999998</v>
      </c>
    </row>
    <row r="213" spans="1:5">
      <c r="A213" s="273">
        <v>209</v>
      </c>
      <c r="B213" s="274">
        <v>70</v>
      </c>
      <c r="C213" s="278" t="s">
        <v>156</v>
      </c>
      <c r="D213" s="283">
        <v>0.50900000000000001</v>
      </c>
      <c r="E213" s="284">
        <v>0.69099999999999995</v>
      </c>
    </row>
    <row r="214" spans="1:5">
      <c r="A214" s="273">
        <v>210</v>
      </c>
      <c r="B214" s="274">
        <v>71</v>
      </c>
      <c r="C214" s="278" t="s">
        <v>379</v>
      </c>
      <c r="D214" s="283">
        <v>0.503</v>
      </c>
      <c r="E214" s="284">
        <v>0.68100000000000005</v>
      </c>
    </row>
    <row r="215" spans="1:5">
      <c r="A215" s="273">
        <v>211</v>
      </c>
      <c r="B215" s="274">
        <v>72</v>
      </c>
      <c r="C215" s="278" t="s">
        <v>380</v>
      </c>
      <c r="D215" s="283">
        <v>0.53300000000000003</v>
      </c>
      <c r="E215" s="284">
        <v>0.75600000000000001</v>
      </c>
    </row>
    <row r="216" spans="1:5">
      <c r="A216" s="273">
        <v>212</v>
      </c>
      <c r="B216" s="274">
        <v>72</v>
      </c>
      <c r="C216" s="278" t="s">
        <v>157</v>
      </c>
      <c r="D216" s="283">
        <v>0.50600000000000001</v>
      </c>
      <c r="E216" s="284">
        <v>0.69599999999999995</v>
      </c>
    </row>
    <row r="217" spans="1:5">
      <c r="A217" s="273">
        <v>213</v>
      </c>
      <c r="B217" s="274">
        <v>72</v>
      </c>
      <c r="C217" s="278" t="s">
        <v>158</v>
      </c>
      <c r="D217" s="283">
        <v>0.48199999999999998</v>
      </c>
      <c r="E217" s="284">
        <v>0.64800000000000002</v>
      </c>
    </row>
    <row r="218" spans="1:5">
      <c r="A218" s="273">
        <v>214</v>
      </c>
      <c r="B218" s="274">
        <v>73</v>
      </c>
      <c r="C218" s="278" t="s">
        <v>381</v>
      </c>
      <c r="D218" s="283">
        <v>0.53400000000000003</v>
      </c>
      <c r="E218" s="284">
        <v>0.76100000000000001</v>
      </c>
    </row>
    <row r="219" spans="1:5">
      <c r="A219" s="273">
        <v>215</v>
      </c>
      <c r="B219" s="274">
        <v>73</v>
      </c>
      <c r="C219" s="278" t="s">
        <v>159</v>
      </c>
      <c r="D219" s="283">
        <v>0.50800000000000001</v>
      </c>
      <c r="E219" s="284">
        <v>0.70499999999999996</v>
      </c>
    </row>
    <row r="220" spans="1:5">
      <c r="A220" s="273">
        <v>216</v>
      </c>
      <c r="B220" s="274">
        <v>73</v>
      </c>
      <c r="C220" s="278" t="s">
        <v>160</v>
      </c>
      <c r="D220" s="283">
        <v>0.48499999999999999</v>
      </c>
      <c r="E220" s="284">
        <v>0.66</v>
      </c>
    </row>
    <row r="221" spans="1:5">
      <c r="A221" s="273">
        <v>217</v>
      </c>
      <c r="B221" s="274">
        <v>73</v>
      </c>
      <c r="C221" s="278" t="s">
        <v>161</v>
      </c>
      <c r="D221" s="283">
        <v>0.46400000000000002</v>
      </c>
      <c r="E221" s="284">
        <v>0.62</v>
      </c>
    </row>
    <row r="222" spans="1:5">
      <c r="A222" s="273">
        <v>218</v>
      </c>
      <c r="B222" s="274">
        <v>74</v>
      </c>
      <c r="C222" s="278" t="s">
        <v>162</v>
      </c>
      <c r="D222" s="283">
        <v>0.57299999999999995</v>
      </c>
      <c r="E222" s="284">
        <v>0.86099999999999999</v>
      </c>
    </row>
    <row r="223" spans="1:5">
      <c r="A223" s="273">
        <v>219</v>
      </c>
      <c r="B223" s="274">
        <v>74</v>
      </c>
      <c r="C223" s="278" t="s">
        <v>163</v>
      </c>
      <c r="D223" s="283">
        <v>0.53400000000000003</v>
      </c>
      <c r="E223" s="284">
        <v>0.76100000000000001</v>
      </c>
    </row>
    <row r="224" spans="1:5">
      <c r="A224" s="273">
        <v>220</v>
      </c>
      <c r="B224" s="274">
        <v>74</v>
      </c>
      <c r="C224" s="278" t="s">
        <v>164</v>
      </c>
      <c r="D224" s="283">
        <v>0.50900000000000001</v>
      </c>
      <c r="E224" s="284">
        <v>0.71</v>
      </c>
    </row>
    <row r="225" spans="1:5">
      <c r="A225" s="273">
        <v>221</v>
      </c>
      <c r="B225" s="274">
        <v>74</v>
      </c>
      <c r="C225" s="278" t="s">
        <v>165</v>
      </c>
      <c r="D225" s="283">
        <v>0.48699999999999999</v>
      </c>
      <c r="E225" s="284">
        <v>0.66700000000000004</v>
      </c>
    </row>
    <row r="226" spans="1:5">
      <c r="A226" s="273">
        <v>222</v>
      </c>
      <c r="B226" s="274">
        <v>74</v>
      </c>
      <c r="C226" s="278" t="s">
        <v>166</v>
      </c>
      <c r="D226" s="283">
        <v>0.46700000000000003</v>
      </c>
      <c r="E226" s="284">
        <v>0.629</v>
      </c>
    </row>
    <row r="227" spans="1:5">
      <c r="A227" s="273">
        <v>223</v>
      </c>
      <c r="B227" s="274">
        <v>74</v>
      </c>
      <c r="C227" s="278" t="s">
        <v>167</v>
      </c>
      <c r="D227" s="283">
        <v>0.44800000000000001</v>
      </c>
      <c r="E227" s="284">
        <v>0.59399999999999997</v>
      </c>
    </row>
    <row r="228" spans="1:5">
      <c r="A228" s="273">
        <v>224</v>
      </c>
      <c r="B228" s="274">
        <v>75</v>
      </c>
      <c r="C228" s="278" t="s">
        <v>168</v>
      </c>
      <c r="D228" s="283">
        <v>0.56999999999999995</v>
      </c>
      <c r="E228" s="284">
        <v>0.85099999999999998</v>
      </c>
    </row>
    <row r="229" spans="1:5">
      <c r="A229" s="273">
        <v>225</v>
      </c>
      <c r="B229" s="274">
        <v>75</v>
      </c>
      <c r="C229" s="278" t="s">
        <v>169</v>
      </c>
      <c r="D229" s="283">
        <v>0.53300000000000003</v>
      </c>
      <c r="E229" s="284">
        <v>0.75900000000000001</v>
      </c>
    </row>
    <row r="230" spans="1:5">
      <c r="A230" s="273">
        <v>226</v>
      </c>
      <c r="B230" s="274">
        <v>75</v>
      </c>
      <c r="C230" s="278" t="s">
        <v>170</v>
      </c>
      <c r="D230" s="283">
        <v>0.50900000000000001</v>
      </c>
      <c r="E230" s="284">
        <v>0.71099999999999997</v>
      </c>
    </row>
    <row r="231" spans="1:5">
      <c r="A231" s="273">
        <v>227</v>
      </c>
      <c r="B231" s="274">
        <v>75</v>
      </c>
      <c r="C231" s="278" t="s">
        <v>171</v>
      </c>
      <c r="D231" s="283">
        <v>0.48799999999999999</v>
      </c>
      <c r="E231" s="284">
        <v>0.67100000000000004</v>
      </c>
    </row>
    <row r="232" spans="1:5">
      <c r="A232" s="273">
        <v>228</v>
      </c>
      <c r="B232" s="274">
        <v>75</v>
      </c>
      <c r="C232" s="278" t="s">
        <v>172</v>
      </c>
      <c r="D232" s="283">
        <v>0.46899999999999997</v>
      </c>
      <c r="E232" s="284">
        <v>0.63500000000000001</v>
      </c>
    </row>
    <row r="233" spans="1:5">
      <c r="A233" s="273">
        <v>229</v>
      </c>
      <c r="B233" s="274">
        <v>75</v>
      </c>
      <c r="C233" s="278" t="s">
        <v>173</v>
      </c>
      <c r="D233" s="283">
        <v>0.45100000000000001</v>
      </c>
      <c r="E233" s="284">
        <v>0.60299999999999998</v>
      </c>
    </row>
    <row r="234" spans="1:5">
      <c r="A234" s="273">
        <v>230</v>
      </c>
      <c r="B234" s="274">
        <v>75</v>
      </c>
      <c r="C234" s="278" t="s">
        <v>174</v>
      </c>
      <c r="D234" s="283">
        <v>0.434</v>
      </c>
      <c r="E234" s="284">
        <v>0.57199999999999995</v>
      </c>
    </row>
    <row r="235" spans="1:5">
      <c r="A235" s="273">
        <v>231</v>
      </c>
      <c r="B235" s="274">
        <v>76</v>
      </c>
      <c r="C235" s="278" t="s">
        <v>175</v>
      </c>
      <c r="D235" s="283">
        <v>0.56599999999999995</v>
      </c>
      <c r="E235" s="284">
        <v>0.84099999999999997</v>
      </c>
    </row>
    <row r="236" spans="1:5">
      <c r="A236" s="273">
        <v>232</v>
      </c>
      <c r="B236" s="274">
        <v>76</v>
      </c>
      <c r="C236" s="278" t="s">
        <v>176</v>
      </c>
      <c r="D236" s="283">
        <v>0.53100000000000003</v>
      </c>
      <c r="E236" s="284">
        <v>0.755</v>
      </c>
    </row>
    <row r="237" spans="1:5">
      <c r="A237" s="273">
        <v>233</v>
      </c>
      <c r="B237" s="274">
        <v>76</v>
      </c>
      <c r="C237" s="278" t="s">
        <v>177</v>
      </c>
      <c r="D237" s="283">
        <v>0.50900000000000001</v>
      </c>
      <c r="E237" s="284">
        <v>0.71099999999999997</v>
      </c>
    </row>
    <row r="238" spans="1:5">
      <c r="A238" s="273">
        <v>234</v>
      </c>
      <c r="B238" s="274">
        <v>76</v>
      </c>
      <c r="C238" s="278" t="s">
        <v>178</v>
      </c>
      <c r="D238" s="283">
        <v>0.48799999999999999</v>
      </c>
      <c r="E238" s="284">
        <v>0.67300000000000004</v>
      </c>
    </row>
    <row r="239" spans="1:5">
      <c r="A239" s="273">
        <v>235</v>
      </c>
      <c r="B239" s="274">
        <v>76</v>
      </c>
      <c r="C239" s="278" t="s">
        <v>179</v>
      </c>
      <c r="D239" s="283">
        <v>0.47</v>
      </c>
      <c r="E239" s="284">
        <v>0.63900000000000001</v>
      </c>
    </row>
    <row r="240" spans="1:5">
      <c r="A240" s="273">
        <v>236</v>
      </c>
      <c r="B240" s="274">
        <v>76</v>
      </c>
      <c r="C240" s="278" t="s">
        <v>180</v>
      </c>
      <c r="D240" s="283">
        <v>0.45200000000000001</v>
      </c>
      <c r="E240" s="284">
        <v>0.60799999999999998</v>
      </c>
    </row>
    <row r="241" spans="1:5">
      <c r="A241" s="273">
        <v>237</v>
      </c>
      <c r="B241" s="274">
        <v>76</v>
      </c>
      <c r="C241" s="278" t="s">
        <v>181</v>
      </c>
      <c r="D241" s="283">
        <v>0.436</v>
      </c>
      <c r="E241" s="284">
        <v>0.57899999999999996</v>
      </c>
    </row>
    <row r="242" spans="1:5">
      <c r="A242" s="273">
        <v>238</v>
      </c>
      <c r="B242" s="274">
        <v>76</v>
      </c>
      <c r="C242" s="278" t="s">
        <v>182</v>
      </c>
      <c r="D242" s="283">
        <v>0.42</v>
      </c>
      <c r="E242" s="284">
        <v>0.55200000000000005</v>
      </c>
    </row>
    <row r="243" spans="1:5">
      <c r="A243" s="273">
        <v>239</v>
      </c>
      <c r="B243" s="274">
        <v>77</v>
      </c>
      <c r="C243" s="278" t="s">
        <v>183</v>
      </c>
      <c r="D243" s="283">
        <v>0.56299999999999994</v>
      </c>
      <c r="E243" s="284">
        <v>0.83</v>
      </c>
    </row>
    <row r="244" spans="1:5">
      <c r="A244" s="273">
        <v>240</v>
      </c>
      <c r="B244" s="274">
        <v>77</v>
      </c>
      <c r="C244" s="278" t="s">
        <v>184</v>
      </c>
      <c r="D244" s="283">
        <v>0.52900000000000003</v>
      </c>
      <c r="E244" s="284">
        <v>0.75</v>
      </c>
    </row>
    <row r="245" spans="1:5">
      <c r="A245" s="273">
        <v>241</v>
      </c>
      <c r="B245" s="274">
        <v>77</v>
      </c>
      <c r="C245" s="278" t="s">
        <v>185</v>
      </c>
      <c r="D245" s="283">
        <v>0.50700000000000001</v>
      </c>
      <c r="E245" s="284">
        <v>0.70799999999999996</v>
      </c>
    </row>
    <row r="246" spans="1:5">
      <c r="A246" s="273">
        <v>242</v>
      </c>
      <c r="B246" s="274">
        <v>77</v>
      </c>
      <c r="C246" s="278" t="s">
        <v>186</v>
      </c>
      <c r="D246" s="283">
        <v>0.48799999999999999</v>
      </c>
      <c r="E246" s="284">
        <v>0.67300000000000004</v>
      </c>
    </row>
    <row r="247" spans="1:5">
      <c r="A247" s="273">
        <v>243</v>
      </c>
      <c r="B247" s="274">
        <v>77</v>
      </c>
      <c r="C247" s="278" t="s">
        <v>187</v>
      </c>
      <c r="D247" s="283">
        <v>0.47</v>
      </c>
      <c r="E247" s="284">
        <v>0.64100000000000001</v>
      </c>
    </row>
    <row r="248" spans="1:5">
      <c r="A248" s="273">
        <v>244</v>
      </c>
      <c r="B248" s="274">
        <v>77</v>
      </c>
      <c r="C248" s="278" t="s">
        <v>188</v>
      </c>
      <c r="D248" s="283">
        <v>0.45400000000000001</v>
      </c>
      <c r="E248" s="284">
        <v>0.61199999999999999</v>
      </c>
    </row>
    <row r="249" spans="1:5">
      <c r="A249" s="273">
        <v>245</v>
      </c>
      <c r="B249" s="274">
        <v>78</v>
      </c>
      <c r="C249" s="278" t="s">
        <v>382</v>
      </c>
      <c r="D249" s="283">
        <v>0.52600000000000002</v>
      </c>
      <c r="E249" s="284">
        <v>0.74299999999999999</v>
      </c>
    </row>
    <row r="250" spans="1:5">
      <c r="A250" s="273">
        <v>246</v>
      </c>
      <c r="B250" s="274">
        <v>78</v>
      </c>
      <c r="C250" s="278" t="s">
        <v>383</v>
      </c>
      <c r="D250" s="283">
        <v>0.48699999999999999</v>
      </c>
      <c r="E250" s="284">
        <v>0.67200000000000004</v>
      </c>
    </row>
    <row r="251" spans="1:5">
      <c r="A251" s="273">
        <v>247</v>
      </c>
      <c r="B251" s="274">
        <v>78</v>
      </c>
      <c r="C251" s="278" t="s">
        <v>189</v>
      </c>
      <c r="D251" s="283">
        <v>0.47</v>
      </c>
      <c r="E251" s="284">
        <v>0.64200000000000002</v>
      </c>
    </row>
    <row r="252" spans="1:5">
      <c r="A252" s="273">
        <v>248</v>
      </c>
      <c r="B252" s="274">
        <v>78</v>
      </c>
      <c r="C252" s="278" t="s">
        <v>190</v>
      </c>
      <c r="D252" s="283">
        <v>0.45400000000000001</v>
      </c>
      <c r="E252" s="284">
        <v>0.61399999999999999</v>
      </c>
    </row>
    <row r="253" spans="1:5">
      <c r="A253" s="273">
        <v>249</v>
      </c>
      <c r="B253" s="274">
        <v>79</v>
      </c>
      <c r="C253" s="278" t="s">
        <v>191</v>
      </c>
      <c r="D253" s="283">
        <v>0.54500000000000004</v>
      </c>
      <c r="E253" s="284">
        <v>0.78</v>
      </c>
    </row>
    <row r="254" spans="1:5">
      <c r="A254" s="273">
        <v>250</v>
      </c>
      <c r="B254" s="274">
        <v>79</v>
      </c>
      <c r="C254" s="278" t="s">
        <v>192</v>
      </c>
      <c r="D254" s="283">
        <v>0.52300000000000002</v>
      </c>
      <c r="E254" s="284">
        <v>0.73699999999999999</v>
      </c>
    </row>
    <row r="255" spans="1:5">
      <c r="A255" s="273">
        <v>251</v>
      </c>
      <c r="B255" s="274">
        <v>79</v>
      </c>
      <c r="C255" s="278" t="s">
        <v>193</v>
      </c>
      <c r="D255" s="283">
        <v>0.504</v>
      </c>
      <c r="E255" s="284">
        <v>0.70099999999999996</v>
      </c>
    </row>
    <row r="256" spans="1:5">
      <c r="A256" s="273">
        <v>252</v>
      </c>
      <c r="B256" s="274">
        <v>79</v>
      </c>
      <c r="C256" s="278" t="s">
        <v>384</v>
      </c>
      <c r="D256" s="283">
        <v>0.47</v>
      </c>
      <c r="E256" s="284">
        <v>0.64100000000000001</v>
      </c>
    </row>
    <row r="257" spans="1:5">
      <c r="A257" s="273">
        <v>253</v>
      </c>
      <c r="B257" s="274">
        <v>80</v>
      </c>
      <c r="C257" s="278" t="s">
        <v>194</v>
      </c>
      <c r="D257" s="283">
        <v>0.55000000000000004</v>
      </c>
      <c r="E257" s="284">
        <v>0.79800000000000004</v>
      </c>
    </row>
    <row r="258" spans="1:5">
      <c r="A258" s="273">
        <v>254</v>
      </c>
      <c r="B258" s="274">
        <v>80</v>
      </c>
      <c r="C258" s="278" t="s">
        <v>195</v>
      </c>
      <c r="D258" s="283">
        <v>0.52</v>
      </c>
      <c r="E258" s="284">
        <v>0.73</v>
      </c>
    </row>
    <row r="259" spans="1:5">
      <c r="A259" s="273">
        <v>255</v>
      </c>
      <c r="B259" s="274">
        <v>81</v>
      </c>
      <c r="C259" s="278" t="s">
        <v>196</v>
      </c>
      <c r="D259" s="283">
        <v>0.55300000000000005</v>
      </c>
      <c r="E259" s="284">
        <v>0.81</v>
      </c>
    </row>
    <row r="260" spans="1:5">
      <c r="A260" s="273">
        <v>256</v>
      </c>
      <c r="B260" s="274">
        <v>81</v>
      </c>
      <c r="C260" s="278" t="s">
        <v>385</v>
      </c>
      <c r="D260" s="283">
        <v>0.499</v>
      </c>
      <c r="E260" s="284">
        <v>0.69</v>
      </c>
    </row>
    <row r="261" spans="1:5">
      <c r="A261" s="273">
        <v>257</v>
      </c>
      <c r="B261" s="274">
        <v>82</v>
      </c>
      <c r="C261" s="278" t="s">
        <v>386</v>
      </c>
      <c r="D261" s="283">
        <v>0.52900000000000003</v>
      </c>
      <c r="E261" s="284">
        <v>0.75900000000000001</v>
      </c>
    </row>
    <row r="262" spans="1:5">
      <c r="A262" s="273">
        <v>258</v>
      </c>
      <c r="B262" s="274">
        <v>82</v>
      </c>
      <c r="C262" s="278" t="s">
        <v>387</v>
      </c>
      <c r="D262" s="283">
        <v>0.48099999999999998</v>
      </c>
      <c r="E262" s="284">
        <v>0.65800000000000003</v>
      </c>
    </row>
    <row r="263" spans="1:5">
      <c r="A263" s="273">
        <v>259</v>
      </c>
      <c r="B263" s="274">
        <v>83</v>
      </c>
      <c r="C263" s="278" t="s">
        <v>388</v>
      </c>
      <c r="D263" s="283">
        <v>0.50800000000000001</v>
      </c>
      <c r="E263" s="284">
        <v>0.71899999999999997</v>
      </c>
    </row>
    <row r="264" spans="1:5">
      <c r="A264" s="273">
        <v>260</v>
      </c>
      <c r="B264" s="274">
        <v>83</v>
      </c>
      <c r="C264" s="278" t="s">
        <v>389</v>
      </c>
      <c r="D264" s="283">
        <v>0.46400000000000002</v>
      </c>
      <c r="E264" s="284">
        <v>0.63</v>
      </c>
    </row>
    <row r="265" spans="1:5">
      <c r="A265" s="273">
        <v>261</v>
      </c>
      <c r="B265" s="274">
        <v>84</v>
      </c>
      <c r="C265" s="278" t="s">
        <v>390</v>
      </c>
      <c r="D265" s="283">
        <v>0.54200000000000004</v>
      </c>
      <c r="E265" s="284">
        <v>0.80200000000000005</v>
      </c>
    </row>
    <row r="266" spans="1:5">
      <c r="A266" s="273">
        <v>262</v>
      </c>
      <c r="B266" s="274">
        <v>84</v>
      </c>
      <c r="C266" s="278" t="s">
        <v>391</v>
      </c>
      <c r="D266" s="283">
        <v>0.48899999999999999</v>
      </c>
      <c r="E266" s="284">
        <v>0.68500000000000005</v>
      </c>
    </row>
    <row r="267" spans="1:5">
      <c r="A267" s="273">
        <v>263</v>
      </c>
      <c r="B267" s="274">
        <v>84</v>
      </c>
      <c r="C267" s="278" t="s">
        <v>392</v>
      </c>
      <c r="D267" s="283">
        <v>0.45</v>
      </c>
      <c r="E267" s="284">
        <v>0.60599999999999998</v>
      </c>
    </row>
    <row r="268" spans="1:5">
      <c r="A268" s="273">
        <v>264</v>
      </c>
      <c r="B268" s="274">
        <v>85</v>
      </c>
      <c r="C268" s="278" t="s">
        <v>197</v>
      </c>
      <c r="D268" s="283">
        <v>0.57499999999999996</v>
      </c>
      <c r="E268" s="284">
        <v>0.875</v>
      </c>
    </row>
    <row r="269" spans="1:5">
      <c r="A269" s="273">
        <v>265</v>
      </c>
      <c r="B269" s="274">
        <v>85</v>
      </c>
      <c r="C269" s="278" t="s">
        <v>393</v>
      </c>
      <c r="D269" s="283">
        <v>0.52</v>
      </c>
      <c r="E269" s="284">
        <v>0.75700000000000001</v>
      </c>
    </row>
    <row r="270" spans="1:5">
      <c r="A270" s="273">
        <v>266</v>
      </c>
      <c r="B270" s="274">
        <v>85</v>
      </c>
      <c r="C270" s="278" t="s">
        <v>394</v>
      </c>
      <c r="D270" s="283">
        <v>0.47299999999999998</v>
      </c>
      <c r="E270" s="284">
        <v>0.65600000000000003</v>
      </c>
    </row>
    <row r="271" spans="1:5">
      <c r="A271" s="273">
        <v>267</v>
      </c>
      <c r="B271" s="274">
        <v>85</v>
      </c>
      <c r="C271" s="278" t="s">
        <v>395</v>
      </c>
      <c r="D271" s="283">
        <v>0.436</v>
      </c>
      <c r="E271" s="284">
        <v>0.58399999999999996</v>
      </c>
    </row>
    <row r="272" spans="1:5">
      <c r="A272" s="273">
        <v>268</v>
      </c>
      <c r="B272" s="274">
        <v>85</v>
      </c>
      <c r="C272" s="278" t="s">
        <v>396</v>
      </c>
      <c r="D272" s="283">
        <v>0.64800000000000002</v>
      </c>
      <c r="E272" s="284">
        <v>1.056</v>
      </c>
    </row>
    <row r="273" spans="1:5">
      <c r="A273" s="273">
        <v>269</v>
      </c>
      <c r="B273" s="274">
        <v>87</v>
      </c>
      <c r="C273" s="278" t="s">
        <v>198</v>
      </c>
      <c r="D273" s="283">
        <v>0.57699999999999996</v>
      </c>
      <c r="E273" s="284">
        <v>0.874</v>
      </c>
    </row>
    <row r="274" spans="1:5">
      <c r="A274" s="273">
        <v>270</v>
      </c>
      <c r="B274" s="274">
        <v>88</v>
      </c>
      <c r="C274" s="278" t="s">
        <v>397</v>
      </c>
      <c r="D274" s="283">
        <v>0.55200000000000005</v>
      </c>
      <c r="E274" s="284">
        <v>0.82199999999999995</v>
      </c>
    </row>
    <row r="275" spans="1:5">
      <c r="A275" s="273">
        <v>271</v>
      </c>
      <c r="B275" s="274">
        <v>89</v>
      </c>
      <c r="C275" s="278" t="s">
        <v>398</v>
      </c>
      <c r="D275" s="283">
        <v>0.53100000000000003</v>
      </c>
      <c r="E275" s="284">
        <v>0.78</v>
      </c>
    </row>
    <row r="276" spans="1:5">
      <c r="A276" s="273">
        <v>272</v>
      </c>
      <c r="B276" s="274">
        <v>90</v>
      </c>
      <c r="C276" s="278" t="s">
        <v>399</v>
      </c>
      <c r="D276" s="283">
        <v>0.56000000000000005</v>
      </c>
      <c r="E276" s="284">
        <v>0.84899999999999998</v>
      </c>
    </row>
    <row r="277" spans="1:5">
      <c r="A277" s="273">
        <v>273</v>
      </c>
      <c r="B277" s="274">
        <v>90</v>
      </c>
      <c r="C277" s="278" t="s">
        <v>199</v>
      </c>
      <c r="D277" s="283">
        <v>0.53</v>
      </c>
      <c r="E277" s="284">
        <v>0.77700000000000002</v>
      </c>
    </row>
    <row r="278" spans="1:5">
      <c r="A278" s="273">
        <v>274</v>
      </c>
      <c r="B278" s="274">
        <v>90</v>
      </c>
      <c r="C278" s="278" t="s">
        <v>200</v>
      </c>
      <c r="D278" s="283">
        <v>0.51300000000000001</v>
      </c>
      <c r="E278" s="284">
        <v>0.74399999999999999</v>
      </c>
    </row>
    <row r="279" spans="1:5">
      <c r="A279" s="273">
        <v>275</v>
      </c>
      <c r="B279" s="274">
        <v>91</v>
      </c>
      <c r="C279" s="278" t="s">
        <v>400</v>
      </c>
      <c r="D279" s="283">
        <v>0.52900000000000003</v>
      </c>
      <c r="E279" s="284">
        <v>0.77200000000000002</v>
      </c>
    </row>
    <row r="280" spans="1:5">
      <c r="A280" s="273">
        <v>276</v>
      </c>
      <c r="B280" s="274">
        <v>91</v>
      </c>
      <c r="C280" s="278" t="s">
        <v>201</v>
      </c>
      <c r="D280" s="283">
        <v>0.51100000000000001</v>
      </c>
      <c r="E280" s="284">
        <v>0.74</v>
      </c>
    </row>
    <row r="281" spans="1:5">
      <c r="A281" s="273">
        <v>277</v>
      </c>
      <c r="B281" s="274">
        <v>91</v>
      </c>
      <c r="C281" s="278" t="s">
        <v>202</v>
      </c>
      <c r="D281" s="283">
        <v>0.496</v>
      </c>
      <c r="E281" s="284">
        <v>0.71399999999999997</v>
      </c>
    </row>
    <row r="282" spans="1:5">
      <c r="A282" s="273">
        <v>278</v>
      </c>
      <c r="B282" s="274">
        <v>92</v>
      </c>
      <c r="C282" s="278" t="s">
        <v>401</v>
      </c>
      <c r="D282" s="283">
        <v>0.52600000000000002</v>
      </c>
      <c r="E282" s="284">
        <v>0.76500000000000001</v>
      </c>
    </row>
    <row r="283" spans="1:5">
      <c r="A283" s="273">
        <v>279</v>
      </c>
      <c r="B283" s="274">
        <v>92</v>
      </c>
      <c r="C283" s="278" t="s">
        <v>203</v>
      </c>
      <c r="D283" s="283">
        <v>0.50900000000000001</v>
      </c>
      <c r="E283" s="284">
        <v>0.73499999999999999</v>
      </c>
    </row>
    <row r="284" spans="1:5">
      <c r="A284" s="273">
        <v>280</v>
      </c>
      <c r="B284" s="274">
        <v>92</v>
      </c>
      <c r="C284" s="278" t="s">
        <v>204</v>
      </c>
      <c r="D284" s="283">
        <v>0.495</v>
      </c>
      <c r="E284" s="284">
        <v>0.70899999999999996</v>
      </c>
    </row>
    <row r="285" spans="1:5">
      <c r="A285" s="273">
        <v>281</v>
      </c>
      <c r="B285" s="274">
        <v>92</v>
      </c>
      <c r="C285" s="278" t="s">
        <v>205</v>
      </c>
      <c r="D285" s="283">
        <v>0.48099999999999998</v>
      </c>
      <c r="E285" s="284">
        <v>0.68600000000000005</v>
      </c>
    </row>
    <row r="286" spans="1:5">
      <c r="A286" s="273">
        <v>282</v>
      </c>
      <c r="B286" s="274">
        <v>93</v>
      </c>
      <c r="C286" s="278" t="s">
        <v>402</v>
      </c>
      <c r="D286" s="283">
        <v>0.52300000000000002</v>
      </c>
      <c r="E286" s="284">
        <v>0.75800000000000001</v>
      </c>
    </row>
    <row r="287" spans="1:5">
      <c r="A287" s="273">
        <v>283</v>
      </c>
      <c r="B287" s="274">
        <v>93</v>
      </c>
      <c r="C287" s="278" t="s">
        <v>206</v>
      </c>
      <c r="D287" s="283">
        <v>0.50700000000000001</v>
      </c>
      <c r="E287" s="284">
        <v>0.72899999999999998</v>
      </c>
    </row>
    <row r="288" spans="1:5">
      <c r="A288" s="273">
        <v>284</v>
      </c>
      <c r="B288" s="274">
        <v>93</v>
      </c>
      <c r="C288" s="278" t="s">
        <v>207</v>
      </c>
      <c r="D288" s="283">
        <v>0.49299999999999999</v>
      </c>
      <c r="E288" s="284">
        <v>0.70399999999999996</v>
      </c>
    </row>
    <row r="289" spans="1:5">
      <c r="A289" s="273">
        <v>285</v>
      </c>
      <c r="B289" s="274">
        <v>93</v>
      </c>
      <c r="C289" s="278" t="s">
        <v>208</v>
      </c>
      <c r="D289" s="283">
        <v>0.48</v>
      </c>
      <c r="E289" s="284">
        <v>0.68200000000000005</v>
      </c>
    </row>
    <row r="290" spans="1:5">
      <c r="A290" s="273">
        <v>286</v>
      </c>
      <c r="B290" s="274">
        <v>93</v>
      </c>
      <c r="C290" s="278" t="s">
        <v>209</v>
      </c>
      <c r="D290" s="283">
        <v>0.46700000000000003</v>
      </c>
      <c r="E290" s="284">
        <v>0.66200000000000003</v>
      </c>
    </row>
    <row r="291" spans="1:5">
      <c r="A291" s="273">
        <v>287</v>
      </c>
      <c r="B291" s="274">
        <v>94</v>
      </c>
      <c r="C291" s="278" t="s">
        <v>403</v>
      </c>
      <c r="D291" s="283">
        <v>0.52</v>
      </c>
      <c r="E291" s="284">
        <v>0.75</v>
      </c>
    </row>
    <row r="292" spans="1:5">
      <c r="A292" s="273">
        <v>288</v>
      </c>
      <c r="B292" s="274">
        <v>94</v>
      </c>
      <c r="C292" s="278" t="s">
        <v>210</v>
      </c>
      <c r="D292" s="283">
        <v>0.504</v>
      </c>
      <c r="E292" s="284">
        <v>0.72199999999999998</v>
      </c>
    </row>
    <row r="293" spans="1:5">
      <c r="A293" s="273">
        <v>289</v>
      </c>
      <c r="B293" s="274">
        <v>94</v>
      </c>
      <c r="C293" s="278" t="s">
        <v>211</v>
      </c>
      <c r="D293" s="283">
        <v>0.49</v>
      </c>
      <c r="E293" s="284">
        <v>0.69799999999999995</v>
      </c>
    </row>
    <row r="294" spans="1:5">
      <c r="A294" s="273">
        <v>290</v>
      </c>
      <c r="B294" s="274">
        <v>94</v>
      </c>
      <c r="C294" s="278" t="s">
        <v>212</v>
      </c>
      <c r="D294" s="283">
        <v>0.47799999999999998</v>
      </c>
      <c r="E294" s="284">
        <v>0.67700000000000005</v>
      </c>
    </row>
    <row r="295" spans="1:5">
      <c r="A295" s="273">
        <v>291</v>
      </c>
      <c r="B295" s="274">
        <v>94</v>
      </c>
      <c r="C295" s="278" t="s">
        <v>213</v>
      </c>
      <c r="D295" s="283">
        <v>0.46600000000000003</v>
      </c>
      <c r="E295" s="284">
        <v>0.65800000000000003</v>
      </c>
    </row>
    <row r="296" spans="1:5">
      <c r="A296" s="273">
        <v>292</v>
      </c>
      <c r="B296" s="274">
        <v>95</v>
      </c>
      <c r="C296" s="278" t="s">
        <v>404</v>
      </c>
      <c r="D296" s="283">
        <v>0.53400000000000003</v>
      </c>
      <c r="E296" s="284">
        <v>0.77500000000000002</v>
      </c>
    </row>
    <row r="297" spans="1:5">
      <c r="A297" s="273">
        <v>293</v>
      </c>
      <c r="B297" s="274">
        <v>95</v>
      </c>
      <c r="C297" s="278" t="s">
        <v>214</v>
      </c>
      <c r="D297" s="283">
        <v>0.51600000000000001</v>
      </c>
      <c r="E297" s="284">
        <v>0.74199999999999999</v>
      </c>
    </row>
    <row r="298" spans="1:5">
      <c r="A298" s="273">
        <v>294</v>
      </c>
      <c r="B298" s="274">
        <v>95</v>
      </c>
      <c r="C298" s="278" t="s">
        <v>215</v>
      </c>
      <c r="D298" s="283">
        <v>0.501</v>
      </c>
      <c r="E298" s="284">
        <v>0.71499999999999997</v>
      </c>
    </row>
    <row r="299" spans="1:5">
      <c r="A299" s="273">
        <v>295</v>
      </c>
      <c r="B299" s="274">
        <v>95</v>
      </c>
      <c r="C299" s="278" t="s">
        <v>216</v>
      </c>
      <c r="D299" s="283">
        <v>0.48799999999999999</v>
      </c>
      <c r="E299" s="284">
        <v>0.69199999999999995</v>
      </c>
    </row>
    <row r="300" spans="1:5">
      <c r="A300" s="273">
        <v>296</v>
      </c>
      <c r="B300" s="274">
        <v>95</v>
      </c>
      <c r="C300" s="278" t="s">
        <v>217</v>
      </c>
      <c r="D300" s="283">
        <v>0.47499999999999998</v>
      </c>
      <c r="E300" s="284">
        <v>0.67200000000000004</v>
      </c>
    </row>
    <row r="301" spans="1:5">
      <c r="A301" s="273">
        <v>297</v>
      </c>
      <c r="B301" s="274">
        <v>96</v>
      </c>
      <c r="C301" s="278" t="s">
        <v>405</v>
      </c>
      <c r="D301" s="283">
        <v>0.51300000000000001</v>
      </c>
      <c r="E301" s="284">
        <v>0.73399999999999999</v>
      </c>
    </row>
    <row r="302" spans="1:5">
      <c r="A302" s="273">
        <v>298</v>
      </c>
      <c r="B302" s="274">
        <v>96</v>
      </c>
      <c r="C302" s="278" t="s">
        <v>218</v>
      </c>
      <c r="D302" s="283">
        <v>0.498</v>
      </c>
      <c r="E302" s="284">
        <v>0.70799999999999996</v>
      </c>
    </row>
    <row r="303" spans="1:5">
      <c r="A303" s="273">
        <v>299</v>
      </c>
      <c r="B303" s="274">
        <v>97</v>
      </c>
      <c r="C303" s="278" t="s">
        <v>406</v>
      </c>
      <c r="D303" s="283">
        <v>0.50900000000000001</v>
      </c>
      <c r="E303" s="284">
        <v>0.72599999999999998</v>
      </c>
    </row>
    <row r="304" spans="1:5">
      <c r="A304" s="273">
        <v>300</v>
      </c>
      <c r="B304" s="274">
        <v>97</v>
      </c>
      <c r="C304" s="278" t="s">
        <v>219</v>
      </c>
      <c r="D304" s="283">
        <v>0.495</v>
      </c>
      <c r="E304" s="284">
        <v>0.70099999999999996</v>
      </c>
    </row>
    <row r="305" spans="1:5">
      <c r="A305" s="273">
        <v>301</v>
      </c>
      <c r="B305" s="274">
        <v>98</v>
      </c>
      <c r="C305" s="278" t="s">
        <v>407</v>
      </c>
      <c r="D305" s="283">
        <v>0.52100000000000002</v>
      </c>
      <c r="E305" s="284">
        <v>0.747</v>
      </c>
    </row>
    <row r="306" spans="1:5">
      <c r="A306" s="273">
        <v>302</v>
      </c>
      <c r="B306" s="274">
        <v>98</v>
      </c>
      <c r="C306" s="278" t="s">
        <v>220</v>
      </c>
      <c r="D306" s="283">
        <v>0.505</v>
      </c>
      <c r="E306" s="284">
        <v>0.71799999999999997</v>
      </c>
    </row>
    <row r="307" spans="1:5">
      <c r="A307" s="273">
        <v>303</v>
      </c>
      <c r="B307" s="274">
        <v>98</v>
      </c>
      <c r="C307" s="278" t="s">
        <v>221</v>
      </c>
      <c r="D307" s="283">
        <v>0.49199999999999999</v>
      </c>
      <c r="E307" s="284">
        <v>0.69399999999999995</v>
      </c>
    </row>
    <row r="308" spans="1:5">
      <c r="A308" s="273">
        <v>304</v>
      </c>
      <c r="B308" s="274">
        <v>99</v>
      </c>
      <c r="C308" s="278" t="s">
        <v>408</v>
      </c>
      <c r="D308" s="283">
        <v>0.51600000000000001</v>
      </c>
      <c r="E308" s="284">
        <v>0.73799999999999999</v>
      </c>
    </row>
    <row r="309" spans="1:5">
      <c r="A309" s="273">
        <v>305</v>
      </c>
      <c r="B309" s="274">
        <v>99</v>
      </c>
      <c r="C309" s="278" t="s">
        <v>222</v>
      </c>
      <c r="D309" s="283">
        <v>0.501</v>
      </c>
      <c r="E309" s="284">
        <v>0.71</v>
      </c>
    </row>
    <row r="310" spans="1:5">
      <c r="A310" s="273">
        <v>306</v>
      </c>
      <c r="B310" s="274">
        <v>100</v>
      </c>
      <c r="C310" s="278" t="s">
        <v>409</v>
      </c>
      <c r="D310" s="283">
        <v>0.51200000000000001</v>
      </c>
      <c r="E310" s="284">
        <v>0.72899999999999998</v>
      </c>
    </row>
    <row r="311" spans="1:5">
      <c r="A311" s="273">
        <v>307</v>
      </c>
      <c r="B311" s="274">
        <v>100</v>
      </c>
      <c r="C311" s="278" t="s">
        <v>223</v>
      </c>
      <c r="D311" s="283">
        <v>0.497</v>
      </c>
      <c r="E311" s="284">
        <v>0.70199999999999996</v>
      </c>
    </row>
    <row r="312" spans="1:5">
      <c r="A312" s="273">
        <v>308</v>
      </c>
      <c r="B312" s="274">
        <v>101</v>
      </c>
      <c r="C312" s="278" t="s">
        <v>410</v>
      </c>
      <c r="D312" s="283">
        <v>0.50800000000000001</v>
      </c>
      <c r="E312" s="284">
        <v>0.72</v>
      </c>
    </row>
    <row r="313" spans="1:5">
      <c r="A313" s="273">
        <v>309</v>
      </c>
      <c r="B313" s="274">
        <v>101</v>
      </c>
      <c r="C313" s="278" t="s">
        <v>224</v>
      </c>
      <c r="D313" s="283">
        <v>0.49399999999999999</v>
      </c>
      <c r="E313" s="284">
        <v>0.69399999999999995</v>
      </c>
    </row>
    <row r="314" spans="1:5">
      <c r="A314" s="273">
        <v>310</v>
      </c>
      <c r="B314" s="274">
        <v>102</v>
      </c>
      <c r="C314" s="278" t="s">
        <v>411</v>
      </c>
      <c r="D314" s="283">
        <v>0.503</v>
      </c>
      <c r="E314" s="284">
        <v>0.71199999999999997</v>
      </c>
    </row>
    <row r="315" spans="1:5">
      <c r="A315" s="273">
        <v>311</v>
      </c>
      <c r="B315" s="274">
        <v>102</v>
      </c>
      <c r="C315" s="278" t="s">
        <v>225</v>
      </c>
      <c r="D315" s="283">
        <v>0.49</v>
      </c>
      <c r="E315" s="284">
        <v>0.68700000000000006</v>
      </c>
    </row>
    <row r="316" spans="1:5">
      <c r="A316" s="273">
        <v>312</v>
      </c>
      <c r="B316" s="274">
        <v>103</v>
      </c>
      <c r="C316" s="278" t="s">
        <v>412</v>
      </c>
      <c r="D316" s="283">
        <v>0.48599999999999999</v>
      </c>
      <c r="E316" s="284">
        <v>0.67900000000000005</v>
      </c>
    </row>
    <row r="317" spans="1:5">
      <c r="A317" s="273">
        <v>313</v>
      </c>
      <c r="B317" s="274">
        <v>104</v>
      </c>
      <c r="C317" s="278" t="s">
        <v>413</v>
      </c>
      <c r="D317" s="283">
        <v>0.47</v>
      </c>
      <c r="E317" s="284">
        <v>0.65200000000000002</v>
      </c>
    </row>
    <row r="318" spans="1:5">
      <c r="A318" s="273">
        <v>314</v>
      </c>
      <c r="B318" s="274">
        <v>105</v>
      </c>
      <c r="C318" s="278" t="s">
        <v>414</v>
      </c>
      <c r="D318" s="283">
        <v>0.45700000000000002</v>
      </c>
      <c r="E318" s="284">
        <v>0.628</v>
      </c>
    </row>
    <row r="319" spans="1:5">
      <c r="A319" s="273">
        <v>315</v>
      </c>
      <c r="B319" s="274">
        <v>106</v>
      </c>
      <c r="C319" s="278" t="s">
        <v>415</v>
      </c>
      <c r="D319" s="283">
        <v>0.44400000000000001</v>
      </c>
      <c r="E319" s="284">
        <v>0.60699999999999998</v>
      </c>
    </row>
    <row r="320" spans="1:5">
      <c r="A320" s="273">
        <v>316</v>
      </c>
      <c r="B320" s="274">
        <v>107</v>
      </c>
      <c r="C320" s="278" t="s">
        <v>416</v>
      </c>
      <c r="D320" s="283">
        <v>0.432</v>
      </c>
      <c r="E320" s="284">
        <v>0.58799999999999997</v>
      </c>
    </row>
    <row r="321" spans="1:5">
      <c r="A321" s="273">
        <v>317</v>
      </c>
      <c r="B321" s="274">
        <v>108</v>
      </c>
      <c r="C321" s="278" t="s">
        <v>417</v>
      </c>
      <c r="D321" s="283">
        <v>0.42099999999999999</v>
      </c>
      <c r="E321" s="284">
        <v>0.56999999999999995</v>
      </c>
    </row>
    <row r="322" spans="1:5">
      <c r="A322" s="273">
        <v>318</v>
      </c>
      <c r="B322" s="274">
        <v>112</v>
      </c>
      <c r="C322" s="278" t="s">
        <v>418</v>
      </c>
      <c r="D322" s="283">
        <v>0.50700000000000001</v>
      </c>
      <c r="E322" s="284">
        <v>0.73699999999999999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DF20-81BF-4C54-948A-E868D599959C}">
  <dimension ref="A1:L23"/>
  <sheetViews>
    <sheetView workbookViewId="0">
      <selection activeCell="O23" sqref="O23"/>
    </sheetView>
  </sheetViews>
  <sheetFormatPr defaultRowHeight="15"/>
  <cols>
    <col min="1" max="1" width="9.140625" style="262"/>
    <col min="2" max="2" width="11.42578125" style="38" customWidth="1"/>
  </cols>
  <sheetData>
    <row r="1" spans="1:12">
      <c r="A1" s="253" t="s">
        <v>419</v>
      </c>
    </row>
    <row r="2" spans="1:12">
      <c r="A2" s="253"/>
    </row>
    <row r="3" spans="1:12">
      <c r="A3" s="254" t="s">
        <v>420</v>
      </c>
      <c r="B3" s="13" t="s">
        <v>421</v>
      </c>
      <c r="C3" s="255" t="s">
        <v>420</v>
      </c>
      <c r="D3" s="256" t="s">
        <v>421</v>
      </c>
      <c r="E3" s="254" t="s">
        <v>420</v>
      </c>
      <c r="F3" s="13" t="s">
        <v>421</v>
      </c>
      <c r="G3" s="255" t="s">
        <v>420</v>
      </c>
      <c r="H3" s="256" t="s">
        <v>421</v>
      </c>
      <c r="I3" s="254" t="s">
        <v>420</v>
      </c>
      <c r="J3" s="13" t="s">
        <v>421</v>
      </c>
      <c r="K3" s="255" t="s">
        <v>420</v>
      </c>
      <c r="L3" s="256" t="s">
        <v>421</v>
      </c>
    </row>
    <row r="4" spans="1:12">
      <c r="A4" s="257">
        <v>1</v>
      </c>
      <c r="B4" s="38" t="s">
        <v>2</v>
      </c>
      <c r="C4" s="258">
        <v>21</v>
      </c>
      <c r="D4" s="259" t="s">
        <v>53</v>
      </c>
      <c r="E4" s="257">
        <v>41</v>
      </c>
      <c r="F4" s="38" t="s">
        <v>100</v>
      </c>
      <c r="G4" s="258">
        <v>61</v>
      </c>
      <c r="H4" s="259" t="s">
        <v>360</v>
      </c>
      <c r="I4" s="257">
        <v>81</v>
      </c>
      <c r="J4" s="38" t="s">
        <v>156</v>
      </c>
      <c r="K4" s="258">
        <v>101</v>
      </c>
      <c r="L4" s="259" t="s">
        <v>397</v>
      </c>
    </row>
    <row r="5" spans="1:12">
      <c r="A5" s="257">
        <v>2</v>
      </c>
      <c r="B5" s="38" t="s">
        <v>298</v>
      </c>
      <c r="C5" s="258">
        <v>22</v>
      </c>
      <c r="D5" s="259" t="s">
        <v>54</v>
      </c>
      <c r="E5" s="257">
        <v>42</v>
      </c>
      <c r="F5" s="38" t="s">
        <v>101</v>
      </c>
      <c r="G5" s="258">
        <v>62</v>
      </c>
      <c r="H5" s="259" t="s">
        <v>140</v>
      </c>
      <c r="I5" s="257">
        <v>82</v>
      </c>
      <c r="J5" s="38" t="s">
        <v>379</v>
      </c>
      <c r="K5" s="258">
        <v>102</v>
      </c>
      <c r="L5" s="259" t="s">
        <v>398</v>
      </c>
    </row>
    <row r="6" spans="1:12">
      <c r="A6" s="257">
        <v>3</v>
      </c>
      <c r="B6" s="38" t="s">
        <v>306</v>
      </c>
      <c r="C6" s="258">
        <v>23</v>
      </c>
      <c r="D6" s="259" t="s">
        <v>59</v>
      </c>
      <c r="E6" s="257">
        <v>43</v>
      </c>
      <c r="F6" s="38" t="s">
        <v>103</v>
      </c>
      <c r="G6" s="258">
        <v>63</v>
      </c>
      <c r="H6" s="259" t="s">
        <v>365</v>
      </c>
      <c r="I6" s="257">
        <v>83</v>
      </c>
      <c r="J6" s="38" t="s">
        <v>158</v>
      </c>
      <c r="K6" s="258">
        <v>103</v>
      </c>
      <c r="L6" s="259" t="s">
        <v>200</v>
      </c>
    </row>
    <row r="7" spans="1:12">
      <c r="A7" s="257">
        <v>4</v>
      </c>
      <c r="B7" s="38" t="s">
        <v>326</v>
      </c>
      <c r="C7" s="258">
        <v>24</v>
      </c>
      <c r="D7" s="259" t="s">
        <v>60</v>
      </c>
      <c r="E7" s="257">
        <v>44</v>
      </c>
      <c r="F7" s="38" t="s">
        <v>106</v>
      </c>
      <c r="G7" s="258">
        <v>64</v>
      </c>
      <c r="H7" s="259" t="s">
        <v>141</v>
      </c>
      <c r="I7" s="257">
        <v>84</v>
      </c>
      <c r="J7" s="38" t="s">
        <v>161</v>
      </c>
      <c r="K7" s="258">
        <v>104</v>
      </c>
      <c r="L7" s="259" t="s">
        <v>401</v>
      </c>
    </row>
    <row r="8" spans="1:12">
      <c r="A8" s="257">
        <v>5</v>
      </c>
      <c r="B8" s="38" t="s">
        <v>328</v>
      </c>
      <c r="C8" s="258">
        <v>25</v>
      </c>
      <c r="D8" s="259" t="s">
        <v>61</v>
      </c>
      <c r="E8" s="257">
        <v>45</v>
      </c>
      <c r="F8" s="38" t="s">
        <v>108</v>
      </c>
      <c r="G8" s="258">
        <v>65</v>
      </c>
      <c r="H8" s="259" t="s">
        <v>142</v>
      </c>
      <c r="I8" s="257">
        <v>85</v>
      </c>
      <c r="J8" s="38" t="s">
        <v>167</v>
      </c>
      <c r="K8" s="258">
        <v>105</v>
      </c>
      <c r="L8" s="259" t="s">
        <v>203</v>
      </c>
    </row>
    <row r="9" spans="1:12">
      <c r="A9" s="257">
        <v>6</v>
      </c>
      <c r="B9" s="38" t="s">
        <v>17</v>
      </c>
      <c r="C9" s="258">
        <v>26</v>
      </c>
      <c r="D9" s="259" t="s">
        <v>66</v>
      </c>
      <c r="E9" s="257">
        <v>46</v>
      </c>
      <c r="F9" s="38" t="s">
        <v>109</v>
      </c>
      <c r="G9" s="258">
        <v>66</v>
      </c>
      <c r="H9" s="259" t="s">
        <v>143</v>
      </c>
      <c r="I9" s="257">
        <v>86</v>
      </c>
      <c r="J9" s="38" t="s">
        <v>178</v>
      </c>
      <c r="K9" s="258">
        <v>106</v>
      </c>
      <c r="L9" s="259" t="s">
        <v>205</v>
      </c>
    </row>
    <row r="10" spans="1:12">
      <c r="A10" s="257">
        <v>7</v>
      </c>
      <c r="B10" s="38" t="s">
        <v>329</v>
      </c>
      <c r="C10" s="258">
        <v>27</v>
      </c>
      <c r="D10" s="259" t="s">
        <v>67</v>
      </c>
      <c r="E10" s="257">
        <v>47</v>
      </c>
      <c r="F10" s="38" t="s">
        <v>119</v>
      </c>
      <c r="G10" s="258">
        <v>67</v>
      </c>
      <c r="H10" s="259" t="s">
        <v>144</v>
      </c>
      <c r="I10" s="257">
        <v>87</v>
      </c>
      <c r="J10" s="38" t="s">
        <v>185</v>
      </c>
      <c r="K10" s="258">
        <v>107</v>
      </c>
      <c r="L10" s="259" t="s">
        <v>402</v>
      </c>
    </row>
    <row r="11" spans="1:12">
      <c r="A11" s="257">
        <v>8</v>
      </c>
      <c r="B11" s="38" t="s">
        <v>330</v>
      </c>
      <c r="C11" s="258">
        <v>28</v>
      </c>
      <c r="D11" s="259" t="s">
        <v>72</v>
      </c>
      <c r="E11" s="257">
        <v>48</v>
      </c>
      <c r="F11" s="38" t="s">
        <v>120</v>
      </c>
      <c r="G11" s="258">
        <v>68</v>
      </c>
      <c r="H11" s="259" t="s">
        <v>145</v>
      </c>
      <c r="I11" s="257">
        <v>88</v>
      </c>
      <c r="J11" s="38" t="s">
        <v>186</v>
      </c>
      <c r="K11" s="258">
        <v>108</v>
      </c>
      <c r="L11" s="259" t="s">
        <v>206</v>
      </c>
    </row>
    <row r="12" spans="1:12">
      <c r="A12" s="257">
        <v>9</v>
      </c>
      <c r="B12" s="38" t="s">
        <v>22</v>
      </c>
      <c r="C12" s="258">
        <v>29</v>
      </c>
      <c r="D12" s="259" t="s">
        <v>73</v>
      </c>
      <c r="E12" s="257">
        <v>49</v>
      </c>
      <c r="F12" s="38" t="s">
        <v>127</v>
      </c>
      <c r="G12" s="258">
        <v>69</v>
      </c>
      <c r="H12" s="259" t="s">
        <v>146</v>
      </c>
      <c r="I12" s="257">
        <v>89</v>
      </c>
      <c r="J12" s="38" t="s">
        <v>382</v>
      </c>
      <c r="K12" s="258">
        <v>109</v>
      </c>
      <c r="L12" s="259" t="s">
        <v>208</v>
      </c>
    </row>
    <row r="13" spans="1:12">
      <c r="A13" s="257">
        <v>10</v>
      </c>
      <c r="B13" s="38" t="s">
        <v>331</v>
      </c>
      <c r="C13" s="258">
        <v>30</v>
      </c>
      <c r="D13" s="259" t="s">
        <v>77</v>
      </c>
      <c r="E13" s="257">
        <v>50</v>
      </c>
      <c r="F13" s="38" t="s">
        <v>128</v>
      </c>
      <c r="G13" s="258">
        <v>70</v>
      </c>
      <c r="H13" s="259" t="s">
        <v>370</v>
      </c>
      <c r="I13" s="257">
        <v>90</v>
      </c>
      <c r="J13" s="38" t="s">
        <v>383</v>
      </c>
      <c r="K13" s="258">
        <v>110</v>
      </c>
      <c r="L13" s="259" t="s">
        <v>403</v>
      </c>
    </row>
    <row r="14" spans="1:12">
      <c r="A14" s="257">
        <v>11</v>
      </c>
      <c r="B14" s="38" t="s">
        <v>332</v>
      </c>
      <c r="C14" s="258">
        <v>31</v>
      </c>
      <c r="D14" s="259" t="s">
        <v>78</v>
      </c>
      <c r="E14" s="257">
        <v>51</v>
      </c>
      <c r="F14" s="38" t="s">
        <v>348</v>
      </c>
      <c r="G14" s="258">
        <v>71</v>
      </c>
      <c r="H14" s="259" t="s">
        <v>147</v>
      </c>
      <c r="I14" s="257">
        <v>91</v>
      </c>
      <c r="J14" s="38" t="s">
        <v>191</v>
      </c>
      <c r="K14" s="258">
        <v>111</v>
      </c>
      <c r="L14" s="259" t="s">
        <v>210</v>
      </c>
    </row>
    <row r="15" spans="1:12">
      <c r="A15" s="257">
        <v>12</v>
      </c>
      <c r="B15" s="38" t="s">
        <v>41</v>
      </c>
      <c r="C15" s="258">
        <v>32</v>
      </c>
      <c r="D15" s="259" t="s">
        <v>80</v>
      </c>
      <c r="E15" s="257">
        <v>52</v>
      </c>
      <c r="F15" s="38" t="s">
        <v>349</v>
      </c>
      <c r="G15" s="258">
        <v>72</v>
      </c>
      <c r="H15" s="259" t="s">
        <v>372</v>
      </c>
      <c r="I15" s="257">
        <v>92</v>
      </c>
      <c r="J15" s="38" t="s">
        <v>193</v>
      </c>
      <c r="K15" s="258">
        <v>112</v>
      </c>
      <c r="L15" s="259" t="s">
        <v>212</v>
      </c>
    </row>
    <row r="16" spans="1:12">
      <c r="A16" s="257">
        <v>13</v>
      </c>
      <c r="B16" s="38" t="s">
        <v>333</v>
      </c>
      <c r="C16" s="258">
        <v>33</v>
      </c>
      <c r="D16" s="259" t="s">
        <v>81</v>
      </c>
      <c r="E16" s="257">
        <v>53</v>
      </c>
      <c r="F16" s="38" t="s">
        <v>131</v>
      </c>
      <c r="G16" s="258">
        <v>73</v>
      </c>
      <c r="H16" s="259" t="s">
        <v>148</v>
      </c>
      <c r="I16" s="257">
        <v>93</v>
      </c>
      <c r="J16" s="38" t="s">
        <v>194</v>
      </c>
      <c r="K16" s="260"/>
      <c r="L16" s="261"/>
    </row>
    <row r="17" spans="1:12">
      <c r="A17" s="257">
        <v>14</v>
      </c>
      <c r="B17" s="38" t="s">
        <v>44</v>
      </c>
      <c r="C17" s="258">
        <v>34</v>
      </c>
      <c r="D17" s="259" t="s">
        <v>335</v>
      </c>
      <c r="E17" s="257">
        <v>54</v>
      </c>
      <c r="F17" s="38" t="s">
        <v>132</v>
      </c>
      <c r="G17" s="258">
        <v>74</v>
      </c>
      <c r="H17" s="259" t="s">
        <v>151</v>
      </c>
      <c r="I17" s="257">
        <v>94</v>
      </c>
      <c r="J17" s="38" t="s">
        <v>195</v>
      </c>
      <c r="K17" s="260"/>
      <c r="L17" s="261"/>
    </row>
    <row r="18" spans="1:12">
      <c r="A18" s="257">
        <v>15</v>
      </c>
      <c r="B18" s="38" t="s">
        <v>334</v>
      </c>
      <c r="C18" s="258">
        <v>35</v>
      </c>
      <c r="D18" s="259" t="s">
        <v>86</v>
      </c>
      <c r="E18" s="257">
        <v>55</v>
      </c>
      <c r="F18" s="38" t="s">
        <v>350</v>
      </c>
      <c r="G18" s="258">
        <v>75</v>
      </c>
      <c r="H18" s="259" t="s">
        <v>373</v>
      </c>
      <c r="I18" s="257">
        <v>95</v>
      </c>
      <c r="J18" s="38" t="s">
        <v>196</v>
      </c>
      <c r="K18" s="260"/>
      <c r="L18" s="261"/>
    </row>
    <row r="19" spans="1:12">
      <c r="A19" s="257">
        <v>16</v>
      </c>
      <c r="B19" s="38" t="s">
        <v>45</v>
      </c>
      <c r="C19" s="258">
        <v>36</v>
      </c>
      <c r="D19" s="259" t="s">
        <v>90</v>
      </c>
      <c r="E19" s="257">
        <v>56</v>
      </c>
      <c r="F19" s="38" t="s">
        <v>136</v>
      </c>
      <c r="G19" s="258">
        <v>76</v>
      </c>
      <c r="H19" s="259" t="s">
        <v>154</v>
      </c>
      <c r="I19" s="257">
        <v>96</v>
      </c>
      <c r="J19" s="38" t="s">
        <v>385</v>
      </c>
      <c r="K19" s="260"/>
      <c r="L19" s="261"/>
    </row>
    <row r="20" spans="1:12">
      <c r="A20" s="257">
        <v>17</v>
      </c>
      <c r="B20" s="38" t="s">
        <v>46</v>
      </c>
      <c r="C20" s="258">
        <v>37</v>
      </c>
      <c r="D20" s="259" t="s">
        <v>343</v>
      </c>
      <c r="E20" s="257">
        <v>57</v>
      </c>
      <c r="F20" s="38" t="s">
        <v>351</v>
      </c>
      <c r="G20" s="258">
        <v>77</v>
      </c>
      <c r="H20" s="259" t="s">
        <v>375</v>
      </c>
      <c r="I20" s="257">
        <v>97</v>
      </c>
      <c r="J20" s="38" t="s">
        <v>386</v>
      </c>
      <c r="K20" s="260"/>
      <c r="L20" s="261"/>
    </row>
    <row r="21" spans="1:12">
      <c r="A21" s="257">
        <v>18</v>
      </c>
      <c r="B21" s="38" t="s">
        <v>48</v>
      </c>
      <c r="C21" s="258">
        <v>38</v>
      </c>
      <c r="D21" s="259" t="s">
        <v>95</v>
      </c>
      <c r="E21" s="257">
        <v>58</v>
      </c>
      <c r="F21" s="38" t="s">
        <v>352</v>
      </c>
      <c r="G21" s="258">
        <v>78</v>
      </c>
      <c r="H21" s="259" t="s">
        <v>376</v>
      </c>
      <c r="I21" s="257">
        <v>98</v>
      </c>
      <c r="J21" s="38" t="s">
        <v>387</v>
      </c>
      <c r="K21" s="260"/>
      <c r="L21" s="261"/>
    </row>
    <row r="22" spans="1:12">
      <c r="A22" s="257">
        <v>19</v>
      </c>
      <c r="B22" s="38" t="s">
        <v>49</v>
      </c>
      <c r="C22" s="258">
        <v>39</v>
      </c>
      <c r="D22" s="259" t="s">
        <v>345</v>
      </c>
      <c r="E22" s="257">
        <v>59</v>
      </c>
      <c r="F22" s="38" t="s">
        <v>353</v>
      </c>
      <c r="G22" s="258">
        <v>79</v>
      </c>
      <c r="H22" s="259" t="s">
        <v>155</v>
      </c>
      <c r="I22" s="257">
        <v>99</v>
      </c>
      <c r="J22" s="38" t="s">
        <v>388</v>
      </c>
      <c r="K22" s="260"/>
      <c r="L22" s="261"/>
    </row>
    <row r="23" spans="1:12">
      <c r="A23" s="257">
        <v>20</v>
      </c>
      <c r="B23" s="38" t="s">
        <v>51</v>
      </c>
      <c r="C23" s="258">
        <v>40</v>
      </c>
      <c r="D23" s="259" t="s">
        <v>96</v>
      </c>
      <c r="E23" s="257">
        <v>60</v>
      </c>
      <c r="F23" s="38" t="s">
        <v>354</v>
      </c>
      <c r="G23" s="258">
        <v>80</v>
      </c>
      <c r="H23" s="259" t="s">
        <v>378</v>
      </c>
      <c r="I23" s="257">
        <v>100</v>
      </c>
      <c r="J23" s="38" t="s">
        <v>389</v>
      </c>
      <c r="K23" s="260"/>
      <c r="L23" s="26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8D4C-8CB1-4156-949E-C9801E6F9E84}">
  <dimension ref="A1:D32"/>
  <sheetViews>
    <sheetView workbookViewId="0">
      <selection activeCell="G16" sqref="G16"/>
    </sheetView>
  </sheetViews>
  <sheetFormatPr defaultRowHeight="15"/>
  <cols>
    <col min="1" max="1" width="9.140625" style="262"/>
    <col min="2" max="2" width="11.42578125" style="38" customWidth="1"/>
    <col min="4" max="4" width="11" customWidth="1"/>
  </cols>
  <sheetData>
    <row r="1" spans="1:4">
      <c r="A1" s="253" t="s">
        <v>430</v>
      </c>
    </row>
    <row r="3" spans="1:4">
      <c r="A3" s="254" t="s">
        <v>420</v>
      </c>
      <c r="B3" s="13" t="s">
        <v>421</v>
      </c>
      <c r="C3" s="255" t="s">
        <v>420</v>
      </c>
      <c r="D3" s="256" t="s">
        <v>421</v>
      </c>
    </row>
    <row r="4" spans="1:4">
      <c r="A4" s="257">
        <v>1</v>
      </c>
      <c r="B4" t="s">
        <v>17</v>
      </c>
      <c r="C4" s="258">
        <v>27</v>
      </c>
      <c r="D4" s="261" t="s">
        <v>335</v>
      </c>
    </row>
    <row r="5" spans="1:4">
      <c r="A5" s="257">
        <v>2</v>
      </c>
      <c r="B5" t="s">
        <v>329</v>
      </c>
      <c r="C5" s="258">
        <v>28</v>
      </c>
      <c r="D5" s="261" t="s">
        <v>86</v>
      </c>
    </row>
    <row r="6" spans="1:4">
      <c r="A6" s="257">
        <v>3</v>
      </c>
      <c r="B6" t="s">
        <v>330</v>
      </c>
      <c r="C6" s="258">
        <v>29</v>
      </c>
      <c r="D6" s="261" t="s">
        <v>90</v>
      </c>
    </row>
    <row r="7" spans="1:4">
      <c r="A7" s="257">
        <v>4</v>
      </c>
      <c r="B7" t="s">
        <v>22</v>
      </c>
      <c r="C7" s="258">
        <v>30</v>
      </c>
      <c r="D7" s="261" t="s">
        <v>95</v>
      </c>
    </row>
    <row r="8" spans="1:4">
      <c r="A8" s="257">
        <v>5</v>
      </c>
      <c r="B8" t="s">
        <v>41</v>
      </c>
      <c r="C8" s="258">
        <v>31</v>
      </c>
      <c r="D8" s="261" t="s">
        <v>345</v>
      </c>
    </row>
    <row r="9" spans="1:4">
      <c r="A9" s="257">
        <v>6</v>
      </c>
      <c r="B9" t="s">
        <v>333</v>
      </c>
      <c r="C9" s="258">
        <v>32</v>
      </c>
      <c r="D9" s="261" t="s">
        <v>96</v>
      </c>
    </row>
    <row r="10" spans="1:4">
      <c r="A10" s="257">
        <v>7</v>
      </c>
      <c r="B10" t="s">
        <v>44</v>
      </c>
      <c r="C10" s="258">
        <v>33</v>
      </c>
      <c r="D10" s="261" t="s">
        <v>100</v>
      </c>
    </row>
    <row r="11" spans="1:4">
      <c r="A11" s="257">
        <v>8</v>
      </c>
      <c r="B11" t="s">
        <v>334</v>
      </c>
      <c r="C11" s="258">
        <v>34</v>
      </c>
      <c r="D11" s="261" t="s">
        <v>101</v>
      </c>
    </row>
    <row r="12" spans="1:4">
      <c r="A12" s="257">
        <v>9</v>
      </c>
      <c r="B12" t="s">
        <v>45</v>
      </c>
      <c r="C12" s="258">
        <v>35</v>
      </c>
      <c r="D12" s="261" t="s">
        <v>103</v>
      </c>
    </row>
    <row r="13" spans="1:4">
      <c r="A13" s="257">
        <v>10</v>
      </c>
      <c r="B13" t="s">
        <v>46</v>
      </c>
      <c r="C13" s="258">
        <v>36</v>
      </c>
      <c r="D13" s="261" t="s">
        <v>106</v>
      </c>
    </row>
    <row r="14" spans="1:4">
      <c r="A14" s="257">
        <v>11</v>
      </c>
      <c r="B14" t="s">
        <v>48</v>
      </c>
      <c r="C14" s="258">
        <v>37</v>
      </c>
      <c r="D14" s="261" t="s">
        <v>109</v>
      </c>
    </row>
    <row r="15" spans="1:4">
      <c r="A15" s="257">
        <v>12</v>
      </c>
      <c r="B15" t="s">
        <v>49</v>
      </c>
      <c r="C15" s="258">
        <v>38</v>
      </c>
      <c r="D15" s="261" t="s">
        <v>119</v>
      </c>
    </row>
    <row r="16" spans="1:4">
      <c r="A16" s="257">
        <v>13</v>
      </c>
      <c r="B16" t="s">
        <v>51</v>
      </c>
      <c r="C16" s="258">
        <v>39</v>
      </c>
      <c r="D16" s="261" t="s">
        <v>120</v>
      </c>
    </row>
    <row r="17" spans="1:4">
      <c r="A17" s="257">
        <v>14</v>
      </c>
      <c r="B17" t="s">
        <v>53</v>
      </c>
      <c r="C17" s="258">
        <v>40</v>
      </c>
      <c r="D17" s="261" t="s">
        <v>127</v>
      </c>
    </row>
    <row r="18" spans="1:4">
      <c r="A18" s="257">
        <v>15</v>
      </c>
      <c r="B18" t="s">
        <v>54</v>
      </c>
      <c r="C18" s="258">
        <v>41</v>
      </c>
      <c r="D18" s="261" t="s">
        <v>128</v>
      </c>
    </row>
    <row r="19" spans="1:4">
      <c r="A19" s="257">
        <v>16</v>
      </c>
      <c r="B19" t="s">
        <v>59</v>
      </c>
      <c r="C19" s="258">
        <v>42</v>
      </c>
      <c r="D19" s="261" t="s">
        <v>348</v>
      </c>
    </row>
    <row r="20" spans="1:4">
      <c r="A20" s="257">
        <v>17</v>
      </c>
      <c r="B20" t="s">
        <v>60</v>
      </c>
      <c r="C20" s="258">
        <v>43</v>
      </c>
      <c r="D20" s="261" t="s">
        <v>349</v>
      </c>
    </row>
    <row r="21" spans="1:4">
      <c r="A21" s="257">
        <v>18</v>
      </c>
      <c r="B21" t="s">
        <v>61</v>
      </c>
      <c r="C21" s="258">
        <v>44</v>
      </c>
      <c r="D21" s="261" t="s">
        <v>131</v>
      </c>
    </row>
    <row r="22" spans="1:4">
      <c r="A22" s="257">
        <v>19</v>
      </c>
      <c r="B22" t="s">
        <v>66</v>
      </c>
      <c r="C22" s="258">
        <v>45</v>
      </c>
      <c r="D22" s="261" t="s">
        <v>132</v>
      </c>
    </row>
    <row r="23" spans="1:4">
      <c r="A23" s="257">
        <v>20</v>
      </c>
      <c r="B23" t="s">
        <v>67</v>
      </c>
      <c r="C23" s="258">
        <v>46</v>
      </c>
      <c r="D23" s="261" t="s">
        <v>350</v>
      </c>
    </row>
    <row r="24" spans="1:4">
      <c r="A24" s="257">
        <v>21</v>
      </c>
      <c r="B24" t="s">
        <v>72</v>
      </c>
      <c r="C24" s="258">
        <v>47</v>
      </c>
      <c r="D24" s="261" t="s">
        <v>136</v>
      </c>
    </row>
    <row r="25" spans="1:4">
      <c r="A25" s="257">
        <v>22</v>
      </c>
      <c r="B25" t="s">
        <v>73</v>
      </c>
      <c r="C25" s="258">
        <v>48</v>
      </c>
      <c r="D25" s="261" t="s">
        <v>351</v>
      </c>
    </row>
    <row r="26" spans="1:4">
      <c r="A26" s="257">
        <v>23</v>
      </c>
      <c r="B26" t="s">
        <v>77</v>
      </c>
      <c r="C26" s="258">
        <v>49</v>
      </c>
      <c r="D26" s="261" t="s">
        <v>352</v>
      </c>
    </row>
    <row r="27" spans="1:4">
      <c r="A27" s="257">
        <v>24</v>
      </c>
      <c r="B27" t="s">
        <v>78</v>
      </c>
      <c r="C27" s="258">
        <v>50</v>
      </c>
      <c r="D27" s="261" t="s">
        <v>353</v>
      </c>
    </row>
    <row r="28" spans="1:4">
      <c r="A28" s="257">
        <v>25</v>
      </c>
      <c r="B28" t="s">
        <v>80</v>
      </c>
      <c r="C28" s="258">
        <v>51</v>
      </c>
      <c r="D28" s="261" t="s">
        <v>354</v>
      </c>
    </row>
    <row r="29" spans="1:4">
      <c r="A29" s="257">
        <v>26</v>
      </c>
      <c r="B29" t="s">
        <v>81</v>
      </c>
      <c r="C29" s="260"/>
    </row>
    <row r="30" spans="1:4">
      <c r="A30" s="257"/>
    </row>
    <row r="31" spans="1:4">
      <c r="A31" s="257"/>
    </row>
    <row r="32" spans="1:4">
      <c r="A32" s="2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S4</vt:lpstr>
      <vt:lpstr>Table S5</vt:lpstr>
      <vt:lpstr>Table S6</vt:lpstr>
      <vt:lpstr>Table S7</vt:lpstr>
      <vt:lpstr>Table S8</vt:lpstr>
      <vt:lpstr>Table S9 p.1</vt:lpstr>
      <vt:lpstr>Table S9 p.2</vt:lpstr>
      <vt:lpstr>Table S9 p.3</vt:lpstr>
      <vt:lpstr>Table S9 p.4</vt:lpstr>
      <vt:lpstr>Table S9 p.5</vt:lpstr>
      <vt:lpstr>Table S9 p.6</vt:lpstr>
      <vt:lpstr>Table S9 p.7</vt:lpstr>
      <vt:lpstr>Table S9 p.8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2022-07-30T23:09:02Z</dcterms:created>
  <dcterms:modified xsi:type="dcterms:W3CDTF">2023-03-12T20:26:35Z</dcterms:modified>
</cp:coreProperties>
</file>